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tories" sheetId="2" state="visible" r:id="rId2"/>
    <sheet xmlns:r="http://schemas.openxmlformats.org/officeDocument/2006/relationships" name="Requirements" sheetId="3" state="visible" r:id="rId3"/>
  </sheets>
  <definedNames/>
</workbook>
</file>

<file path=xl/styles.xml><?xml version="1.0" encoding="utf-8"?>
<styleSheet xmlns="http://schemas.openxmlformats.org/spreadsheetml/2006/main">
  <numFmts count="1">
    <numFmt numFmtId="164" formatCode="yyyy-mm-dd"/>
  </numFmts>
  <fonts count="10">
    <font>
      <name val="Carlito"/>
      <sz val="11"/>
    </font>
    <font>
      <name val="Arial"/>
      <color rgb="FF233447"/>
      <sz val="10"/>
    </font>
    <font>
      <name val="Arial"/>
      <b val="1"/>
      <color rgb="FF17324D"/>
      <sz val="15"/>
    </font>
    <font>
      <name val="Arial"/>
      <b val="1"/>
      <color rgb="FFFFFFFF"/>
      <sz val="10"/>
    </font>
    <font>
      <name val="Arial"/>
      <color rgb="FF7D5300"/>
      <sz val="10"/>
    </font>
    <font>
      <name val="Arial"/>
      <color rgb="FF233447"/>
      <sz val="11"/>
    </font>
    <font>
      <name val="Arial"/>
      <b val="1"/>
      <color rgb="FF17324D"/>
      <sz val="16"/>
    </font>
    <font>
      <name val="Arial"/>
      <b val="1"/>
      <color rgb="FFFFFFFF"/>
      <sz val="11"/>
    </font>
    <font>
      <name val="Arial"/>
      <b val="1"/>
      <color rgb="FF233447"/>
      <sz val="11"/>
    </font>
    <font>
      <name val="Arial"/>
      <i val="1"/>
      <color rgb="FF526273"/>
      <sz val="10"/>
    </font>
  </fonts>
  <fills count="7">
    <fill>
      <patternFill/>
    </fill>
    <fill>
      <patternFill patternType="gray125"/>
    </fill>
    <fill>
      <patternFill patternType="solid">
        <fgColor rgb="FF17324D"/>
      </patternFill>
    </fill>
    <fill>
      <patternFill patternType="solid">
        <fgColor rgb="FFF2F5F8"/>
      </patternFill>
    </fill>
    <fill>
      <patternFill patternType="solid">
        <fgColor rgb="FFFFF2CC"/>
      </patternFill>
    </fill>
    <fill>
      <patternFill patternType="solid">
        <fgColor rgb="FF17324D"/>
      </patternFill>
    </fill>
    <fill>
      <patternFill patternType="solid">
        <fgColor rgb="FFF2F5F8"/>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wrapText="1"/>
    </xf>
    <xf numFmtId="0" fontId="1" fillId="0" borderId="0" applyAlignment="1" pivotButton="0" quotePrefix="0" xfId="0">
      <alignment vertical="top" wrapText="1"/>
    </xf>
    <xf numFmtId="0" fontId="1" fillId="2"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horizontal="center" vertical="top" wrapText="1"/>
    </xf>
    <xf numFmtId="0" fontId="3" fillId="2" borderId="0" applyAlignment="1" pivotButton="0" quotePrefix="0" xfId="0">
      <alignment horizontal="center" vertical="center" wrapText="1"/>
    </xf>
    <xf numFmtId="0" fontId="1" fillId="3" borderId="0" applyAlignment="1" pivotButton="0" quotePrefix="0" xfId="0">
      <alignment vertical="top" wrapText="1"/>
    </xf>
    <xf numFmtId="0" fontId="4" fillId="0" borderId="0" applyAlignment="1" pivotButton="0" quotePrefix="0" xfId="0">
      <alignment vertical="top" wrapText="1"/>
    </xf>
    <xf numFmtId="0" fontId="4" fillId="3" borderId="0" applyAlignment="1" pivotButton="0" quotePrefix="0" xfId="0">
      <alignment vertical="top" wrapText="1"/>
    </xf>
    <xf numFmtId="164" fontId="4" fillId="0" borderId="0" applyAlignment="1" pivotButton="0" quotePrefix="0" xfId="0">
      <alignment vertical="top" wrapText="1"/>
    </xf>
    <xf numFmtId="164" fontId="4" fillId="3" borderId="0" applyAlignment="1" pivotButton="0" quotePrefix="0" xfId="0">
      <alignment vertical="top" wrapText="1"/>
    </xf>
    <xf numFmtId="0" fontId="5" fillId="0" borderId="0" pivotButton="0" quotePrefix="0" xfId="0"/>
    <xf numFmtId="0" fontId="5" fillId="0" borderId="0" applyAlignment="1" pivotButton="0" quotePrefix="0" xfId="0">
      <alignment vertical="center"/>
    </xf>
    <xf numFmtId="0" fontId="6" fillId="0" borderId="0" applyAlignment="1" pivotButton="0" quotePrefix="0" xfId="0">
      <alignment vertical="center"/>
    </xf>
    <xf numFmtId="9" fontId="5" fillId="0" borderId="0" applyAlignment="1" pivotButton="0" quotePrefix="0" xfId="0">
      <alignment vertical="center"/>
    </xf>
    <xf numFmtId="0" fontId="5" fillId="0" borderId="0" applyAlignment="1" pivotButton="0" quotePrefix="0" xfId="0">
      <alignment vertical="center" wrapText="1"/>
    </xf>
    <xf numFmtId="0" fontId="5" fillId="2" borderId="0" applyAlignment="1" pivotButton="0" quotePrefix="0" xfId="0">
      <alignment vertical="center"/>
    </xf>
    <xf numFmtId="0" fontId="7" fillId="2" borderId="0" applyAlignment="1" pivotButton="0" quotePrefix="0" xfId="0">
      <alignment vertical="center"/>
    </xf>
    <xf numFmtId="0" fontId="8" fillId="0" borderId="0" applyAlignment="1" pivotButton="0" quotePrefix="0" xfId="0">
      <alignment vertical="center" wrapText="1"/>
    </xf>
    <xf numFmtId="0" fontId="5" fillId="4" borderId="0" applyAlignment="1" pivotButton="0" quotePrefix="0" xfId="0">
      <alignment vertical="center" wrapText="1"/>
    </xf>
    <xf numFmtId="0" fontId="9" fillId="0" borderId="0" pivotButton="0" quotePrefix="0" xfId="0"/>
    <xf numFmtId="0" fontId="1" fillId="5" borderId="0" applyAlignment="1" pivotButton="0" quotePrefix="0" xfId="0">
      <alignment vertical="top" wrapText="1"/>
    </xf>
    <xf numFmtId="0" fontId="3" fillId="5" borderId="0" applyAlignment="1" pivotButton="0" quotePrefix="0" xfId="0">
      <alignment vertical="top" wrapText="1"/>
    </xf>
    <xf numFmtId="0" fontId="3" fillId="5" borderId="0" applyAlignment="1" pivotButton="0" quotePrefix="0" xfId="0">
      <alignment horizontal="center" vertical="top" wrapText="1"/>
    </xf>
    <xf numFmtId="0" fontId="3" fillId="5" borderId="0" applyAlignment="1" pivotButton="0" quotePrefix="0" xfId="0">
      <alignment horizontal="center" vertical="center" wrapText="1"/>
    </xf>
    <xf numFmtId="0" fontId="1" fillId="6" borderId="0" applyAlignment="1" pivotButton="0" quotePrefix="0" xfId="0">
      <alignment vertical="top" wrapText="1"/>
    </xf>
    <xf numFmtId="9" fontId="5" fillId="0" borderId="0" applyAlignment="1" pivotButton="0" quotePrefix="0" xfId="0">
      <alignment vertical="center"/>
    </xf>
    <xf numFmtId="164" fontId="4" fillId="0" borderId="0" applyAlignment="1" pivotButton="0" quotePrefix="0" xfId="0">
      <alignment vertical="top" wrapText="1"/>
    </xf>
    <xf numFmtId="164" fontId="4" fillId="3" borderId="0" applyAlignment="1" pivotButton="0" quotePrefix="0" xfId="0">
      <alignment vertical="top" wrapText="1"/>
    </xf>
  </cellXfs>
  <cellStyles count="1">
    <cellStyle name="Normal" xfId="0"/>
  </cellStyles>
  <dxfs count="4">
    <dxf>
      <font>
        <color rgb="FF24502A"/>
      </font>
      <fill>
        <patternFill>
          <bgColor rgb="FFE2EFDA"/>
        </patternFill>
      </fill>
    </dxf>
    <dxf>
      <font>
        <color rgb="FF7D5300"/>
      </font>
      <fill>
        <patternFill>
          <bgColor rgb="FFFFF2CC"/>
        </patternFill>
      </fill>
    </dxf>
    <dxf>
      <font>
        <color rgb="FF9C2020"/>
      </font>
      <fill>
        <patternFill>
          <bgColor rgb="FFFCE4D6"/>
        </patternFill>
      </fill>
    </dxf>
    <dxf>
      <font>
        <color rgb="FF7D5300"/>
      </font>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FoodBankItems" displayName="FoodBankItems" ref="A3:S73" headerRowCount="1" totalsRowCount="0" totalsRowShown="0">
  <tableColumns count="19">
    <tableColumn id="1" name="#"/>
    <tableColumn id="2" name="Item ID"/>
    <tableColumn id="3" name="Feature"/>
    <tableColumn id="4" name="Learning item"/>
    <tableColumn id="5" name="Acceptance checks"/>
    <tableColumn id="6" name="Previous item"/>
    <tableColumn id="7" name="Readiness"/>
    <tableColumn id="8" name="Status"/>
    <tableColumn id="9" name="Work stage"/>
    <tableColumn id="10" name="Code review"/>
    <tableColumn id="11" name="Review evidence"/>
    <tableColumn id="12" name="Review date"/>
    <tableColumn id="13" name="Tested by"/>
    <tableColumn id="14" name="Test result"/>
    <tableColumn id="15" name="Test evidence"/>
    <tableColumn id="16" name="Test date"/>
    <tableColumn id="17" name="Lesson / last step"/>
    <tableColumn id="18" name="Next action"/>
    <tableColumn id="19" name="Blocker"/>
  </tableColumns>
  <tableStyleInfo name="TableStyleMedium2" showFirstColumn="0" showLastColumn="0" showRowStripes="1" showColumnStripes="0"/>
</table>
</file>

<file path=xl/tables/table2.xml><?xml version="1.0" encoding="utf-8"?>
<table xmlns="http://schemas.openxmlformats.org/spreadsheetml/2006/main" id="2" name="FoodBankRequirements" displayName="FoodBankRequirements" ref="A3:F182" headerRowCount="1" totalsRowCount="0" totalsRowShown="0">
  <tableColumns count="6">
    <tableColumn id="1" name="Rule ID"/>
    <tableColumn id="2" name="Area"/>
    <tableColumn id="3" name="Scope"/>
    <tableColumn id="4" name="Detailed rule"/>
    <tableColumn id="5" name="Related learning items"/>
    <tableColumn id="6" name="First item loca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17324D"/>
    <outlinePr summaryBelow="1" summaryRight="1"/>
    <pageSetUpPr/>
  </sheetPr>
  <dimension ref="A1:H40"/>
  <sheetViews>
    <sheetView showGridLines="0" workbookViewId="0">
      <selection activeCell="A1" sqref="A1"/>
    </sheetView>
  </sheetViews>
  <sheetFormatPr baseColWidth="8" defaultRowHeight="15"/>
  <cols>
    <col width="27" customWidth="1" min="1" max="1"/>
    <col width="20" customWidth="1" min="2" max="2"/>
    <col width="3" customWidth="1" min="3" max="3"/>
    <col width="18" customWidth="1" min="4" max="4"/>
    <col width="18" customWidth="1" min="5" max="5"/>
    <col width="18" customWidth="1" min="6" max="6"/>
    <col width="18" customWidth="1" min="7" max="7"/>
    <col width="18" customWidth="1" min="8" max="8"/>
  </cols>
  <sheetData>
    <row r="1">
      <c r="A1" s="15" t="n"/>
      <c r="B1" s="15" t="n"/>
      <c r="C1" s="15" t="n"/>
      <c r="D1" s="15" t="n"/>
      <c r="E1" s="15" t="n"/>
      <c r="F1" s="15" t="n"/>
      <c r="G1" s="15" t="n"/>
      <c r="H1" s="15" t="n"/>
    </row>
    <row r="2" ht="32" customHeight="1">
      <c r="A2" s="16" t="inlineStr">
        <is>
          <t>FoodBank developer story tracker</t>
        </is>
      </c>
    </row>
    <row r="3">
      <c r="A3" s="15" t="n"/>
      <c r="B3" s="15" t="n"/>
      <c r="C3" s="15" t="n"/>
      <c r="D3" s="15" t="n"/>
      <c r="E3" s="15" t="n"/>
      <c r="F3" s="15" t="n"/>
      <c r="G3" s="15" t="n"/>
      <c r="H3" s="15" t="n"/>
    </row>
    <row r="4" ht="26" customHeight="1">
      <c r="A4" s="20" t="inlineStr">
        <is>
          <t>Progress</t>
        </is>
      </c>
      <c r="B4" s="20" t="inlineStr">
        <is>
          <t>Items</t>
        </is>
      </c>
      <c r="C4" s="15" t="n"/>
      <c r="D4" s="18" t="inlineStr">
        <is>
          <t>Owner: assistant maintains this workbook; developer writes application code.</t>
        </is>
      </c>
    </row>
    <row r="5" ht="24" customHeight="1">
      <c r="A5" s="15" t="inlineStr">
        <is>
          <t>Total learning items</t>
        </is>
      </c>
      <c r="B5" s="15" t="n">
        <v>70</v>
      </c>
      <c r="C5" s="15" t="n"/>
    </row>
    <row r="6" ht="24" customHeight="1">
      <c r="A6" s="15" t="inlineStr">
        <is>
          <t>Complete</t>
        </is>
      </c>
      <c r="B6" s="15">
        <f>COUNTIF(Stories!H4:H73,"Complete")</f>
        <v/>
      </c>
      <c r="C6" s="15" t="n"/>
      <c r="D6" s="18" t="inlineStr">
        <is>
          <t>Complete requires code review AND a passed behaviour test, with evidence and dates.</t>
        </is>
      </c>
    </row>
    <row r="7" ht="24" customHeight="1">
      <c r="A7" s="15" t="inlineStr">
        <is>
          <t>In progress</t>
        </is>
      </c>
      <c r="B7" s="15">
        <f>COUNTIF(Stories!H4:H73,"In progress")</f>
        <v/>
      </c>
      <c r="C7" s="15" t="n"/>
    </row>
    <row r="8" ht="24" customHeight="1">
      <c r="A8" s="15" t="inlineStr">
        <is>
          <t>Awaiting review/test</t>
        </is>
      </c>
      <c r="B8" s="15">
        <f>COUNTIF(Stories!H4:H73,"Awaiting*")</f>
        <v/>
      </c>
      <c r="C8" s="15" t="n"/>
      <c r="D8" s="18" t="inlineStr">
        <is>
          <t>Ask the developer to test first. “Done” after the test request confirms it worked.</t>
        </is>
      </c>
    </row>
    <row r="9" ht="24" customHeight="1">
      <c r="A9" s="15" t="inlineStr">
        <is>
          <t>Blocked</t>
        </is>
      </c>
      <c r="B9" s="15">
        <f>COUNTIF(Stories!H4:H73,"Blocked")</f>
        <v/>
      </c>
      <c r="C9" s="15" t="n"/>
    </row>
    <row r="10" ht="24" customHeight="1">
      <c r="A10" s="15" t="inlineStr">
        <is>
          <t>Ready to start</t>
        </is>
      </c>
      <c r="B10" s="15" t="inlineStr">
        <is>
          <t>FB-021</t>
        </is>
      </c>
      <c r="C10" s="15" t="n"/>
      <c r="D10" s="18" t="inlineStr">
        <is>
          <t>Only test application behaviour yourself after the developer delegates it.</t>
        </is>
      </c>
    </row>
    <row r="11" ht="24" customHeight="1">
      <c r="A11" s="15" t="inlineStr">
        <is>
          <t>Verified progress</t>
        </is>
      </c>
      <c r="B11" s="29" t="inlineStr">
        <is>
          <t>2026-10-28: non-password creation checks/review evidence retained; phone cleanup remains failed but repair/review/retest explicitly deferred to project end by developer. Password and username-concurrency deferrals preserved. Developer requested user-list lessons now; no new item marked Complete.</t>
        </is>
      </c>
      <c r="C11" s="15" t="n"/>
    </row>
    <row r="12">
      <c r="A12" s="15" t="n"/>
      <c r="B12" s="15" t="inlineStr">
        <is>
          <t>Before starting/resuming this item or feature: reread AGENTS.md from disk; apply teaching/testing rules. Nine PHP type-description errors resolved and PHPStan now passes (scoped21tests288assertions/Pint/whitespace also pass). Remaining non-deferred user-module findings: long accepted names overflow username storage causing browser/MySQL500, and two existing test-fixture failures. Await developer direction to correct those; authorization for this turn covered only type descriptions. Preserve all existing final-project deferrals. Inventory not started; full completion still open.</t>
        </is>
      </c>
      <c r="C12" s="15" t="n"/>
      <c r="D12" s="15" t="n"/>
      <c r="E12" s="15" t="n"/>
      <c r="F12" s="15" t="n"/>
      <c r="G12" s="15" t="n"/>
      <c r="H12" s="15" t="n"/>
    </row>
    <row r="13" ht="40" customHeight="1">
      <c r="A13" s="21" t="inlineStr">
        <is>
          <t>Current item ID</t>
        </is>
      </c>
      <c r="B13" s="22" t="inlineStr">
        <is>
          <t>FB-021</t>
        </is>
      </c>
    </row>
    <row r="14" ht="100" customHeight="1">
      <c r="A14" s="21" t="inlineStr">
        <is>
          <t>Current lesson</t>
        </is>
      </c>
      <c r="B14" s="22" t="inlineStr">
        <is>
          <t>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row>
    <row r="15" ht="100" customHeight="1">
      <c r="A15" s="21" t="inlineStr">
        <is>
          <t>Next action</t>
        </is>
      </c>
      <c r="B15" s="22" t="inlineStr">
        <is>
          <t>Before starting/resuming this item or feature: reread AGENTS.md from disk; apply teaching/testing rules. Nine PHP type-description errors resolved and PHPStan now passes (scoped21tests288assertions/Pint/whitespace also pass). Remaining non-deferred user-module findings: long accepted names overflow username storage causing browser/MySQL500, and two existing test-fixture failures. Await developer direction to correct those; authorization for this turn covered only type descriptions. Preserve all existing final-project deferrals. Inventory not started; full completion still open.</t>
        </is>
      </c>
    </row>
    <row r="16" ht="65" customHeight="1">
      <c r="A16" s="21" t="inlineStr">
        <is>
          <t>Waiting on</t>
        </is>
      </c>
      <c r="B16" s="22" t="inlineStr">
        <is>
          <t>Nine PHP type-description errors fixed; awaiting developer direction on remaining long-name save failure and two existing test-fixture failures.</t>
        </is>
      </c>
    </row>
    <row r="17" ht="65" customHeight="1">
      <c r="A17" s="21" t="inlineStr">
        <is>
          <t>Last reviewed revision</t>
        </is>
      </c>
      <c r="B17" s="22" t="inlineStr">
        <is>
          <t>2026-10-29 HEAD91e157fb6d367016ef7181ce50ad81115e9648da plus existing Index.vue/routes working edits; completed-module review Changes needed.81focused/743assertions pass;2selected repo tests fail;9PHPStan errors;long-name MySQL/browser500.
2026-10-29 type-description-only fix reviewed; PHPStan zero errors;21/288test PASS. app/Actions/Users/ListUsers.php SHA256 2d6479cf5525d05cd23f6620749486a1ff479d242bb59c285800713e968c0d07; app/Models/User.php SHA256 6200c8c7f6c76054dd5a8e046d639d1a11a893d73360404f568946da383892e6</t>
        </is>
      </c>
    </row>
    <row r="18" ht="40" customHeight="1">
      <c r="A18" s="21" t="inlineStr">
        <is>
          <t>Current item status</t>
        </is>
      </c>
      <c r="B18" s="18" t="inlineStr">
        <is>
          <t>In progress</t>
        </is>
      </c>
    </row>
    <row r="19">
      <c r="A19" s="15" t="n"/>
      <c r="B19" s="15" t="inlineStr">
        <is>
          <t>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t>
        </is>
      </c>
      <c r="C19" s="15" t="n"/>
      <c r="D19" s="15" t="n"/>
      <c r="E19" s="15" t="n"/>
      <c r="F19" s="15" t="n"/>
      <c r="G19" s="15" t="n"/>
      <c r="H19" s="15" t="n"/>
    </row>
    <row r="20" ht="44" customHeight="1">
      <c r="A20" s="21" t="inlineStr">
        <is>
          <t>Completion process</t>
        </is>
      </c>
      <c r="B20" s="18" t="inlineStr">
        <is>
          <t>Build small lessons and ask developer to check behaviour. Review the connected feature at completion, correct findings, and record both review and passed testing before marking Complete.</t>
        </is>
      </c>
    </row>
    <row r="21" ht="44" customHeight="1">
      <c r="A21" s="21" t="inlineStr">
        <is>
          <t>Meaning of done</t>
        </is>
      </c>
      <c r="B21" s="18" t="inlineStr">
        <is>
          <t>After an explicit test request, done means the developer tested that item and it worked. Otherwise it means continue the lesson; it never bypasses code review.</t>
        </is>
      </c>
    </row>
    <row r="22" ht="44" customHeight="1">
      <c r="A22" s="21" t="inlineStr">
        <is>
          <t>What to record</t>
        </is>
      </c>
      <c r="B22" s="18" t="inlineStr">
        <is>
          <t>Keep current item, lesson, next action and blocker current. Record review/test evidence and dates in Stories. Save inspected Poker paths and pattern findings with the relevant item for reuse.</t>
        </is>
      </c>
    </row>
    <row r="23" ht="44" customHeight="1">
      <c r="A23" s="21" t="inlineStr">
        <is>
          <t>How completion works</t>
        </is>
      </c>
      <c r="B23" s="18" t="inlineStr">
        <is>
          <t>Set Work stage to Ready for review; record Passed review and test with evidence/dates. Status is calculated. Never overwrite it to claim completion.</t>
        </is>
      </c>
    </row>
    <row r="24" ht="65" customHeight="1">
      <c r="A24" s="21" t="inlineStr">
        <is>
          <t>Dependencies</t>
        </is>
      </c>
      <c r="B24" s="18" t="inlineStr">
        <is>
          <t>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t>
        </is>
      </c>
    </row>
    <row r="25" ht="65" customHeight="1">
      <c r="A25" s="21" t="inlineStr">
        <is>
          <t>One lesson at a time</t>
        </is>
      </c>
      <c r="B25" s="18" t="inlineStr">
        <is>
          <t>Understanding comes first. Apply teaching examples where useful and use judgment to adapt the sequence. One tracker row may take several small lessons. Build prerequisites and connect dependent behaviour as needed; verify before moving on.</t>
        </is>
      </c>
    </row>
    <row r="26" ht="44" customHeight="1">
      <c r="A26" s="21" t="inlineStr">
        <is>
          <t>Teaching emphasis</t>
        </is>
      </c>
      <c r="B26" s="18" t="inlineStr">
        <is>
          <t>Vue, Inertia and Tailwind layout: parent/child relationships, flex/grid, sizing, spacing, overflow and responsive behaviour. Reuse existing colours/typography.</t>
        </is>
      </c>
    </row>
    <row r="27" ht="44" customHeight="1">
      <c r="A27" s="21" t="inlineStr">
        <is>
          <t>Final implementation item</t>
        </is>
      </c>
      <c r="B27" s="18" t="inlineStr">
        <is>
          <t>FB-070 — Super Admin recovery remains last, including its own review and delegated/user testing.</t>
        </is>
      </c>
    </row>
    <row r="28" ht="44" customHeight="1">
      <c r="A28" s="21" t="inlineStr">
        <is>
          <t>Future work</t>
        </is>
      </c>
      <c r="B28" s="18" t="inlineStr">
        <is>
          <t>Rules marked ##FUTURE on Requirements remain deferred and are excluded from Stories and completion totals. Unresolved future details do not authorize implementation.</t>
        </is>
      </c>
    </row>
    <row r="29" ht="44" customHeight="1">
      <c r="A29" s="21" t="inlineStr">
        <is>
          <t>Source of requirements</t>
        </is>
      </c>
      <c r="B29" s="18" t="inlineStr">
        <is>
          <t>Requirements is the authoritative scope record, with detailed rules and related FB item IDs. Stories tracks implementation/evidence; Start Here records where to resume.</t>
        </is>
      </c>
    </row>
    <row r="30" ht="65" customHeight="1">
      <c r="A30" s="21" t="inlineStr">
        <is>
          <t>Reference format</t>
        </is>
      </c>
      <c r="B30" s="18"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row>
    <row r="31" ht="44" customHeight="1">
      <c r="A31" s="21" t="inlineStr">
        <is>
          <t>Resume in a new chat</t>
        </is>
      </c>
      <c r="B31" s="18" t="inlineStr">
        <is>
          <t>Read AGENTS.md and this workbook: Start Here, the current Stories row, and its Requirements. Inspect relevant Poker conventions at new-chat start or on request. Reread AGENTS.md before each item.</t>
        </is>
      </c>
    </row>
    <row r="32" ht="44" customHeight="1">
      <c r="A32" s="21" t="inlineStr">
        <is>
          <t>Changes after verification</t>
        </is>
      </c>
      <c r="B32" s="18" t="inlineStr">
        <is>
          <t>If later edits invalidate a passed item, reopen it and retest affected behaviour. Preserve previous evidence in notes; never silently keep a stale Complete status.</t>
        </is>
      </c>
    </row>
    <row r="33" ht="44" customHeight="1">
      <c r="A33" s="21" t="inlineStr">
        <is>
          <t>Workbook maintenance</t>
        </is>
      </c>
      <c r="B33" s="18" t="inlineStr">
        <is>
          <t>Maintain this same workbook. Update Requirements for agreed scope changes, Stories for evidence/progress, and Start Here for handoff. Do not maintain separate feature-list or resume files.</t>
        </is>
      </c>
    </row>
    <row r="34" ht="44" customHeight="1">
      <c r="A34" s="21" t="inlineStr">
        <is>
          <t>Commit checkpoints</t>
        </is>
      </c>
      <c r="B34" s="18" t="inlineStr">
        <is>
          <t>After a coherent verified feature, suggest an accurate commit message. The developer commits unless explicitly requesting otherwise.</t>
        </is>
      </c>
    </row>
    <row r="35" ht="65" customHeight="1">
      <c r="A35" s="21" t="inlineStr">
        <is>
          <t>Application test status</t>
        </is>
      </c>
      <c r="B35" s="18" t="inlineStr">
        <is>
          <t>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t>
        </is>
      </c>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sheetData>
  <mergeCells count="27">
    <mergeCell ref="D4:H5"/>
    <mergeCell ref="B24:H24"/>
    <mergeCell ref="B30:H30"/>
    <mergeCell ref="B15:H15"/>
    <mergeCell ref="B33:H33"/>
    <mergeCell ref="B20:H20"/>
    <mergeCell ref="B32:H32"/>
    <mergeCell ref="B26:H26"/>
    <mergeCell ref="D8:H9"/>
    <mergeCell ref="B35:H35"/>
    <mergeCell ref="B16:H16"/>
    <mergeCell ref="B25:H25"/>
    <mergeCell ref="D10:H11"/>
    <mergeCell ref="B31:H31"/>
    <mergeCell ref="B22:H22"/>
    <mergeCell ref="B18:H18"/>
    <mergeCell ref="B27:H27"/>
    <mergeCell ref="B21:H21"/>
    <mergeCell ref="A2:H2"/>
    <mergeCell ref="D6:H7"/>
    <mergeCell ref="B23:H23"/>
    <mergeCell ref="B14:H14"/>
    <mergeCell ref="B17:H17"/>
    <mergeCell ref="B13:H13"/>
    <mergeCell ref="B29:H29"/>
    <mergeCell ref="B34:H34"/>
    <mergeCell ref="B28:H28"/>
  </mergeCells>
  <pageMargins left="0.7" right="0.7" top="0.75" bottom="0.75" header="0.3" footer="0.3"/>
</worksheet>
</file>

<file path=xl/worksheets/sheet2.xml><?xml version="1.0" encoding="utf-8"?>
<worksheet xmlns="http://schemas.openxmlformats.org/spreadsheetml/2006/main">
  <sheetPr>
    <tabColor rgb="FF17324D"/>
    <outlinePr summaryBelow="1" summaryRight="1"/>
    <pageSetUpPr/>
  </sheetPr>
  <dimension ref="A1:S73"/>
  <sheetViews>
    <sheetView showGridLines="0" workbookViewId="0">
      <pane xSplit="2" ySplit="3" topLeftCell="C4" activePane="bottomRight" state="frozen"/>
      <selection activeCell="A1" sqref="A1"/>
    </sheetView>
  </sheetViews>
  <sheetFormatPr baseColWidth="8" defaultRowHeight="15"/>
  <cols>
    <col width="5" customWidth="1" min="1" max="1"/>
    <col width="12" customWidth="1" min="2" max="2"/>
    <col width="22" customWidth="1" min="3" max="3"/>
    <col width="42" customWidth="1" min="4" max="4"/>
    <col width="78" customWidth="1" min="5" max="5"/>
    <col width="14" customWidth="1" min="6" max="6"/>
    <col width="14" customWidth="1" min="7" max="7"/>
    <col width="26" customWidth="1" min="8" max="8"/>
    <col width="20" customWidth="1" min="9" max="9"/>
    <col width="18" customWidth="1" min="10" max="10"/>
    <col width="55" customWidth="1" min="11" max="11"/>
    <col width="15" customWidth="1" min="12" max="12"/>
    <col width="19" customWidth="1" min="13" max="13"/>
    <col width="17" customWidth="1" min="14" max="14"/>
    <col width="55" customWidth="1" min="15" max="15"/>
    <col width="15" customWidth="1" min="16" max="16"/>
    <col width="45" customWidth="1" min="17" max="17"/>
    <col width="48" customWidth="1" min="18" max="18"/>
    <col width="40" customWidth="1" min="19" max="19"/>
  </cols>
  <sheetData>
    <row r="1" ht="30" customHeight="1">
      <c r="A1" s="2" t="inlineStr">
        <is>
          <t>FoodBank learning tracker — complete one small item before continuing</t>
        </is>
      </c>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3" ht="30" customHeight="1">
      <c r="A3" s="8" t="inlineStr">
        <is>
          <t>#</t>
        </is>
      </c>
      <c r="B3" s="8" t="inlineStr">
        <is>
          <t>Item ID</t>
        </is>
      </c>
      <c r="C3" s="8" t="inlineStr">
        <is>
          <t>Feature</t>
        </is>
      </c>
      <c r="D3" s="8" t="inlineStr">
        <is>
          <t>Learning item</t>
        </is>
      </c>
      <c r="E3" s="8" t="inlineStr">
        <is>
          <t>Acceptance checks</t>
        </is>
      </c>
      <c r="F3" s="8" t="inlineStr">
        <is>
          <t>Previous item</t>
        </is>
      </c>
      <c r="G3" s="8" t="inlineStr">
        <is>
          <t>Readiness</t>
        </is>
      </c>
      <c r="H3" s="8" t="inlineStr">
        <is>
          <t>Status</t>
        </is>
      </c>
      <c r="I3" s="8" t="inlineStr">
        <is>
          <t>Work stage</t>
        </is>
      </c>
      <c r="J3" s="8" t="inlineStr">
        <is>
          <t>Code review</t>
        </is>
      </c>
      <c r="K3" s="8" t="inlineStr">
        <is>
          <t>Review evidence</t>
        </is>
      </c>
      <c r="L3" s="8" t="inlineStr">
        <is>
          <t>Review date</t>
        </is>
      </c>
      <c r="M3" s="8" t="inlineStr">
        <is>
          <t>Tested by</t>
        </is>
      </c>
      <c r="N3" s="8" t="inlineStr">
        <is>
          <t>Test result</t>
        </is>
      </c>
      <c r="O3" s="8" t="inlineStr">
        <is>
          <t>Test evidence</t>
        </is>
      </c>
      <c r="P3" s="8" t="inlineStr">
        <is>
          <t>Test date</t>
        </is>
      </c>
      <c r="Q3" s="8" t="inlineStr">
        <is>
          <t>Lesson / last step</t>
        </is>
      </c>
      <c r="R3" s="8" t="inlineStr">
        <is>
          <t>Next action</t>
        </is>
      </c>
      <c r="S3" s="8" t="inlineStr">
        <is>
          <t>Blocker</t>
        </is>
      </c>
    </row>
    <row r="4" ht="400" customHeight="1">
      <c r="A4" s="4" t="n">
        <v>1</v>
      </c>
      <c r="B4" s="4" t="inlineStr">
        <is>
          <t>FB-001</t>
        </is>
      </c>
      <c r="C4" s="4" t="inlineStr">
        <is>
          <t>Starting point</t>
        </is>
      </c>
      <c r="D4" s="4" t="inlineStr">
        <is>
          <t>Inspect the projects and confirm the local starting point</t>
        </is>
      </c>
      <c r="E4" s="4" t="inlineStr">
        <is>
          <t>Review existing FoodBank code and relevant Poker workflows; explain how the current page runs; developer verifies the local page and database connection. Record actual findings before marking complete.</t>
        </is>
      </c>
      <c r="F4" s="4" t="n"/>
      <c r="G4" s="4">
        <f>IF(H4="Complete","Complete",IF(I4="Blocked","Blocked",IF(I4="In progress","Ready",IF(F4="","Ready",IF(COUNTIFS($B$4:$B$73,F4,$H$4:$H$73,"Complete")=1,"Ready","Waiting")))))</f>
        <v/>
      </c>
      <c r="H4" s="4">
        <f>IF(I4="Not started","Not started",IF(I4="Blocked","Blocked",IF(I4="In progress","In progress",IF(J4&lt;&gt;"Passed","Awaiting code review",IF(OR(K4="",NOT(ISNUMBER(L4))),"Awaiting review evidence",IF(N4&lt;&gt;"Passed","Awaiting test",IF(OR(M4="",O4="",NOT(ISNUMBER(P4))),"Awaiting test evidence","Complete")))))))</f>
        <v/>
      </c>
      <c r="I4" s="10" t="inlineStr">
        <is>
          <t>Ready for review</t>
        </is>
      </c>
      <c r="J4" s="10" t="inlineStr">
        <is>
          <t>Passed</t>
        </is>
      </c>
      <c r="K4" s="10" t="inlineStr">
        <is>
          <t>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t>
        </is>
      </c>
      <c r="L4" s="30" t="n">
        <v>46320</v>
      </c>
      <c r="M4" s="10" t="inlineStr">
        <is>
          <t>Developer</t>
        </is>
      </c>
      <c r="N4" s="10" t="inlineStr">
        <is>
          <t>Passed</t>
        </is>
      </c>
      <c r="O4" s="10" t="inlineStr">
        <is>
          <t>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t>
        </is>
      </c>
      <c r="P4" s="30" t="n">
        <v>46320</v>
      </c>
      <c r="Q4" s="10" t="inlineStr">
        <is>
          <t>2026-10-25: FB-001 complete after source review and developer-confirmed local page, Light/Dark refresh persistence and MySQL connection checks. Initial commit d8cdf44 already contains setup; no new tracked application changes.</t>
        </is>
      </c>
      <c r="R4" s="10" t="inlineStr">
        <is>
          <t>Before starting this item or feature: reread AGENTS.md from disk; apply its teaching and testing rules. Completed; continue with FB-002 shared login page.</t>
        </is>
      </c>
      <c r="S4" s="10" t="n"/>
    </row>
    <row r="5" ht="105" customHeight="1">
      <c r="A5" s="9" t="n">
        <v>2</v>
      </c>
      <c r="B5" s="9" t="inlineStr">
        <is>
          <t>FB-002</t>
        </is>
      </c>
      <c r="C5" s="9" t="inlineStr">
        <is>
          <t>Access</t>
        </is>
      </c>
      <c r="D5" s="9" t="inlineStr">
        <is>
          <t>Display the shared login page</t>
        </is>
      </c>
      <c r="E5" s="9" t="inlineStr">
        <is>
          <t>Show one login page for all roles, with username/email and password fields. Explain URL-to-page flow and inherited components; use local fictional accounts. Include approved Remember me checkbox (REQ-178) and verify the selected centered-card appearance (REQ-176).</t>
        </is>
      </c>
      <c r="F5" s="9" t="inlineStr">
        <is>
          <t>FB-001</t>
        </is>
      </c>
      <c r="G5" s="9">
        <f>IF(H5="Complete","Complete",IF(I5="Blocked","Blocked",IF(I5="In progress","Ready",IF(F5="","Ready",IF(COUNTIFS($B$4:$B$73,F5,$H$4:$H$73,"Complete")=1,"Ready","Waiting")))))</f>
        <v/>
      </c>
      <c r="H5" s="9">
        <f>IF(I5="Not started","Not started",IF(I5="Blocked","Blocked",IF(I5="In progress","In progress",IF(J5&lt;&gt;"Passed","Awaiting code review",IF(OR(K5="",NOT(ISNUMBER(L5))),"Awaiting review evidence",IF(N5&lt;&gt;"Passed","Awaiting test",IF(OR(M5="",O5="",NOT(ISNUMBER(P5))),"Awaiting test evidence","Complete")))))))</f>
        <v/>
      </c>
      <c r="I5" s="11" t="inlineStr">
        <is>
          <t>Ready for review</t>
        </is>
      </c>
      <c r="J5" s="11" t="inlineStr">
        <is>
          <t>Passed</t>
        </is>
      </c>
      <c r="K5" s="11" t="inlineStr">
        <is>
          <t>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t>
        </is>
      </c>
      <c r="L5" s="31" t="n">
        <v>46320</v>
      </c>
      <c r="M5" s="11" t="inlineStr">
        <is>
          <t>Developer</t>
        </is>
      </c>
      <c r="N5" s="11" t="inlineStr">
        <is>
          <t>Passed</t>
        </is>
      </c>
      <c r="O5" s="11" t="inlineStr">
        <is>
          <t>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t>
        </is>
      </c>
      <c r="P5" s="31" t="n">
        <v>46320</v>
      </c>
      <c r="Q5" s="11" t="inlineStr">
        <is>
          <t>2026-10-25: Reopened display work complete after final review and developer narrow/short viewport checks. Remember me display included, authentication not connected.</t>
        </is>
      </c>
      <c r="R5" s="11" t="inlineStr">
        <is>
          <t>Before starting this item or feature: reread AGENTS.md from disk; apply its teaching and testing rules. Display verified; continue FB-003 keyboard checks. Commit checkpoint: Build centered login screen with sprout branding and Remember me.</t>
        </is>
      </c>
      <c r="S5" s="11" t="n"/>
    </row>
    <row r="6" ht="105" customHeight="1">
      <c r="A6" s="4" t="n">
        <v>3</v>
      </c>
      <c r="B6" s="4" t="inlineStr">
        <is>
          <t>FB-003</t>
        </is>
      </c>
      <c r="C6" s="4" t="inlineStr">
        <is>
          <t>Access</t>
        </is>
      </c>
      <c r="D6" s="4" t="inlineStr">
        <is>
          <t>Arrange the login form for narrow and wide screens</t>
        </is>
      </c>
      <c r="E6" s="4" t="inlineStr">
        <is>
          <t>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t>
        </is>
      </c>
      <c r="F6" s="4" t="inlineStr">
        <is>
          <t>FB-002</t>
        </is>
      </c>
      <c r="G6" s="4">
        <f>IF(H6="Complete","Complete",IF(I6="Blocked","Blocked",IF(I6="In progress","Ready",IF(F6="","Ready",IF(COUNTIFS($B$4:$B$73,F6,$H$4:$H$73,"Complete")=1,"Ready","Waiting")))))</f>
        <v/>
      </c>
      <c r="H6" s="4">
        <f>IF(I6="Not started","Not started",IF(I6="Blocked","Blocked",IF(I6="In progress","In progress",IF(J6&lt;&gt;"Passed","Awaiting code review",IF(OR(K6="",NOT(ISNUMBER(L6))),"Awaiting review evidence",IF(N6&lt;&gt;"Passed","Awaiting test",IF(OR(M6="",O6="",NOT(ISNUMBER(P6))),"Awaiting test evidence","Complete")))))))</f>
        <v/>
      </c>
      <c r="I6" s="10" t="inlineStr">
        <is>
          <t>Ready for review</t>
        </is>
      </c>
      <c r="J6" s="10" t="inlineStr">
        <is>
          <t>Passed</t>
        </is>
      </c>
      <c r="K6" s="10" t="inlineStr">
        <is>
          <t>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t>
        </is>
      </c>
      <c r="L6" s="30" t="n">
        <v>46320</v>
      </c>
      <c r="M6" s="10" t="inlineStr">
        <is>
          <t>Developer</t>
        </is>
      </c>
      <c r="N6" s="10" t="inlineStr">
        <is>
          <t>Passed</t>
        </is>
      </c>
      <c r="O6" s="10" t="inlineStr">
        <is>
          <t>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t>
        </is>
      </c>
      <c r="P6" s="30" t="n">
        <v>46320</v>
      </c>
      <c r="Q6" s="10" t="inlineStr">
        <is>
          <t>Layout and approved keyboard checks complete 2026-10-25.</t>
        </is>
      </c>
      <c r="R6" s="10" t="inlineStr">
        <is>
          <t>Before starting this item or feature: reread AGENTS.md from disk; apply its teaching and testing rules. Continue FB-004 account prerequisites. Commit checkpoint: Build centered login screen with sprout branding and Remember me.</t>
        </is>
      </c>
      <c r="S6" s="10" t="n"/>
    </row>
    <row r="7" ht="105" customHeight="1">
      <c r="A7" s="9" t="n">
        <v>4</v>
      </c>
      <c r="B7" s="9" t="inlineStr">
        <is>
          <t>FB-004</t>
        </is>
      </c>
      <c r="C7" s="9" t="inlineStr">
        <is>
          <t>Access</t>
        </is>
      </c>
      <c r="D7" s="9" t="inlineStr">
        <is>
          <t>Create the initial account and fixed roles</t>
        </is>
      </c>
      <c r="E7" s="9" t="inlineStr">
        <is>
          <t>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F7" s="9" t="inlineStr">
        <is>
          <t>FB-003</t>
        </is>
      </c>
      <c r="G7" s="9">
        <f>IF(H7="Complete","Complete",IF(I7="Blocked","Blocked",IF(I7="In progress","Ready",IF(F7="","Ready",IF(COUNTIFS($B$4:$B$73,F7,$H$4:$H$73,"Complete")=1,"Ready","Waiting")))))</f>
        <v/>
      </c>
      <c r="H7" s="9">
        <f>IF(I7="Not started","Not started",IF(I7="Blocked","Blocked",IF(I7="In progress","In progress",IF(J7&lt;&gt;"Passed","Awaiting code review",IF(OR(K7="",NOT(ISNUMBER(L7))),"Awaiting review evidence",IF(N7&lt;&gt;"Passed","Awaiting test",IF(OR(M7="",O7="",NOT(ISNUMBER(P7))),"Awaiting test evidence","Complete")))))))</f>
        <v/>
      </c>
      <c r="I7" s="11" t="inlineStr">
        <is>
          <t>In progress</t>
        </is>
      </c>
      <c r="J7" s="11" t="inlineStr">
        <is>
          <t>Passed</t>
        </is>
      </c>
      <c r="K7" s="11" t="inlineStr">
        <is>
          <t>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t>
        </is>
      </c>
      <c r="L7" s="31" t="n">
        <v>46321</v>
      </c>
      <c r="M7" s="11" t="inlineStr">
        <is>
          <t>Developer</t>
        </is>
      </c>
      <c r="N7" s="11" t="inlineStr">
        <is>
          <t>Passed</t>
        </is>
      </c>
      <c r="O7" s="11" t="inlineStr">
        <is>
          <t>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t>
        </is>
      </c>
      <c r="P7" s="31" t="n">
        <v>46321</v>
      </c>
      <c r="Q7" s="11" t="inlineStr">
        <is>
          <t>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t>
        </is>
      </c>
      <c r="R7" s="11" t="inlineStr">
        <is>
          <t>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S7" s="11" t="n"/>
    </row>
    <row r="8" ht="105" customHeight="1">
      <c r="A8" s="4" t="n">
        <v>5</v>
      </c>
      <c r="B8" s="4" t="inlineStr">
        <is>
          <t>FB-005</t>
        </is>
      </c>
      <c r="C8" s="4" t="inlineStr">
        <is>
          <t>Access</t>
        </is>
      </c>
      <c r="D8" s="4" t="inlineStr">
        <is>
          <t>Connect login, logout and protected access</t>
        </is>
      </c>
      <c r="E8" s="4" t="inlineStr">
        <is>
          <t>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t>
        </is>
      </c>
      <c r="F8" s="4" t="inlineStr">
        <is>
          <t>FB-004</t>
        </is>
      </c>
      <c r="G8" s="4">
        <f>IF(H8="Complete","Complete",IF(I8="Blocked","Blocked",IF(I8="In progress","Ready",IF(F8="","Ready",IF(COUNTIFS($B$4:$B$73,F8,$H$4:$H$73,"Complete")=1,"Ready","Waiting")))))</f>
        <v/>
      </c>
      <c r="H8" s="4">
        <f>IF(I8="Not started","Not started",IF(I8="Blocked","Blocked",IF(I8="In progress","In progress",IF(J8&lt;&gt;"Passed","Awaiting code review",IF(OR(K8="",NOT(ISNUMBER(L8))),"Awaiting review evidence",IF(N8&lt;&gt;"Passed","Awaiting test",IF(OR(M8="",O8="",NOT(ISNUMBER(P8))),"Awaiting test evidence","Complete")))))))</f>
        <v/>
      </c>
      <c r="I8" s="10" t="inlineStr">
        <is>
          <t>In progress</t>
        </is>
      </c>
      <c r="J8" s="10" t="inlineStr">
        <is>
          <t>Needs changes</t>
        </is>
      </c>
      <c r="K8" s="10" t="inlineStr">
        <is>
          <t>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L8" s="30" t="n">
        <v>46321</v>
      </c>
      <c r="M8" s="10" t="inlineStr">
        <is>
          <t>Developer and assistant (delegated)</t>
        </is>
      </c>
      <c r="N8" s="10" t="inlineStr">
        <is>
          <t>Not tested</t>
        </is>
      </c>
      <c r="O8" s="10" t="inlineStr">
        <is>
          <t>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t>
        </is>
      </c>
      <c r="P8" s="30" t="n">
        <v>46321</v>
      </c>
      <c r="Q8" s="10" t="inlineStr">
        <is>
          <t>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8" s="10" t="inlineStr">
        <is>
          <t>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8" s="10" t="n"/>
    </row>
    <row r="9" ht="105" customHeight="1">
      <c r="A9" s="9" t="n">
        <v>6</v>
      </c>
      <c r="B9" s="9" t="inlineStr">
        <is>
          <t>FB-016</t>
        </is>
      </c>
      <c r="C9" s="9" t="inlineStr">
        <is>
          <t>Accounts</t>
        </is>
      </c>
      <c r="D9" s="9" t="inlineStr">
        <is>
          <t>Display a create-user page and reactive fields</t>
        </is>
      </c>
      <c r="E9" s="9" t="inlineStr">
        <is>
          <t>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t>
        </is>
      </c>
      <c r="F9" s="9" t="inlineStr">
        <is>
          <t>FB-005</t>
        </is>
      </c>
      <c r="G9" s="9">
        <f>IF(H9="Complete","Complete",IF(I9="Blocked","Blocked",IF(I9="In progress","Ready",IF(F9="","Ready",IF(COUNTIFS($B$4:$B$73,F9,$H$4:$H$73,"Complete")=1,"Ready","Waiting")))))</f>
        <v/>
      </c>
      <c r="H9" s="9">
        <f>IF(I9="Not started","Not started",IF(I9="Blocked","Blocked",IF(I9="In progress","In progress",IF(J9&lt;&gt;"Passed","Awaiting code review",IF(OR(K9="",NOT(ISNUMBER(L9))),"Awaiting review evidence",IF(N9&lt;&gt;"Passed","Awaiting test",IF(OR(M9="",O9="",NOT(ISNUMBER(P9))),"Awaiting test evidence","Complete")))))))</f>
        <v/>
      </c>
      <c r="I9" s="11" t="inlineStr">
        <is>
          <t>In progress</t>
        </is>
      </c>
      <c r="J9" s="11" t="inlineStr">
        <is>
          <t>Changes needed</t>
        </is>
      </c>
      <c r="K9"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9" s="31" t="n">
        <v>46323.5</v>
      </c>
      <c r="M9" s="11" t="inlineStr">
        <is>
          <t>Assistant (explicitly delegated; prior developer evidence retained)</t>
        </is>
      </c>
      <c r="N9" s="11" t="inlineStr">
        <is>
          <t>Failed</t>
        </is>
      </c>
      <c r="O9" s="11" t="inlineStr">
        <is>
          <t>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9" s="31" t="n">
        <v>46323.5</v>
      </c>
      <c r="Q9" s="11"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t>
        </is>
      </c>
      <c r="R9"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9" s="11" t="n"/>
    </row>
    <row r="10" ht="105" customHeight="1">
      <c r="A10" s="4" t="n">
        <v>7</v>
      </c>
      <c r="B10" s="4" t="inlineStr">
        <is>
          <t>FB-017</t>
        </is>
      </c>
      <c r="C10" s="4" t="inlineStr">
        <is>
          <t>Accounts</t>
        </is>
      </c>
      <c r="D10" s="4" t="inlineStr">
        <is>
          <t>Arrange the create form and format Canadian phones</t>
        </is>
      </c>
      <c r="E10" s="4" t="inlineStr">
        <is>
          <t>Teach stacked-to-column layout. While typing, phone becomes +1 506-555-0123; ten digits after +1. Labels and field errors fit without overflow.</t>
        </is>
      </c>
      <c r="F10" s="4" t="inlineStr">
        <is>
          <t>FB-016</t>
        </is>
      </c>
      <c r="G10" s="4">
        <f>IF(H10="Complete","Complete",IF(I10="Blocked","Blocked",IF(I10="In progress","Ready",IF(F10="","Ready",IF(COUNTIFS($B$4:$B$73,F10,$H$4:$H$73,"Complete")=1,"Ready","Waiting")))))</f>
        <v/>
      </c>
      <c r="H10" s="4">
        <f>IF(I10="Not started","Not started",IF(I10="Blocked","Blocked",IF(I10="In progress","In progress",IF(J10&lt;&gt;"Passed","Awaiting code review",IF(OR(K10="",NOT(ISNUMBER(L10))),"Awaiting review evidence",IF(N10&lt;&gt;"Passed","Awaiting test",IF(OR(M10="",O10="",NOT(ISNUMBER(P10))),"Awaiting test evidence","Complete")))))))</f>
        <v/>
      </c>
      <c r="I10" s="10" t="inlineStr">
        <is>
          <t>In progress</t>
        </is>
      </c>
      <c r="J10" s="10" t="inlineStr">
        <is>
          <t>Changes needed</t>
        </is>
      </c>
      <c r="K10" s="10"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0" s="30" t="n">
        <v>46323.5</v>
      </c>
      <c r="M10" s="10" t="inlineStr">
        <is>
          <t>Assistant (explicitly delegated; prior developer evidence retained)</t>
        </is>
      </c>
      <c r="N10" s="10" t="inlineStr">
        <is>
          <t>Failed</t>
        </is>
      </c>
      <c r="O10" s="10" t="inlineStr">
        <is>
          <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0" s="30" t="n">
        <v>46323.5</v>
      </c>
      <c r="Q10" s="10" t="inlineStr">
        <is>
          <t>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0" s="10"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0" s="10" t="n"/>
    </row>
    <row r="11" ht="105" customHeight="1">
      <c r="A11" s="9" t="n">
        <v>8</v>
      </c>
      <c r="B11" s="9" t="inlineStr">
        <is>
          <t>FB-018</t>
        </is>
      </c>
      <c r="C11" s="9" t="inlineStr">
        <is>
          <t>Accounts</t>
        </is>
      </c>
      <c r="D11" s="9" t="inlineStr">
        <is>
          <t>Generate meaningful unique usernames</t>
        </is>
      </c>
      <c r="E11" s="9" t="inlineStr">
        <is>
          <t>Lowercase first.last; remove spaces/hyphens/apostrophes and transliterate accents for username only. Collisions across all roles use .01, .02 etc. Unexpected symbols or unusable name parts block saving; no user.user fallback.</t>
        </is>
      </c>
      <c r="F11" s="9" t="inlineStr">
        <is>
          <t>FB-017</t>
        </is>
      </c>
      <c r="G11" s="9">
        <f>IF(H11="Complete","Complete",IF(I11="Blocked","Blocked",IF(I11="In progress","Ready",IF(F11="","Ready",IF(COUNTIFS($B$4:$B$73,F11,$H$4:$H$73,"Complete")=1,"Ready","Waiting")))))</f>
        <v/>
      </c>
      <c r="H11" s="9">
        <f>IF(I11="Not started","Not started",IF(I11="Blocked","Blocked",IF(I11="In progress","In progress",IF(J11&lt;&gt;"Passed","Awaiting code review",IF(OR(K11="",NOT(ISNUMBER(L11))),"Awaiting review evidence",IF(N11&lt;&gt;"Passed","Awaiting test",IF(OR(M11="",O11="",NOT(ISNUMBER(P11))),"Awaiting test evidence","Complete")))))))</f>
        <v/>
      </c>
      <c r="I11" s="11" t="inlineStr">
        <is>
          <t>In progress</t>
        </is>
      </c>
      <c r="J11" s="11" t="inlineStr">
        <is>
          <t>Changes needed</t>
        </is>
      </c>
      <c r="K11" s="11"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1" s="31" t="n">
        <v>46324</v>
      </c>
      <c r="M11" s="11" t="inlineStr">
        <is>
          <t>Assistant (delegated; browser Cancel user-assisted)</t>
        </is>
      </c>
      <c r="N11" s="11" t="inlineStr">
        <is>
          <t>Failed</t>
        </is>
      </c>
      <c r="O11" s="11" t="inlineStr">
        <is>
          <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1" s="31" t="n">
        <v>46324</v>
      </c>
      <c r="Q11" s="11" t="inlineStr">
        <is>
          <t>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t>
        </is>
      </c>
      <c r="R11" s="11" t="inlineStr">
        <is>
          <t>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t>
        </is>
      </c>
      <c r="S11" s="11" t="n"/>
    </row>
    <row r="12" ht="105" customHeight="1">
      <c r="A12" s="4" t="n">
        <v>9</v>
      </c>
      <c r="B12" s="4" t="inlineStr">
        <is>
          <t>FB-020</t>
        </is>
      </c>
      <c r="C12" s="4" t="inlineStr">
        <is>
          <t>Accounts</t>
        </is>
      </c>
      <c r="D12" s="4" t="inlineStr">
        <is>
          <t>Build the protected read-only account details page</t>
        </is>
      </c>
      <c r="E12" s="4" t="inlineStr">
        <is>
          <t>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t>
        </is>
      </c>
      <c r="F12" s="4" t="inlineStr">
        <is>
          <t>FB-018</t>
        </is>
      </c>
      <c r="G12" s="4">
        <f>IF(H12="Complete","Complete",IF(I12="Blocked","Blocked",IF(I12="In progress","Ready",IF(F12="","Ready",IF(COUNTIFS($B$4:$B$73,F12,$H$4:$H$73,"Complete")=1,"Ready","Waiting")))))</f>
        <v/>
      </c>
      <c r="H12" s="4">
        <f>IF(I12="Not started","Not started",IF(I12="Blocked","Blocked",IF(I12="In progress","In progress",IF(J12&lt;&gt;"Passed","Awaiting code review",IF(OR(K12="",NOT(ISNUMBER(L12))),"Awaiting review evidence",IF(N12&lt;&gt;"Passed","Awaiting test",IF(OR(M12="",O12="",NOT(ISNUMBER(P12))),"Awaiting test evidence","Complete")))))))</f>
        <v/>
      </c>
      <c r="I12" s="10" t="inlineStr">
        <is>
          <t>Ready for review</t>
        </is>
      </c>
      <c r="J12" s="10" t="inlineStr">
        <is>
          <t>Passed</t>
        </is>
      </c>
      <c r="K12" s="10" t="inlineStr">
        <is>
          <t>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2" s="30" t="n">
        <v>46323.5</v>
      </c>
      <c r="M12" s="10" t="inlineStr">
        <is>
          <t>Assistant (delegated) and Developer</t>
        </is>
      </c>
      <c r="N12" s="10" t="inlineStr">
        <is>
          <t>Passed</t>
        </is>
      </c>
      <c r="O12" s="10" t="inlineStr">
        <is>
          <t>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2" s="30" t="n">
        <v>46323.5</v>
      </c>
      <c r="Q12" s="10" t="inlineStr">
        <is>
          <t>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t>
        </is>
      </c>
      <c r="R12" s="10" t="inlineStr">
        <is>
          <t>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t>
        </is>
      </c>
      <c r="S12" s="10" t="n"/>
    </row>
    <row r="13" ht="105" customHeight="1">
      <c r="A13" s="9" t="n">
        <v>10</v>
      </c>
      <c r="B13" s="9" t="inlineStr">
        <is>
          <t>FB-019</t>
        </is>
      </c>
      <c r="C13" s="9" t="inlineStr">
        <is>
          <t>Accounts</t>
        </is>
      </c>
      <c r="D13" s="9" t="inlineStr">
        <is>
          <t>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t>
        </is>
      </c>
      <c r="E13" s="9" t="inlineStr">
        <is>
          <t>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F13" s="9" t="inlineStr">
        <is>
          <t>FB-020</t>
        </is>
      </c>
      <c r="G13" s="9">
        <f>IF(H13="Complete","Complete",IF(I13="Blocked","Blocked",IF(I13="In progress","Ready",IF(F13="","Ready",IF(COUNTIFS($B$4:$B$73,F13,$H$4:$H$73,"Complete")=1,"Ready","Waiting")))))</f>
        <v/>
      </c>
      <c r="H13" s="9">
        <f>IF(I13="Not started","Not started",IF(I13="Blocked","Blocked",IF(I13="In progress","In progress",IF(J13&lt;&gt;"Passed","Awaiting code review",IF(OR(K13="",NOT(ISNUMBER(L13))),"Awaiting review evidence",IF(N13&lt;&gt;"Passed","Awaiting test",IF(OR(M13="",O13="",NOT(ISNUMBER(P13))),"Awaiting test evidence","Complete")))))))</f>
        <v/>
      </c>
      <c r="I13" s="11" t="inlineStr">
        <is>
          <t>In progress</t>
        </is>
      </c>
      <c r="J13" s="11" t="inlineStr">
        <is>
          <t>Changes needed</t>
        </is>
      </c>
      <c r="K13"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3" s="31" t="n">
        <v>46324</v>
      </c>
      <c r="M13" s="11" t="inlineStr">
        <is>
          <t>Assistant (delegated; browser Cancel user-assisted)</t>
        </is>
      </c>
      <c r="N13" s="11" t="inlineStr">
        <is>
          <t>Failed</t>
        </is>
      </c>
      <c r="O13" s="11" t="inlineStr">
        <is>
          <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3" s="31" t="n">
        <v>46324</v>
      </c>
      <c r="Q13" s="11" t="inlineStr">
        <is>
          <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3"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3" s="11" t="n"/>
    </row>
    <row r="14" ht="105" customHeight="1">
      <c r="A14" s="4" t="n">
        <v>11</v>
      </c>
      <c r="B14" s="4" t="inlineStr">
        <is>
          <t>FB-006</t>
        </is>
      </c>
      <c r="C14" s="4" t="inlineStr">
        <is>
          <t>Access</t>
        </is>
      </c>
      <c r="D14" s="4" t="inlineStr">
        <is>
          <t>Build the required personal-password setup screen</t>
        </is>
      </c>
      <c r="E14" s="4" t="inlineStr">
        <is>
          <t>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t>
        </is>
      </c>
      <c r="F14" s="4" t="inlineStr">
        <is>
          <t>FB-019</t>
        </is>
      </c>
      <c r="G14" s="4">
        <f>IF(H14="Complete","Complete",IF(I14="Blocked","Blocked",IF(I14="In progress","Ready",IF(F14="","Ready",IF(COUNTIFS($B$4:$B$73,F14,$H$4:$H$73,"Complete")=1,"Ready","Waiting")))))</f>
        <v/>
      </c>
      <c r="H14" s="4">
        <f>IF(I14="Not started","Not started",IF(I14="Blocked","Blocked",IF(I14="In progress","In progress",IF(J14&lt;&gt;"Passed","Awaiting code review",IF(OR(K14="",NOT(ISNUMBER(L14))),"Awaiting review evidence",IF(N14&lt;&gt;"Passed","Awaiting test",IF(OR(M14="",O14="",NOT(ISNUMBER(P14))),"Awaiting test evidence","Complete")))))))</f>
        <v/>
      </c>
      <c r="I14" s="10" t="inlineStr">
        <is>
          <t>In progress</t>
        </is>
      </c>
      <c r="J14" s="10" t="inlineStr">
        <is>
          <t>Changes needed</t>
        </is>
      </c>
      <c r="K14" s="10"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t>
        </is>
      </c>
      <c r="L14" s="30" t="n">
        <v>46322</v>
      </c>
      <c r="M14" s="10" t="inlineStr">
        <is>
          <t>Assistant (delegated)</t>
        </is>
      </c>
      <c r="N14" s="10" t="inlineStr">
        <is>
          <t>Failed</t>
        </is>
      </c>
      <c r="O14" s="10"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t>
        </is>
      </c>
      <c r="P14" s="30" t="n">
        <v>46322</v>
      </c>
      <c r="Q14" s="10" t="inlineStr">
        <is>
          <t>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4" s="10"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4" s="10" t="n"/>
    </row>
    <row r="15" ht="105" customHeight="1">
      <c r="A15" s="9" t="n">
        <v>12</v>
      </c>
      <c r="B15" s="9" t="inlineStr">
        <is>
          <t>FB-007</t>
        </is>
      </c>
      <c r="C15" s="9" t="inlineStr">
        <is>
          <t>Access</t>
        </is>
      </c>
      <c r="D15" s="9" t="inlineStr">
        <is>
          <t>Save the initial personal password and require login again</t>
        </is>
      </c>
      <c r="E15" s="9" t="inlineStr">
        <is>
          <t>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t>
        </is>
      </c>
      <c r="F15" s="9" t="inlineStr">
        <is>
          <t>FB-006</t>
        </is>
      </c>
      <c r="G15" s="9">
        <f>IF(H15="Complete","Complete",IF(I15="Blocked","Blocked",IF(I15="In progress","Ready",IF(F15="","Ready",IF(COUNTIFS($B$4:$B$73,F15,$H$4:$H$73,"Complete")=1,"Ready","Waiting")))))</f>
        <v/>
      </c>
      <c r="H15" s="9">
        <f>IF(I15="Not started","Not started",IF(I15="Blocked","Blocked",IF(I15="In progress","In progress",IF(J15&lt;&gt;"Passed","Awaiting code review",IF(OR(K15="",NOT(ISNUMBER(L15))),"Awaiting review evidence",IF(N15&lt;&gt;"Passed","Awaiting test",IF(OR(M15="",O15="",NOT(ISNUMBER(P15))),"Awaiting test evidence","Complete")))))))</f>
        <v/>
      </c>
      <c r="I15" s="11" t="inlineStr">
        <is>
          <t>In progress</t>
        </is>
      </c>
      <c r="J15" s="11" t="inlineStr">
        <is>
          <t>Changes needed</t>
        </is>
      </c>
      <c r="K15" s="11"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t>
        </is>
      </c>
      <c r="L15" s="31" t="n">
        <v>46322</v>
      </c>
      <c r="M15" s="11" t="inlineStr">
        <is>
          <t>Assistant (delegated)</t>
        </is>
      </c>
      <c r="N15" s="11" t="inlineStr">
        <is>
          <t>Failed</t>
        </is>
      </c>
      <c r="O15" s="11"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t>
        </is>
      </c>
      <c r="P15" s="31" t="n">
        <v>46322</v>
      </c>
      <c r="Q15" s="11" t="inlineStr">
        <is>
          <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5" s="11"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5" s="11" t="n"/>
    </row>
    <row r="16" ht="105" customHeight="1">
      <c r="A16" s="4" t="n">
        <v>13</v>
      </c>
      <c r="B16" s="4" t="inlineStr">
        <is>
          <t>FB-024</t>
        </is>
      </c>
      <c r="C16" s="4" t="inlineStr">
        <is>
          <t>Accounts</t>
        </is>
      </c>
      <c r="D16" s="4" t="inlineStr">
        <is>
          <t>Change the signed-in user’s password</t>
        </is>
      </c>
      <c r="E16" s="4" t="inlineStr">
        <is>
          <t>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t>
        </is>
      </c>
      <c r="F16" s="4" t="inlineStr">
        <is>
          <t>FB-007</t>
        </is>
      </c>
      <c r="G16" s="4">
        <f>IF(H16="Complete","Complete",IF(I16="Blocked","Blocked",IF(I16="In progress","Ready",IF(F16="","Ready",IF(COUNTIFS($B$4:$B$73,F16,$H$4:$H$73,"Complete")=1,"Ready","Waiting")))))</f>
        <v/>
      </c>
      <c r="H16" s="4">
        <f>IF(I16="Not started","Not started",IF(I16="Blocked","Blocked",IF(I16="In progress","In progress",IF(J16&lt;&gt;"Passed","Awaiting code review",IF(OR(K16="",NOT(ISNUMBER(L16))),"Awaiting review evidence",IF(N16&lt;&gt;"Passed","Awaiting test",IF(OR(M16="",O16="",NOT(ISNUMBER(P16))),"Awaiting test evidence","Complete")))))))</f>
        <v/>
      </c>
      <c r="I16" s="10" t="inlineStr">
        <is>
          <t>In progress</t>
        </is>
      </c>
      <c r="J16" s="10" t="inlineStr">
        <is>
          <t>Not reviewed</t>
        </is>
      </c>
      <c r="K16" s="10" t="n"/>
      <c r="L16" s="30" t="n"/>
      <c r="M16" s="10" t="n"/>
      <c r="N16" s="10" t="inlineStr">
        <is>
          <t>Not tested</t>
        </is>
      </c>
      <c r="O16" s="10" t="n"/>
      <c r="P16" s="30" t="n"/>
      <c r="Q16" s="10" t="inlineStr">
        <is>
          <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16" s="10" t="inlineStr">
        <is>
          <t>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6" s="10" t="n"/>
    </row>
    <row r="17" ht="105" customHeight="1">
      <c r="A17" s="9" t="n">
        <v>14</v>
      </c>
      <c r="B17" s="9" t="inlineStr">
        <is>
          <t>FB-009</t>
        </is>
      </c>
      <c r="C17" s="9" t="inlineStr">
        <is>
          <t>Accounts</t>
        </is>
      </c>
      <c r="D17" s="9" t="inlineStr">
        <is>
          <t>Display the unfiltered user lists</t>
        </is>
      </c>
      <c r="E17" s="9" t="inlineStr">
        <is>
          <t>Shared directory available to every signed-in user; all three roles, active and inactive. SIX separate columns First name, Last name, Email, Phone, Role, Status. Fictional props/loops/stable keys first. Separate full-details/management permissions. No pictures now. REQ-041.</t>
        </is>
      </c>
      <c r="F17" s="9" t="inlineStr">
        <is>
          <t>FB-024</t>
        </is>
      </c>
      <c r="G17" s="9">
        <f>IF(H17="Complete","Complete",IF(I17="Blocked","Blocked",IF(I17="In progress","Ready",IF(F17="","Ready",IF(COUNTIFS($B$4:$B$73,F17,$H$4:$H$73,"Complete")=1,"Ready","Waiting")))))</f>
        <v/>
      </c>
      <c r="H17" s="9">
        <f>IF(I17="Not started","Not started",IF(I17="Blocked","Blocked",IF(I17="In progress","In progress",IF(J17&lt;&gt;"Passed","Awaiting code review",IF(OR(K17="",NOT(ISNUMBER(L17))),"Awaiting review evidence",IF(N17&lt;&gt;"Passed","Awaiting test",IF(OR(M17="",O17="",NOT(ISNUMBER(P17))),"Awaiting test evidence","Complete")))))))</f>
        <v/>
      </c>
      <c r="I17" s="11" t="inlineStr">
        <is>
          <t>In progress</t>
        </is>
      </c>
      <c r="J17" s="11" t="inlineStr">
        <is>
          <t>Changes needed</t>
        </is>
      </c>
      <c r="K17"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7" s="31" t="n">
        <v>46324</v>
      </c>
      <c r="M17" s="11" t="inlineStr">
        <is>
          <t>Developer</t>
        </is>
      </c>
      <c r="N17" s="11" t="inlineStr">
        <is>
          <t>Partial</t>
        </is>
      </c>
      <c r="O17" s="11" t="inlineStr">
        <is>
          <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7" s="31" t="inlineStr">
        <is>
          <t>2026-10-29</t>
        </is>
      </c>
      <c r="Q17" s="11" t="inlineStr">
        <is>
          <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7"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7" s="11" t="n"/>
    </row>
    <row r="18" ht="105" customHeight="1">
      <c r="A18" s="4" t="n">
        <v>15</v>
      </c>
      <c r="B18" s="4" t="inlineStr">
        <is>
          <t>FB-010</t>
        </is>
      </c>
      <c r="C18" s="4" t="inlineStr">
        <is>
          <t>Accounts</t>
        </is>
      </c>
      <c r="D18" s="4" t="inlineStr">
        <is>
          <t>Lay out the lists and toolbar</t>
        </is>
      </c>
      <c r="E18" s="4" t="inlineStr">
        <is>
          <t>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t>
        </is>
      </c>
      <c r="F18" s="4" t="inlineStr">
        <is>
          <t>FB-009</t>
        </is>
      </c>
      <c r="G18" s="4">
        <f>IF(H18="Complete","Complete",IF(I18="Blocked","Blocked",IF(I18="In progress","Ready",IF(F18="","Ready",IF(COUNTIFS($B$4:$B$73,F18,$H$4:$H$73,"Complete")=1,"Ready","Waiting")))))</f>
        <v/>
      </c>
      <c r="H18" s="4">
        <f>IF(I18="Not started","Not started",IF(I18="Blocked","Blocked",IF(I18="In progress","In progress",IF(J18&lt;&gt;"Passed","Awaiting code review",IF(OR(K18="",NOT(ISNUMBER(L18))),"Awaiting review evidence",IF(N18&lt;&gt;"Passed","Awaiting test",IF(OR(M18="",O18="",NOT(ISNUMBER(P18))),"Awaiting test evidence","Complete")))))))</f>
        <v/>
      </c>
      <c r="I18" s="10" t="inlineStr">
        <is>
          <t>In progress</t>
        </is>
      </c>
      <c r="J18" s="10" t="inlineStr">
        <is>
          <t>Not reviewed</t>
        </is>
      </c>
      <c r="K1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8" s="30" t="n">
        <v>46324</v>
      </c>
      <c r="M18" s="10" t="inlineStr">
        <is>
          <t>Developer</t>
        </is>
      </c>
      <c r="N18" s="10" t="inlineStr">
        <is>
          <t>Partial</t>
        </is>
      </c>
      <c r="O18" s="10" t="inlineStr">
        <is>
          <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8" s="30" t="n"/>
      <c r="Q18" s="10" t="inlineStr">
        <is>
          <t>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8"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8" s="10" t="n"/>
    </row>
    <row r="19" ht="105" customHeight="1">
      <c r="A19" s="9" t="n">
        <v>16</v>
      </c>
      <c r="B19" s="9" t="inlineStr">
        <is>
          <t>FB-011</t>
        </is>
      </c>
      <c r="C19" s="9" t="inlineStr">
        <is>
          <t>Accounts</t>
        </is>
      </c>
      <c r="D19" s="9" t="inlineStr">
        <is>
          <t>Add account search</t>
        </is>
      </c>
      <c r="E19" s="9" t="inlineStr">
        <is>
          <t>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t>
        </is>
      </c>
      <c r="F19" s="9" t="inlineStr">
        <is>
          <t>FB-010</t>
        </is>
      </c>
      <c r="G19" s="9">
        <f>IF(H19="Complete","Complete",IF(I19="Blocked","Blocked",IF(I19="In progress","Ready",IF(F19="","Ready",IF(COUNTIFS($B$4:$B$73,F19,$H$4:$H$73,"Complete")=1,"Ready","Waiting")))))</f>
        <v/>
      </c>
      <c r="H19" s="9">
        <f>IF(I19="Not started","Not started",IF(I19="Blocked","Blocked",IF(I19="In progress","In progress",IF(J19&lt;&gt;"Passed","Awaiting code review",IF(OR(K19="",NOT(ISNUMBER(L19))),"Awaiting review evidence",IF(N19&lt;&gt;"Passed","Awaiting test",IF(OR(M19="",O19="",NOT(ISNUMBER(P19))),"Awaiting test evidence","Complete")))))))</f>
        <v/>
      </c>
      <c r="I19" s="11" t="inlineStr">
        <is>
          <t>In progress</t>
        </is>
      </c>
      <c r="J19" s="11" t="inlineStr">
        <is>
          <t>Changes needed</t>
        </is>
      </c>
      <c r="K19"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9" s="31" t="n">
        <v>46324</v>
      </c>
      <c r="M19" s="11" t="inlineStr">
        <is>
          <t>Developer</t>
        </is>
      </c>
      <c r="N19" s="11" t="inlineStr">
        <is>
          <t>Partial</t>
        </is>
      </c>
      <c r="O19" s="11" t="inlineStr">
        <is>
          <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9" s="31" t="n"/>
      <c r="Q19" s="11" t="inlineStr">
        <is>
          <t>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9"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9" s="11" t="n"/>
    </row>
    <row r="20" ht="105" customHeight="1">
      <c r="A20" s="4" t="n">
        <v>17</v>
      </c>
      <c r="B20" s="4" t="inlineStr">
        <is>
          <t>FB-012</t>
        </is>
      </c>
      <c r="C20" s="4" t="inlineStr">
        <is>
          <t>Accounts</t>
        </is>
      </c>
      <c r="D20" s="4" t="inlineStr">
        <is>
          <t>Extend directory search to partial role names</t>
        </is>
      </c>
      <c r="E20" s="4" t="inlineStr">
        <is>
          <t>Same single search box matches role labels as well as first name, last name, email or phone. manager, mana and manag find Managers. Search applies before pagination; no separate status or role dropdown. Related rule: REQ-041.</t>
        </is>
      </c>
      <c r="F20" s="4" t="inlineStr">
        <is>
          <t>FB-011</t>
        </is>
      </c>
      <c r="G20" s="4">
        <f>IF(H20="Complete","Complete",IF(I20="Blocked","Blocked",IF(I20="In progress","Ready",IF(F20="","Ready",IF(COUNTIFS($B$4:$B$73,F20,$H$4:$H$73,"Complete")=1,"Ready","Waiting")))))</f>
        <v/>
      </c>
      <c r="H20" s="4">
        <f>IF(I20="Not started","Not started",IF(I20="Blocked","Blocked",IF(I20="In progress","In progress",IF(J20&lt;&gt;"Passed","Awaiting code review",IF(OR(K20="",NOT(ISNUMBER(L20))),"Awaiting review evidence",IF(N20&lt;&gt;"Passed","Awaiting test",IF(OR(M20="",O20="",NOT(ISNUMBER(P20))),"Awaiting test evidence","Complete")))))))</f>
        <v/>
      </c>
      <c r="I20" s="10" t="inlineStr">
        <is>
          <t>In progress</t>
        </is>
      </c>
      <c r="J20" s="10" t="inlineStr">
        <is>
          <t>Changes needed</t>
        </is>
      </c>
      <c r="K20"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0" s="30" t="n">
        <v>46324</v>
      </c>
      <c r="M20" s="10" t="inlineStr">
        <is>
          <t>Developer</t>
        </is>
      </c>
      <c r="N20" s="10" t="inlineStr">
        <is>
          <t>Partial</t>
        </is>
      </c>
      <c r="O20" s="10" t="inlineStr">
        <is>
          <t>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0" s="30" t="n"/>
      <c r="Q20" s="10" t="inlineStr">
        <is>
          <t>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0"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0" s="10" t="n"/>
    </row>
    <row r="21" ht="105" customHeight="1">
      <c r="A21" s="9" t="n">
        <v>18</v>
      </c>
      <c r="B21" s="9" t="inlineStr">
        <is>
          <t>FB-013</t>
        </is>
      </c>
      <c r="C21" s="9" t="inlineStr">
        <is>
          <t>Accounts</t>
        </is>
      </c>
      <c r="D21" s="9" t="inlineStr">
        <is>
          <t>Handle cleared searches and no matching users</t>
        </is>
      </c>
      <c r="E21" s="9" t="inlineStr">
        <is>
          <t>Clearing the single search restores the full permitted directory; a search with no matches displays an understandable empty result. Include contact and partial-role searches. No separate role/status dropdowns. Related rule: REQ-041.</t>
        </is>
      </c>
      <c r="F21" s="9" t="inlineStr">
        <is>
          <t>FB-012</t>
        </is>
      </c>
      <c r="G21" s="9">
        <f>IF(H21="Complete","Complete",IF(I21="Blocked","Blocked",IF(I21="In progress","Ready",IF(F21="","Ready",IF(COUNTIFS($B$4:$B$73,F21,$H$4:$H$73,"Complete")=1,"Ready","Waiting")))))</f>
        <v/>
      </c>
      <c r="H21" s="9">
        <f>IF(I21="Not started","Not started",IF(I21="Blocked","Blocked",IF(I21="In progress","In progress",IF(J21&lt;&gt;"Passed","Awaiting code review",IF(OR(K21="",NOT(ISNUMBER(L21))),"Awaiting review evidence",IF(N21&lt;&gt;"Passed","Awaiting test",IF(OR(M21="",O21="",NOT(ISNUMBER(P21))),"Awaiting test evidence","Complete")))))))</f>
        <v/>
      </c>
      <c r="I21" s="11" t="inlineStr">
        <is>
          <t>In progress</t>
        </is>
      </c>
      <c r="J21" s="11" t="inlineStr">
        <is>
          <t>Changes needed</t>
        </is>
      </c>
      <c r="K21"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1" s="31" t="n">
        <v>46324</v>
      </c>
      <c r="M21" s="11" t="inlineStr">
        <is>
          <t>Developer</t>
        </is>
      </c>
      <c r="N21" s="11" t="inlineStr">
        <is>
          <t>Passed</t>
        </is>
      </c>
      <c r="O21" s="11" t="inlineStr">
        <is>
          <t>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1" s="31" t="n">
        <v>46324</v>
      </c>
      <c r="Q21" s="11" t="inlineStr">
        <is>
          <t>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1"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1" s="11" t="n"/>
    </row>
    <row r="22" ht="105" customHeight="1">
      <c r="A22" s="4" t="n">
        <v>19</v>
      </c>
      <c r="B22" s="4" t="inlineStr">
        <is>
          <t>FB-014</t>
        </is>
      </c>
      <c r="C22" s="4" t="inlineStr">
        <is>
          <t>Accounts</t>
        </is>
      </c>
      <c r="D22" s="4" t="inlineStr">
        <is>
          <t>Paginate the user lists</t>
        </is>
      </c>
      <c r="E22" s="4" t="inlineStr">
        <is>
          <t>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t>
        </is>
      </c>
      <c r="F22" s="4" t="inlineStr">
        <is>
          <t>FB-013</t>
        </is>
      </c>
      <c r="G22" s="4">
        <f>IF(H22="Complete","Complete",IF(I22="Blocked","Blocked",IF(I22="In progress","Ready",IF(F22="","Ready",IF(COUNTIFS($B$4:$B$73,F22,$H$4:$H$73,"Complete")=1,"Ready","Waiting")))))</f>
        <v/>
      </c>
      <c r="H22" s="4">
        <f>IF(I22="Not started","Not started",IF(I22="Blocked","Blocked",IF(I22="In progress","In progress",IF(J22&lt;&gt;"Passed","Awaiting code review",IF(OR(K22="",NOT(ISNUMBER(L22))),"Awaiting review evidence",IF(N22&lt;&gt;"Passed","Awaiting test",IF(OR(M22="",O22="",NOT(ISNUMBER(P22))),"Awaiting test evidence","Complete")))))))</f>
        <v/>
      </c>
      <c r="I22" s="10" t="inlineStr">
        <is>
          <t>In progress</t>
        </is>
      </c>
      <c r="J22" s="10" t="inlineStr">
        <is>
          <t>Changes needed</t>
        </is>
      </c>
      <c r="K22"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2" s="30" t="n">
        <v>46324</v>
      </c>
      <c r="M22" s="10" t="inlineStr">
        <is>
          <t>Developer</t>
        </is>
      </c>
      <c r="N22" s="10" t="inlineStr">
        <is>
          <t>Passed</t>
        </is>
      </c>
      <c r="O22" s="10" t="inlineStr">
        <is>
          <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2" s="30" t="n">
        <v>46324</v>
      </c>
      <c r="Q22" s="10" t="inlineStr">
        <is>
          <t>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2"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2" s="10" t="n"/>
    </row>
    <row r="23" ht="105" customHeight="1">
      <c r="A23" s="9" t="n">
        <v>20</v>
      </c>
      <c r="B23" s="9" t="inlineStr">
        <is>
          <t>FB-015</t>
        </is>
      </c>
      <c r="C23" s="9" t="inlineStr">
        <is>
          <t>Accounts</t>
        </is>
      </c>
      <c r="D23" s="9" t="inlineStr">
        <is>
          <t>Verify shared directory access on the server</t>
        </is>
      </c>
      <c r="E23" s="9" t="inlineStr">
        <is>
          <t>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t>
        </is>
      </c>
      <c r="F23" s="9" t="inlineStr">
        <is>
          <t>FB-014</t>
        </is>
      </c>
      <c r="G23" s="9">
        <f>IF(H23="Complete","Complete",IF(I23="Blocked","Blocked",IF(I23="In progress","Ready",IF(F23="","Ready",IF(COUNTIFS($B$4:$B$73,F23,$H$4:$H$73,"Complete")=1,"Ready","Waiting")))))</f>
        <v/>
      </c>
      <c r="H23" s="9">
        <f>IF(I23="Not started","Not started",IF(I23="Blocked","Blocked",IF(I23="In progress","In progress",IF(J23&lt;&gt;"Passed","Awaiting code review",IF(OR(K23="",NOT(ISNUMBER(L23))),"Awaiting review evidence",IF(N23&lt;&gt;"Passed","Awaiting test",IF(OR(M23="",O23="",NOT(ISNUMBER(P23))),"Awaiting test evidence","Complete")))))))</f>
        <v/>
      </c>
      <c r="I23" s="11" t="inlineStr">
        <is>
          <t>In progress</t>
        </is>
      </c>
      <c r="J23" s="11" t="inlineStr">
        <is>
          <t>Changes needed</t>
        </is>
      </c>
      <c r="K23"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3" s="31" t="n">
        <v>46324</v>
      </c>
      <c r="M23" s="11" t="inlineStr">
        <is>
          <t>Developer</t>
        </is>
      </c>
      <c r="N23" s="11" t="inlineStr">
        <is>
          <t>Partial</t>
        </is>
      </c>
      <c r="O23" s="11" t="inlineStr">
        <is>
          <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3" s="31" t="n"/>
      <c r="Q23" s="11" t="inlineStr">
        <is>
          <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3"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3" s="11" t="n"/>
    </row>
    <row r="24" ht="105" customHeight="1">
      <c r="A24" s="4" t="n">
        <v>67</v>
      </c>
      <c r="B24" s="4" t="inlineStr">
        <is>
          <t>FB-008</t>
        </is>
      </c>
      <c r="C24" s="4" t="inlineStr">
        <is>
          <t>Access</t>
        </is>
      </c>
      <c r="D24" s="4" t="inlineStr">
        <is>
          <t>Display role landing pages and navigation</t>
        </is>
      </c>
      <c r="E24" s="4" t="inlineStr">
        <is>
          <t>After normal login: manager volunteer list, Super Admin combined list, volunteer welcome page. Setup takes priority. Welcome offers password change/logout; add inventory links as those features become available.</t>
        </is>
      </c>
      <c r="F24" s="4" t="inlineStr">
        <is>
          <t>FB-068</t>
        </is>
      </c>
      <c r="G24" s="4">
        <f>IF(H24="Complete","Complete",IF(I24="Blocked","Blocked",IF(I24="In progress","Ready",IF(F24="","Ready",IF(COUNTIFS($B$4:$B$73,F24,$H$4:$H$73,"Complete")=1,"Ready","Waiting")))))</f>
        <v/>
      </c>
      <c r="H24" s="4">
        <f>IF(I24="Not started","Not started",IF(I24="Blocked","Blocked",IF(I24="In progress","In progress",IF(J24&lt;&gt;"Passed","Awaiting code review",IF(OR(K24="",NOT(ISNUMBER(L24))),"Awaiting review evidence",IF(N24&lt;&gt;"Passed","Awaiting test",IF(OR(M24="",O24="",NOT(ISNUMBER(P24))),"Awaiting test evidence","Complete")))))))</f>
        <v/>
      </c>
      <c r="I24" s="10" t="inlineStr">
        <is>
          <t>Not started</t>
        </is>
      </c>
      <c r="J24" s="10" t="inlineStr">
        <is>
          <t>Not reviewed</t>
        </is>
      </c>
      <c r="K24" s="10" t="n"/>
      <c r="L24" s="30" t="n"/>
      <c r="M24" s="10" t="n"/>
      <c r="N24" s="10" t="inlineStr">
        <is>
          <t>Not tested</t>
        </is>
      </c>
      <c r="O24" s="10" t="n"/>
      <c r="P24" s="30" t="n"/>
      <c r="Q24" s="10" t="inlineStr">
        <is>
          <t xml:space="preserv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4" s="10" t="inlineStr">
        <is>
          <t>Before starting/resuming this item or feature: reread AGENTS.md from disk; apply teaching/testing rules. Deferred to project end by developer on 2026-10-29. 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4" s="10" t="n"/>
    </row>
    <row r="25" ht="105" customHeight="1">
      <c r="A25" s="9" t="n">
        <v>21</v>
      </c>
      <c r="B25" s="9" t="inlineStr">
        <is>
          <t>FB-021</t>
        </is>
      </c>
      <c r="C25" s="9" t="inlineStr">
        <is>
          <t>Accounts</t>
        </is>
      </c>
      <c r="D25" s="9" t="inlineStr">
        <is>
          <t>Build and save the separate edit page</t>
        </is>
      </c>
      <c r="E25" s="9" t="inlineStr">
        <is>
          <t>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t>
        </is>
      </c>
      <c r="F25" s="9" t="inlineStr">
        <is>
          <t>FB-015</t>
        </is>
      </c>
      <c r="G25" s="9">
        <f>IF(H25="Complete","Complete",IF(I25="Blocked","Blocked",IF(I25="In progress","Ready",IF(F25="","Ready",IF(COUNTIFS($B$4:$B$73,F25,$H$4:$H$73,"Complete")=1,"Ready","Waiting")))))</f>
        <v/>
      </c>
      <c r="H25" s="9">
        <f>IF(I25="Not started","Not started",IF(I25="Blocked","Blocked",IF(I25="In progress","In progress",IF(J25&lt;&gt;"Passed","Awaiting code review",IF(OR(K25="",NOT(ISNUMBER(L25))),"Awaiting review evidence",IF(N25&lt;&gt;"Passed","Awaiting test",IF(OR(M25="",O25="",NOT(ISNUMBER(P25))),"Awaiting test evidence","Complete")))))))</f>
        <v/>
      </c>
      <c r="I25" s="11" t="inlineStr">
        <is>
          <t>In progress</t>
        </is>
      </c>
      <c r="J25" s="11" t="inlineStr">
        <is>
          <t>Changes needed</t>
        </is>
      </c>
      <c r="K25" s="11" t="inlineStr">
        <is>
          <t>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5" s="31" t="n">
        <v>46324</v>
      </c>
      <c r="M25" s="11" t="inlineStr">
        <is>
          <t>Assistant (delegated; browser Cancel user-assisted)</t>
        </is>
      </c>
      <c r="N25" s="11" t="inlineStr">
        <is>
          <t>Failed</t>
        </is>
      </c>
      <c r="O25" s="11" t="inlineStr">
        <is>
          <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5" s="31" t="n">
        <v>46324</v>
      </c>
      <c r="Q25" s="11" t="inlineStr">
        <is>
          <t>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t>
        </is>
      </c>
      <c r="R25" s="11" t="inlineStr">
        <is>
          <t>Before starting/resuming this item or feature: reread AGENTS.md from disk; apply teaching/testing rules. Nine PHP type-description errors resolved and PHPStan now passes (scoped21tests288assertions/Pint/whitespace also pass). Remaining non-deferred user-module findings: long accepted names overflow username storage causing browser/MySQL500, and two existing test-fixture failures. Await developer direction to correct those; authorization for this turn covered only type descriptions. Preserve all existing final-project deferrals. Inventory not started; full completion still open.</t>
        </is>
      </c>
      <c r="S25" s="11" t="n"/>
    </row>
    <row r="26" ht="105" customHeight="1">
      <c r="A26" s="4" t="n">
        <v>22</v>
      </c>
      <c r="B26" s="4" t="inlineStr">
        <is>
          <t>FB-022</t>
        </is>
      </c>
      <c r="C26" s="4" t="inlineStr">
        <is>
          <t>Accounts</t>
        </is>
      </c>
      <c r="D26" s="4" t="inlineStr">
        <is>
          <t>Deactivate and reactivate accounts</t>
        </is>
      </c>
      <c r="E26" s="4" t="inlineStr">
        <is>
          <t>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t>
        </is>
      </c>
      <c r="F26" s="4" t="inlineStr">
        <is>
          <t>FB-021</t>
        </is>
      </c>
      <c r="G26" s="4">
        <f>IF(H26="Complete","Complete",IF(I26="Blocked","Blocked",IF(I26="In progress","Ready",IF(F26="","Ready",IF(COUNTIFS($B$4:$B$73,F26,$H$4:$H$73,"Complete")=1,"Ready","Waiting")))))</f>
        <v/>
      </c>
      <c r="H26" s="4">
        <f>IF(I26="Not started","Not started",IF(I26="Blocked","Blocked",IF(I26="In progress","In progress",IF(J26&lt;&gt;"Passed","Awaiting code review",IF(OR(K26="",NOT(ISNUMBER(L26))),"Awaiting review evidence",IF(N26&lt;&gt;"Passed","Awaiting test",IF(OR(M26="",O26="",NOT(ISNUMBER(P26))),"Awaiting test evidence","Complete")))))))</f>
        <v/>
      </c>
      <c r="I26" s="10" t="inlineStr">
        <is>
          <t>In progress</t>
        </is>
      </c>
      <c r="J26" s="10" t="inlineStr">
        <is>
          <t>Not reviewed</t>
        </is>
      </c>
      <c r="K26" s="10" t="inlineStr">
        <is>
          <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6" s="30" t="n"/>
      <c r="M26" s="10" t="inlineStr">
        <is>
          <t>Assistant (explicit narrow test delegation)</t>
        </is>
      </c>
      <c r="N26" s="10" t="inlineStr">
        <is>
          <t>Partial</t>
        </is>
      </c>
      <c r="O26" s="10" t="inlineStr">
        <is>
          <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6" s="30" t="n">
        <v>46324</v>
      </c>
      <c r="Q26" s="10" t="inlineStr">
        <is>
          <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t>
        </is>
      </c>
      <c r="R26" s="10" t="inlineStr">
        <is>
          <t>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t>
        </is>
      </c>
      <c r="S26" s="10" t="n"/>
    </row>
    <row r="27" ht="105" customHeight="1">
      <c r="A27" s="9" t="n">
        <v>68</v>
      </c>
      <c r="B27" s="9" t="inlineStr">
        <is>
          <t>FB-023</t>
        </is>
      </c>
      <c r="C27" s="9" t="inlineStr">
        <is>
          <t>Accounts</t>
        </is>
      </c>
      <c r="D27" s="9" t="inlineStr">
        <is>
          <t>Reset manager and volunteer passwords</t>
        </is>
      </c>
      <c r="E27" s="9" t="inlineStr">
        <is>
          <t>Confirm reset; managers reset volunteers, Super Admin resets both roles. Set common password, invalidate old password/all sessions, require setup. Preserve Active/Inactive status. Check form/action permissions and next-login cycle.</t>
        </is>
      </c>
      <c r="F27" s="9" t="inlineStr">
        <is>
          <t>FB-008</t>
        </is>
      </c>
      <c r="G27" s="9">
        <f>IF(H27="Complete","Complete",IF(I27="Blocked","Blocked",IF(I27="In progress","Ready",IF(F27="","Ready",IF(COUNTIFS($B$4:$B$73,F27,$H$4:$H$73,"Complete")=1,"Ready","Waiting")))))</f>
        <v/>
      </c>
      <c r="H27" s="9">
        <f>IF(I27="Not started","Not started",IF(I27="Blocked","Blocked",IF(I27="In progress","In progress",IF(J27&lt;&gt;"Passed","Awaiting code review",IF(OR(K27="",NOT(ISNUMBER(L27))),"Awaiting review evidence",IF(N27&lt;&gt;"Passed","Awaiting test",IF(OR(M27="",O27="",NOT(ISNUMBER(P27))),"Awaiting test evidence","Complete")))))))</f>
        <v/>
      </c>
      <c r="I27" s="11" t="inlineStr">
        <is>
          <t>Not started</t>
        </is>
      </c>
      <c r="J27" s="11" t="inlineStr">
        <is>
          <t>Not reviewed</t>
        </is>
      </c>
      <c r="K27" s="11" t="n"/>
      <c r="L27" s="31" t="n"/>
      <c r="M27" s="11" t="n"/>
      <c r="N27" s="11" t="inlineStr">
        <is>
          <t>Not tested</t>
        </is>
      </c>
      <c r="O27" s="11" t="n"/>
      <c r="P27" s="31" t="n"/>
      <c r="Q27" s="11" t="inlineStr">
        <is>
          <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7" s="11" t="inlineStr">
        <is>
          <t>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7" s="11" t="n"/>
    </row>
    <row r="28" ht="105" customHeight="1">
      <c r="A28" s="4" t="n">
        <v>23</v>
      </c>
      <c r="B28" s="4" t="inlineStr">
        <is>
          <t>FB-025</t>
        </is>
      </c>
      <c r="C28" s="4" t="inlineStr">
        <is>
          <t>Accounts</t>
        </is>
      </c>
      <c r="D28" s="4" t="inlineStr">
        <is>
          <t>Verify the complete account journey</t>
        </is>
      </c>
      <c r="E28" s="4" t="inlineStr">
        <is>
          <t>Developer first tests all three roles, creation/edit/details, search/filter/pagination, inactive sessions and password flows; record automated/direct-request checks as applicable. Review code and retain evidence, not assumptions.</t>
        </is>
      </c>
      <c r="F28" s="4" t="inlineStr">
        <is>
          <t>FB-022</t>
        </is>
      </c>
      <c r="G28" s="4">
        <f>IF(H28="Complete","Complete",IF(I28="Blocked","Blocked",IF(I28="In progress","Ready",IF(F28="","Ready",IF(COUNTIFS($B$4:$B$73,F28,$H$4:$H$73,"Complete")=1,"Ready","Waiting")))))</f>
        <v/>
      </c>
      <c r="H28" s="4">
        <f>IF(I28="Not started","Not started",IF(I28="Blocked","Blocked",IF(I28="In progress","In progress",IF(J28&lt;&gt;"Passed","Awaiting code review",IF(OR(K28="",NOT(ISNUMBER(L28))),"Awaiting review evidence",IF(N28&lt;&gt;"Passed","Awaiting test",IF(OR(M28="",O28="",NOT(ISNUMBER(P28))),"Awaiting test evidence","Complete")))))))</f>
        <v/>
      </c>
      <c r="I28" s="10" t="inlineStr">
        <is>
          <t>In progress</t>
        </is>
      </c>
      <c r="J28" s="10" t="inlineStr">
        <is>
          <t>Changes needed</t>
        </is>
      </c>
      <c r="K2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8" s="30" t="n">
        <v>46324</v>
      </c>
      <c r="M28" s="10" t="inlineStr">
        <is>
          <t>Assistant (delegated; browser Cancel user-assisted)</t>
        </is>
      </c>
      <c r="N28" s="10" t="inlineStr">
        <is>
          <t>Failed</t>
        </is>
      </c>
      <c r="O28" s="10" t="inlineStr">
        <is>
          <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8" s="30" t="n">
        <v>46324</v>
      </c>
      <c r="Q28" s="10" t="inlineStr">
        <is>
          <t xml:space="preserve">
2026-10-29 completed-module delegated review/test checkpoint recorded. Inventory not begun; findings need correction. All prior deferrals/evidence retained.</t>
        </is>
      </c>
      <c r="R28" s="10" t="inlineStr">
        <is>
          <t>Before starting this item or feature: reread AGENTS.md from disk; apply its teaching and testing rules.
Next: Start this item after the previous item is complete.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8" s="10" t="n"/>
    </row>
    <row r="29" ht="105" customHeight="1">
      <c r="A29" s="9" t="n">
        <v>24</v>
      </c>
      <c r="B29" s="9" t="inlineStr">
        <is>
          <t>FB-026</t>
        </is>
      </c>
      <c r="C29" s="9" t="inlineStr">
        <is>
          <t>Departments</t>
        </is>
      </c>
      <c r="D29" s="9" t="inlineStr">
        <is>
          <t>Build Department storage and complete creation</t>
        </is>
      </c>
      <c r="E29" s="9" t="inlineStr">
        <is>
          <t>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t>
        </is>
      </c>
      <c r="F29" s="9" t="inlineStr">
        <is>
          <t>FB-025</t>
        </is>
      </c>
      <c r="G29" s="9">
        <f>IF(H29="Complete","Complete",IF(I29="Blocked","Blocked",IF(I29="In progress","Ready",IF(F29="","Ready",IF(COUNTIFS($B$4:$B$73,F29,$H$4:$H$73,"Complete")=1,"Ready","Waiting")))))</f>
        <v/>
      </c>
      <c r="H29" s="9">
        <f>IF(I29="Not started","Not started",IF(I29="Blocked","Blocked",IF(I29="In progress","In progress",IF(J29&lt;&gt;"Passed","Awaiting code review",IF(OR(K29="",NOT(ISNUMBER(L29))),"Awaiting review evidence",IF(N29&lt;&gt;"Passed","Awaiting test",IF(OR(M29="",O29="",NOT(ISNUMBER(P29))),"Awaiting test evidence","Complete")))))))</f>
        <v/>
      </c>
      <c r="I29" s="11" t="inlineStr">
        <is>
          <t>Not started</t>
        </is>
      </c>
      <c r="J29" s="11" t="inlineStr">
        <is>
          <t>Not reviewed</t>
        </is>
      </c>
      <c r="K29" s="11" t="n"/>
      <c r="L29" s="31" t="n"/>
      <c r="M29" s="11" t="n"/>
      <c r="N29" s="11" t="inlineStr">
        <is>
          <t>Not tested</t>
        </is>
      </c>
      <c r="O29" s="11" t="n"/>
      <c r="P29" s="31" t="n"/>
      <c r="Q29" s="11" t="n"/>
      <c r="R29" s="11" t="inlineStr">
        <is>
          <t>Before starting this item or feature: reread AGENTS.md from disk; apply its teaching and testing rules.
Next: Build Department model/storage, then complete and verify creation before its list at FB-027.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9" s="11" t="n"/>
    </row>
    <row r="30" ht="105" customHeight="1">
      <c r="A30" s="4" t="n">
        <v>25</v>
      </c>
      <c r="B30" s="4" t="inlineStr">
        <is>
          <t>FB-027</t>
        </is>
      </c>
      <c r="C30" s="4" t="inlineStr">
        <is>
          <t>Departments</t>
        </is>
      </c>
      <c r="D30" s="4" t="inlineStr">
        <is>
          <t>Display Department list, then rename departments</t>
        </is>
      </c>
      <c r="E30" s="4" t="inlineStr">
        <is>
          <t>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t>
        </is>
      </c>
      <c r="F30" s="4" t="inlineStr">
        <is>
          <t>FB-026</t>
        </is>
      </c>
      <c r="G30" s="4">
        <f>IF(H30="Complete","Complete",IF(I30="Blocked","Blocked",IF(I30="In progress","Ready",IF(F30="","Ready",IF(COUNTIFS($B$4:$B$73,F30,$H$4:$H$73,"Complete")=1,"Ready","Waiting")))))</f>
        <v/>
      </c>
      <c r="H30" s="4">
        <f>IF(I30="Not started","Not started",IF(I30="Blocked","Blocked",IF(I30="In progress","In progress",IF(J30&lt;&gt;"Passed","Awaiting code review",IF(OR(K30="",NOT(ISNUMBER(L30))),"Awaiting review evidence",IF(N30&lt;&gt;"Passed","Awaiting test",IF(OR(M30="",O30="",NOT(ISNUMBER(P30))),"Awaiting test evidence","Complete")))))))</f>
        <v/>
      </c>
      <c r="I30" s="10" t="inlineStr">
        <is>
          <t>Not started</t>
        </is>
      </c>
      <c r="J30" s="10" t="inlineStr">
        <is>
          <t>Not reviewed</t>
        </is>
      </c>
      <c r="K30" s="10" t="n"/>
      <c r="L30" s="30" t="n"/>
      <c r="M30" s="10" t="n"/>
      <c r="N30" s="10" t="inlineStr">
        <is>
          <t>Not tested</t>
        </is>
      </c>
      <c r="O30" s="10" t="n"/>
      <c r="P30" s="30" t="n"/>
      <c r="Q30" s="10" t="n"/>
      <c r="R30" s="10" t="inlineStr">
        <is>
          <t>Before starting this item or feature: reread AGENTS.md from disk; apply its teaching and testing rules.
Next: After verified Department creation, display its list and then teach rename. Complete and verify the module before Category.</t>
        </is>
      </c>
      <c r="S30" s="10" t="n"/>
    </row>
    <row r="31" ht="105" customHeight="1">
      <c r="A31" s="9" t="n">
        <v>26</v>
      </c>
      <c r="B31" s="9" t="inlineStr">
        <is>
          <t>FB-028</t>
        </is>
      </c>
      <c r="C31" s="9" t="inlineStr">
        <is>
          <t>Categories</t>
        </is>
      </c>
      <c r="D31" s="9" t="inlineStr">
        <is>
          <t>Build and verify Category within Department</t>
        </is>
      </c>
      <c r="E31" s="9" t="inlineStr">
        <is>
          <t>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Parent stays fixed; no deletion. Manager/Super Admin only for display/write. Verify the full module and parent rename preserving links before Subcategory.</t>
        </is>
      </c>
      <c r="F31" s="9" t="inlineStr">
        <is>
          <t>FB-027</t>
        </is>
      </c>
      <c r="G31" s="9">
        <f>IF(H31="Complete","Complete",IF(I31="Blocked","Blocked",IF(I31="In progress","Ready",IF(F31="","Ready",IF(COUNTIFS($B$4:$B$73,F31,$H$4:$H$73,"Complete")=1,"Ready","Waiting")))))</f>
        <v/>
      </c>
      <c r="H31" s="9">
        <f>IF(I31="Not started","Not started",IF(I31="Blocked","Blocked",IF(I31="In progress","In progress",IF(J31&lt;&gt;"Passed","Awaiting code review",IF(OR(K31="",NOT(ISNUMBER(L31))),"Awaiting review evidence",IF(N31&lt;&gt;"Passed","Awaiting test",IF(OR(M31="",O31="",NOT(ISNUMBER(P31))),"Awaiting test evidence","Complete")))))))</f>
        <v/>
      </c>
      <c r="I31" s="11" t="inlineStr">
        <is>
          <t>Not started</t>
        </is>
      </c>
      <c r="J31" s="11" t="inlineStr">
        <is>
          <t>Not reviewed</t>
        </is>
      </c>
      <c r="K31" s="11" t="n"/>
      <c r="L31" s="31" t="n"/>
      <c r="M31" s="11" t="n"/>
      <c r="N31" s="11" t="inlineStr">
        <is>
          <t>Not tested</t>
        </is>
      </c>
      <c r="O31" s="11" t="n"/>
      <c r="P31" s="31" t="n"/>
      <c r="Q31" s="11" t="n"/>
      <c r="R31" s="11" t="inlineStr">
        <is>
          <t>Before starting this item or feature: reread AGENTS.md from disk; apply its teaching and testing rules.
Next: Build Category storage and Department connection, complete and verify creation, then list and rename.</t>
        </is>
      </c>
      <c r="S31" s="11" t="n"/>
    </row>
    <row r="32" ht="105" customHeight="1">
      <c r="A32" s="4" t="n">
        <v>27</v>
      </c>
      <c r="B32" s="4" t="inlineStr">
        <is>
          <t>FB-029</t>
        </is>
      </c>
      <c r="C32" s="4" t="inlineStr">
        <is>
          <t>Subcategories</t>
        </is>
      </c>
      <c r="D32" s="4" t="inlineStr">
        <is>
          <t>Build Subcategory storage, complete creation, then list</t>
        </is>
      </c>
      <c r="E32" s="4" t="inlineStr">
        <is>
          <t>After Category is verified, introduce Subcategory model/storage and Category relationship. Teach parent selection, summary-unit selection and authorized creation separately. Required names unique within category ignoring case/outer spaces. Summary units kg, litres or individual items; no skipped levels. Review and developer-test creation before displaying the list. Managers/Super Admin only on display/write. No speculative Product relationship.</t>
        </is>
      </c>
      <c r="F32" s="4" t="inlineStr">
        <is>
          <t>FB-028</t>
        </is>
      </c>
      <c r="G32" s="4">
        <f>IF(H32="Complete","Complete",IF(I32="Blocked","Blocked",IF(I32="In progress","Ready",IF(F32="","Ready",IF(COUNTIFS($B$4:$B$73,F32,$H$4:$H$73,"Complete")=1,"Ready","Waiting")))))</f>
        <v/>
      </c>
      <c r="H32" s="4">
        <f>IF(I32="Not started","Not started",IF(I32="Blocked","Blocked",IF(I32="In progress","In progress",IF(J32&lt;&gt;"Passed","Awaiting code review",IF(OR(K32="",NOT(ISNUMBER(L32))),"Awaiting review evidence",IF(N32&lt;&gt;"Passed","Awaiting test",IF(OR(M32="",O32="",NOT(ISNUMBER(P32))),"Awaiting test evidence","Complete")))))))</f>
        <v/>
      </c>
      <c r="I32" s="10" t="inlineStr">
        <is>
          <t>Not started</t>
        </is>
      </c>
      <c r="J32" s="10" t="inlineStr">
        <is>
          <t>Not reviewed</t>
        </is>
      </c>
      <c r="K32" s="10" t="n"/>
      <c r="L32" s="30" t="n"/>
      <c r="M32" s="10" t="n"/>
      <c r="N32" s="10" t="inlineStr">
        <is>
          <t>Not tested</t>
        </is>
      </c>
      <c r="O32" s="10" t="n"/>
      <c r="P32" s="30" t="n"/>
      <c r="Q32" s="10" t="n"/>
      <c r="R32" s="10" t="inlineStr">
        <is>
          <t>Before starting this item or feature: reread AGENTS.md from disk; apply its teaching and testing rules.
Next: Build required storage/relationship and complete creation with review and developer-first checks; then display the subcategory list.</t>
        </is>
      </c>
      <c r="S32" s="10" t="n"/>
    </row>
    <row r="33" ht="105" customHeight="1">
      <c r="A33" s="9" t="n">
        <v>28</v>
      </c>
      <c r="B33" s="9" t="inlineStr">
        <is>
          <t>FB-030</t>
        </is>
      </c>
      <c r="C33" s="9" t="inlineStr">
        <is>
          <t>Subcategories</t>
        </is>
      </c>
      <c r="D33" s="9" t="inlineStr">
        <is>
          <t>Rename subcategories and verify catalogue permissions</t>
        </is>
      </c>
      <c r="E33" s="9" t="inlineStr">
        <is>
          <t>Preserve links on renaming; existing paths show current names, even for past movements. No parent moves/deletion. Managers/Super Admin only; unit lock after movements is verified in later stock items. Complete list/create/rename review and developer-first checks before Product. Verify Category rename preserves the Subcategory link. Summary-unit editing before movements is checked now; the post-movement lock is explicitly deferred to FB-053.</t>
        </is>
      </c>
      <c r="F33" s="9" t="inlineStr">
        <is>
          <t>FB-029</t>
        </is>
      </c>
      <c r="G33" s="9">
        <f>IF(H33="Complete","Complete",IF(I33="Blocked","Blocked",IF(I33="In progress","Ready",IF(F33="","Ready",IF(COUNTIFS($B$4:$B$73,F33,$H$4:$H$73,"Complete")=1,"Ready","Waiting")))))</f>
        <v/>
      </c>
      <c r="H33" s="9">
        <f>IF(I33="Not started","Not started",IF(I33="Blocked","Blocked",IF(I33="In progress","In progress",IF(J33&lt;&gt;"Passed","Awaiting code review",IF(OR(K33="",NOT(ISNUMBER(L33))),"Awaiting review evidence",IF(N33&lt;&gt;"Passed","Awaiting test",IF(OR(M33="",O33="",NOT(ISNUMBER(P33))),"Awaiting test evidence","Complete")))))))</f>
        <v/>
      </c>
      <c r="I33" s="11" t="inlineStr">
        <is>
          <t>Not started</t>
        </is>
      </c>
      <c r="J33" s="11" t="inlineStr">
        <is>
          <t>Not reviewed</t>
        </is>
      </c>
      <c r="K33" s="11" t="n"/>
      <c r="L33" s="31" t="n"/>
      <c r="M33" s="11" t="n"/>
      <c r="N33" s="11" t="inlineStr">
        <is>
          <t>Not tested</t>
        </is>
      </c>
      <c r="O33" s="11" t="n"/>
      <c r="P33" s="31" t="n"/>
      <c r="Q33" s="11" t="n"/>
      <c r="R33" s="11" t="inlineStr">
        <is>
          <t>Before starting this item or feature: reread AGENTS.md from disk; apply its teaching and testing rules.
Next: Teach rename separately, preserve the parent, and verify all existing Subcategory actions and permissions. Check editable summary units before stock movements. Record FB-053 as the later lock checkpoint; do not mark that later rule verified now.</t>
        </is>
      </c>
      <c r="S33" s="11" t="n"/>
    </row>
    <row r="34" ht="105" customHeight="1">
      <c r="A34" s="4" t="n">
        <v>29</v>
      </c>
      <c r="B34" s="4" t="inlineStr">
        <is>
          <t>FB-031</t>
        </is>
      </c>
      <c r="C34" s="4" t="inlineStr">
        <is>
          <t>Tags</t>
        </is>
      </c>
      <c r="D34" s="4" t="inlineStr">
        <is>
          <t>Create shared tags, then list and rename them</t>
        </is>
      </c>
      <c r="E34" s="4" t="inlineStr">
        <is>
          <t>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t>
        </is>
      </c>
      <c r="F34" s="4" t="inlineStr">
        <is>
          <t>FB-030</t>
        </is>
      </c>
      <c r="G34" s="4">
        <f>IF(H34="Complete","Complete",IF(I34="Blocked","Blocked",IF(I34="In progress","Ready",IF(F34="","Ready",IF(COUNTIFS($B$4:$B$73,F34,$H$4:$H$73,"Complete")=1,"Ready","Waiting")))))</f>
        <v/>
      </c>
      <c r="H34" s="4">
        <f>IF(I34="Not started","Not started",IF(I34="Blocked","Blocked",IF(I34="In progress","In progress",IF(J34&lt;&gt;"Passed","Awaiting code review",IF(OR(K34="",NOT(ISNUMBER(L34))),"Awaiting review evidence",IF(N34&lt;&gt;"Passed","Awaiting test",IF(OR(M34="",O34="",NOT(ISNUMBER(P34))),"Awaiting test evidence","Complete")))))))</f>
        <v/>
      </c>
      <c r="I34" s="10" t="inlineStr">
        <is>
          <t>Not started</t>
        </is>
      </c>
      <c r="J34" s="10" t="inlineStr">
        <is>
          <t>Not reviewed</t>
        </is>
      </c>
      <c r="K34" s="10" t="n"/>
      <c r="L34" s="30" t="n"/>
      <c r="M34" s="10" t="n"/>
      <c r="N34" s="10" t="inlineStr">
        <is>
          <t>Not tested</t>
        </is>
      </c>
      <c r="O34" s="10" t="n"/>
      <c r="P34" s="30" t="n"/>
      <c r="Q34" s="10" t="n"/>
      <c r="R34" s="10" t="inlineStr">
        <is>
          <t>Before starting this item or feature: reread AGENTS.md from disk; apply its teaching and testing rules.
Next: Complete and verify tag creation before displaying its list; then teach rename.</t>
        </is>
      </c>
      <c r="S34" s="10" t="n"/>
    </row>
    <row r="35" ht="105" customHeight="1">
      <c r="A35" s="9" t="n">
        <v>30</v>
      </c>
      <c r="B35" s="9" t="inlineStr">
        <is>
          <t>FB-032</t>
        </is>
      </c>
      <c r="C35" s="9" t="inlineStr">
        <is>
          <t>Products</t>
        </is>
      </c>
      <c r="D35" s="9" t="inlineStr">
        <is>
          <t>Introduce Product storage and its hierarchy form</t>
        </is>
      </c>
      <c r="E35" s="9" t="inlineStr">
        <is>
          <t>After Department, Category and Subcategory actions are verified, introduce Product model/storage and its required Subcategory relationship. Then display the form: required name, department/category/subcategory selection, counting unit, positive contents/unit and status; optional brand/tags, default Active and no balance input. Teach each dependent selection separately. Optional tag persistence/relationship is introduced at FB-037. Post-movement locks remain FB-053.</t>
        </is>
      </c>
      <c r="F35" s="9" t="inlineStr">
        <is>
          <t>FB-031</t>
        </is>
      </c>
      <c r="G35" s="9">
        <f>IF(H35="Complete","Complete",IF(I35="Blocked","Blocked",IF(I35="In progress","Ready",IF(F35="","Ready",IF(COUNTIFS($B$4:$B$73,F35,$H$4:$H$73,"Complete")=1,"Ready","Waiting")))))</f>
        <v/>
      </c>
      <c r="H35" s="9">
        <f>IF(I35="Not started","Not started",IF(I35="Blocked","Blocked",IF(I35="In progress","In progress",IF(J35&lt;&gt;"Passed","Awaiting code review",IF(OR(K35="",NOT(ISNUMBER(L35))),"Awaiting review evidence",IF(N35&lt;&gt;"Passed","Awaiting test",IF(OR(M35="",O35="",NOT(ISNUMBER(P35))),"Awaiting test evidence","Complete")))))))</f>
        <v/>
      </c>
      <c r="I35" s="11" t="inlineStr">
        <is>
          <t>Not started</t>
        </is>
      </c>
      <c r="J35" s="11" t="inlineStr">
        <is>
          <t>Not reviewed</t>
        </is>
      </c>
      <c r="K35" s="11" t="n"/>
      <c r="L35" s="31" t="n"/>
      <c r="M35" s="11" t="n"/>
      <c r="N35" s="11" t="inlineStr">
        <is>
          <t>Not tested</t>
        </is>
      </c>
      <c r="O35" s="11" t="n"/>
      <c r="P35" s="31" t="n"/>
      <c r="Q35" s="11" t="n"/>
      <c r="R35" s="11" t="inlineStr">
        <is>
          <t>Before starting this item or feature: reread AGENTS.md from disk; apply its teaching and testing rules.
Next: Explain one Product belonging to one completed Subcategory. Start with only required Product storage and that relationship. Then display the plain form and teach the hierarchy selections one at a time; layout/state follow in FB-033. Do not create stock-movement relationships yet.</t>
        </is>
      </c>
      <c r="S35" s="11" t="n"/>
    </row>
    <row r="36" ht="105" customHeight="1">
      <c r="A36" s="4" t="n">
        <v>31</v>
      </c>
      <c r="B36" s="4" t="inlineStr">
        <is>
          <t>FB-033</t>
        </is>
      </c>
      <c r="C36" s="4" t="inlineStr">
        <is>
          <t>Products</t>
        </is>
      </c>
      <c r="D36" s="4" t="inlineStr">
        <is>
          <t>Lay out the product form and bind its inputs</t>
        </is>
      </c>
      <c r="E36" s="4" t="inlineStr">
        <is>
          <t>Explain parent grid/flex, spacing, width and phone-to-desktop arrangement. Introduce local form state gradually; package preview reflects entered values before saving.</t>
        </is>
      </c>
      <c r="F36" s="4" t="inlineStr">
        <is>
          <t>FB-032</t>
        </is>
      </c>
      <c r="G36" s="4">
        <f>IF(H36="Complete","Complete",IF(I36="Blocked","Blocked",IF(I36="In progress","Ready",IF(F36="","Ready",IF(COUNTIFS($B$4:$B$73,F36,$H$4:$H$73,"Complete")=1,"Ready","Waiting")))))</f>
        <v/>
      </c>
      <c r="H36" s="4">
        <f>IF(I36="Not started","Not started",IF(I36="Blocked","Blocked",IF(I36="In progress","In progress",IF(J36&lt;&gt;"Passed","Awaiting code review",IF(OR(K36="",NOT(ISNUMBER(L36))),"Awaiting review evidence",IF(N36&lt;&gt;"Passed","Awaiting test",IF(OR(M36="",O36="",NOT(ISNUMBER(P36))),"Awaiting test evidence","Complete")))))))</f>
        <v/>
      </c>
      <c r="I36" s="10" t="inlineStr">
        <is>
          <t>Not started</t>
        </is>
      </c>
      <c r="J36" s="10" t="inlineStr">
        <is>
          <t>Not reviewed</t>
        </is>
      </c>
      <c r="K36" s="10" t="n"/>
      <c r="L36" s="30" t="n"/>
      <c r="M36" s="10" t="n"/>
      <c r="N36" s="10" t="inlineStr">
        <is>
          <t>Not tested</t>
        </is>
      </c>
      <c r="O36" s="10" t="n"/>
      <c r="P36" s="30" t="n"/>
      <c r="Q36" s="10" t="n"/>
      <c r="R36" s="10" t="inlineStr">
        <is>
          <t>Before starting this item or feature: reread AGENTS.md from disk; apply its teaching and testing rules.
Next: Start this item after the previous item is complete.</t>
        </is>
      </c>
      <c r="S36" s="10" t="n"/>
    </row>
    <row r="37" ht="105" customHeight="1">
      <c r="A37" s="9" t="n">
        <v>32</v>
      </c>
      <c r="B37" s="9" t="inlineStr">
        <is>
          <t>FB-034</t>
        </is>
      </c>
      <c r="C37" s="9" t="inlineStr">
        <is>
          <t>Products</t>
        </is>
      </c>
      <c r="D37" s="9" t="inlineStr">
        <is>
          <t>Choose package units and validate contents</t>
        </is>
      </c>
      <c r="E37" s="9" t="inlineStr">
        <is>
          <t>Counting units: bag, box, can, bottle, carton, jar, packet, individual item. Choose kg/g or litres/ml matching subcategory measure. Positive contents allow up to 3 decimals with fewer allowed; item counts are positive integers.</t>
        </is>
      </c>
      <c r="F37" s="9" t="inlineStr">
        <is>
          <t>FB-033</t>
        </is>
      </c>
      <c r="G37" s="9">
        <f>IF(H37="Complete","Complete",IF(I37="Blocked","Blocked",IF(I37="In progress","Ready",IF(F37="","Ready",IF(COUNTIFS($B$4:$B$73,F37,$H$4:$H$73,"Complete")=1,"Ready","Waiting")))))</f>
        <v/>
      </c>
      <c r="H37" s="9">
        <f>IF(I37="Not started","Not started",IF(I37="Blocked","Blocked",IF(I37="In progress","In progress",IF(J37&lt;&gt;"Passed","Awaiting code review",IF(OR(K37="",NOT(ISNUMBER(L37))),"Awaiting review evidence",IF(N37&lt;&gt;"Passed","Awaiting test",IF(OR(M37="",O37="",NOT(ISNUMBER(P37))),"Awaiting test evidence","Complete")))))))</f>
        <v/>
      </c>
      <c r="I37" s="11" t="inlineStr">
        <is>
          <t>Not started</t>
        </is>
      </c>
      <c r="J37" s="11" t="inlineStr">
        <is>
          <t>Not reviewed</t>
        </is>
      </c>
      <c r="K37" s="11" t="n"/>
      <c r="L37" s="31" t="n"/>
      <c r="M37" s="11" t="n"/>
      <c r="N37" s="11" t="inlineStr">
        <is>
          <t>Not tested</t>
        </is>
      </c>
      <c r="O37" s="11" t="n"/>
      <c r="P37" s="31" t="n"/>
      <c r="Q37" s="11" t="n"/>
      <c r="R37" s="11" t="inlineStr">
        <is>
          <t>Before starting this item or feature: reread AGENTS.md from disk; apply its teaching and testing rules.
Next: Start this item after the previous item is complete.</t>
        </is>
      </c>
      <c r="S37" s="11" t="n"/>
    </row>
    <row r="38" ht="105" customHeight="1">
      <c r="A38" s="4" t="n">
        <v>33</v>
      </c>
      <c r="B38" s="4" t="inlineStr">
        <is>
          <t>FB-035</t>
        </is>
      </c>
      <c r="C38" s="4" t="inlineStr">
        <is>
          <t>Products</t>
        </is>
      </c>
      <c r="D38" s="4" t="inlineStr">
        <is>
          <t>Generate permanent product codes</t>
        </is>
      </c>
      <c r="E38" s="4" t="inlineStr">
        <is>
          <t>Automatically assign unique PRD-000001 onward, at least six digits with growth beyond 999999. Never edit/reuse codes or derive from categories. Each brand/size is a separate product; review collision handling.</t>
        </is>
      </c>
      <c r="F38" s="4" t="inlineStr">
        <is>
          <t>FB-034</t>
        </is>
      </c>
      <c r="G38" s="4">
        <f>IF(H38="Complete","Complete",IF(I38="Blocked","Blocked",IF(I38="In progress","Ready",IF(F38="","Ready",IF(COUNTIFS($B$4:$B$73,F38,$H$4:$H$73,"Complete")=1,"Ready","Waiting")))))</f>
        <v/>
      </c>
      <c r="H38" s="4">
        <f>IF(I38="Not started","Not started",IF(I38="Blocked","Blocked",IF(I38="In progress","In progress",IF(J38&lt;&gt;"Passed","Awaiting code review",IF(OR(K38="",NOT(ISNUMBER(L38))),"Awaiting review evidence",IF(N38&lt;&gt;"Passed","Awaiting test",IF(OR(M38="",O38="",NOT(ISNUMBER(P38))),"Awaiting test evidence","Complete")))))))</f>
        <v/>
      </c>
      <c r="I38" s="10" t="inlineStr">
        <is>
          <t>Not started</t>
        </is>
      </c>
      <c r="J38" s="10" t="inlineStr">
        <is>
          <t>Not reviewed</t>
        </is>
      </c>
      <c r="K38" s="10" t="n"/>
      <c r="L38" s="30" t="n"/>
      <c r="M38" s="10" t="n"/>
      <c r="N38" s="10" t="inlineStr">
        <is>
          <t>Not tested</t>
        </is>
      </c>
      <c r="O38" s="10" t="n"/>
      <c r="P38" s="30" t="n"/>
      <c r="Q38" s="10" t="n"/>
      <c r="R38" s="10" t="inlineStr">
        <is>
          <t>Before starting this item or feature: reread AGENTS.md from disk; apply its teaching and testing rules.
Next: Start this item after the previous item is complete.</t>
        </is>
      </c>
      <c r="S38" s="10" t="n"/>
    </row>
    <row r="39" ht="105" customHeight="1">
      <c r="A39" s="9" t="n">
        <v>34</v>
      </c>
      <c r="B39" s="9" t="inlineStr">
        <is>
          <t>FB-036</t>
        </is>
      </c>
      <c r="C39" s="9" t="inlineStr">
        <is>
          <t>Products</t>
        </is>
      </c>
      <c r="D39" s="9" t="inlineStr">
        <is>
          <t>Prevent duplicate products</t>
        </is>
      </c>
      <c r="E39" s="9" t="inlineStr">
        <is>
          <t>Match name, brand, subcategory, counting unit and equivalent contents. Ignore case/outer spaces; 500g=0.5kg and 500ml=0.5litres. Include inactive products; retain name/brand distinctions and reject duplicates.</t>
        </is>
      </c>
      <c r="F39" s="9" t="inlineStr">
        <is>
          <t>FB-035</t>
        </is>
      </c>
      <c r="G39" s="9">
        <f>IF(H39="Complete","Complete",IF(I39="Blocked","Blocked",IF(I39="In progress","Ready",IF(F39="","Ready",IF(COUNTIFS($B$4:$B$73,F39,$H$4:$H$73,"Complete")=1,"Ready","Waiting")))))</f>
        <v/>
      </c>
      <c r="H39" s="9">
        <f>IF(I39="Not started","Not started",IF(I39="Blocked","Blocked",IF(I39="In progress","In progress",IF(J39&lt;&gt;"Passed","Awaiting code review",IF(OR(K39="",NOT(ISNUMBER(L39))),"Awaiting review evidence",IF(N39&lt;&gt;"Passed","Awaiting test",IF(OR(M39="",O39="",NOT(ISNUMBER(P39))),"Awaiting test evidence","Complete")))))))</f>
        <v/>
      </c>
      <c r="I39" s="11" t="inlineStr">
        <is>
          <t>Not started</t>
        </is>
      </c>
      <c r="J39" s="11" t="inlineStr">
        <is>
          <t>Not reviewed</t>
        </is>
      </c>
      <c r="K39" s="11" t="n"/>
      <c r="L39" s="31" t="n"/>
      <c r="M39" s="11" t="n"/>
      <c r="N39" s="11" t="inlineStr">
        <is>
          <t>Not tested</t>
        </is>
      </c>
      <c r="O39" s="11" t="n"/>
      <c r="P39" s="31" t="n"/>
      <c r="Q39" s="11" t="n"/>
      <c r="R39" s="11" t="inlineStr">
        <is>
          <t>Before starting this item or feature: reread AGENTS.md from disk; apply its teaching and testing rules.
Next: Start this item after the previous item is complete.</t>
        </is>
      </c>
      <c r="S39" s="11" t="n"/>
    </row>
    <row r="40" ht="105" customHeight="1">
      <c r="A40" s="4" t="n">
        <v>35</v>
      </c>
      <c r="B40" s="4" t="inlineStr">
        <is>
          <t>FB-037</t>
        </is>
      </c>
      <c r="C40" s="4" t="inlineStr">
        <is>
          <t>Products</t>
        </is>
      </c>
      <c r="D40" s="4" t="inlineStr">
        <is>
          <t>Save products and attach optional tags</t>
        </is>
      </c>
      <c r="E40" s="4" t="inlineStr">
        <is>
          <t>Managers/Super Admin can create; volunteers denied display/write. New stock is zero. Shared tags can be none/multiple. Validate errors, retained input, processing state and successful persisted record.</t>
        </is>
      </c>
      <c r="F40" s="4" t="inlineStr">
        <is>
          <t>FB-036</t>
        </is>
      </c>
      <c r="G40" s="4">
        <f>IF(H40="Complete","Complete",IF(I40="Blocked","Blocked",IF(I40="In progress","Ready",IF(F40="","Ready",IF(COUNTIFS($B$4:$B$73,F40,$H$4:$H$73,"Complete")=1,"Ready","Waiting")))))</f>
        <v/>
      </c>
      <c r="H40" s="4">
        <f>IF(I40="Not started","Not started",IF(I40="Blocked","Blocked",IF(I40="In progress","In progress",IF(J40&lt;&gt;"Passed","Awaiting code review",IF(OR(K40="",NOT(ISNUMBER(L40))),"Awaiting review evidence",IF(N40&lt;&gt;"Passed","Awaiting test",IF(OR(M40="",O40="",NOT(ISNUMBER(P40))),"Awaiting test evidence","Complete")))))))</f>
        <v/>
      </c>
      <c r="I40" s="10" t="inlineStr">
        <is>
          <t>Not started</t>
        </is>
      </c>
      <c r="J40" s="10" t="inlineStr">
        <is>
          <t>Not reviewed</t>
        </is>
      </c>
      <c r="K40" s="10" t="n"/>
      <c r="L40" s="30" t="n"/>
      <c r="M40" s="10" t="n"/>
      <c r="N40" s="10" t="inlineStr">
        <is>
          <t>Not tested</t>
        </is>
      </c>
      <c r="O40" s="10" t="n"/>
      <c r="P40" s="30" t="n"/>
      <c r="Q40" s="10" t="n"/>
      <c r="R40" s="10" t="inlineStr">
        <is>
          <t>Before starting this item or feature: reread AGENTS.md from disk; apply its teaching and testing rules.
Next: Introduce the Product–Tag relationship through saving an optional tag selection. Enforce create policy on form and submission before enabling saving. Connect one save, then field errors, retained input and processing feedback separately. Verify the complete create action before list filters.</t>
        </is>
      </c>
      <c r="S40" s="10" t="n"/>
    </row>
    <row r="41" ht="105" customHeight="1">
      <c r="A41" s="9" t="n">
        <v>36</v>
      </c>
      <c r="B41" s="9" t="inlineStr">
        <is>
          <t>FB-038</t>
        </is>
      </c>
      <c r="C41" s="9" t="inlineStr">
        <is>
          <t>Products</t>
        </is>
      </c>
      <c r="D41" s="9" t="inlineStr">
        <is>
          <t>Display the unfiltered product list</t>
        </is>
      </c>
      <c r="E41" s="9" t="inlineStr">
        <is>
          <t>All roles see code, name, category path, package contents in saved units, available stock and status. Use visible baseline before filters; verify list access server-side.</t>
        </is>
      </c>
      <c r="F41" s="9" t="inlineStr">
        <is>
          <t>FB-037</t>
        </is>
      </c>
      <c r="G41" s="9">
        <f>IF(H41="Complete","Complete",IF(I41="Blocked","Blocked",IF(I41="In progress","Ready",IF(F41="","Ready",IF(COUNTIFS($B$4:$B$73,F41,$H$4:$H$73,"Complete")=1,"Ready","Waiting")))))</f>
        <v/>
      </c>
      <c r="H41" s="9">
        <f>IF(I41="Not started","Not started",IF(I41="Blocked","Blocked",IF(I41="In progress","In progress",IF(J41&lt;&gt;"Passed","Awaiting code review",IF(OR(K41="",NOT(ISNUMBER(L41))),"Awaiting review evidence",IF(N41&lt;&gt;"Passed","Awaiting test",IF(OR(M41="",O41="",NOT(ISNUMBER(P41))),"Awaiting test evidence","Complete")))))))</f>
        <v/>
      </c>
      <c r="I41" s="11" t="inlineStr">
        <is>
          <t>Not started</t>
        </is>
      </c>
      <c r="J41" s="11" t="inlineStr">
        <is>
          <t>Not reviewed</t>
        </is>
      </c>
      <c r="K41" s="11" t="n"/>
      <c r="L41" s="31" t="n"/>
      <c r="M41" s="11" t="n"/>
      <c r="N41" s="11" t="inlineStr">
        <is>
          <t>Not tested</t>
        </is>
      </c>
      <c r="O41" s="11" t="n"/>
      <c r="P41" s="31" t="n"/>
      <c r="Q41" s="11" t="n"/>
      <c r="R41" s="11" t="inlineStr">
        <is>
          <t>Before starting this item or feature: reread AGENTS.md from disk; apply its teaching and testing rules.
Next: Start this item after the previous item is complete.</t>
        </is>
      </c>
      <c r="S41" s="11" t="n"/>
    </row>
    <row r="42" ht="105" customHeight="1">
      <c r="A42" s="4" t="n">
        <v>37</v>
      </c>
      <c r="B42" s="4" t="inlineStr">
        <is>
          <t>FB-039</t>
        </is>
      </c>
      <c r="C42" s="4" t="inlineStr">
        <is>
          <t>Products</t>
        </is>
      </c>
      <c r="D42" s="4" t="inlineStr">
        <is>
          <t>Arrange product rows and the filter toolbar</t>
        </is>
      </c>
      <c r="E42" s="4" t="inlineStr">
        <is>
          <t>Teach readable widths, wrapping, table overflow and stacked toolbar on small screens. Keep code and available stock understandable without typography/colour lessons.</t>
        </is>
      </c>
      <c r="F42" s="4" t="inlineStr">
        <is>
          <t>FB-038</t>
        </is>
      </c>
      <c r="G42" s="4">
        <f>IF(H42="Complete","Complete",IF(I42="Blocked","Blocked",IF(I42="In progress","Ready",IF(F42="","Ready",IF(COUNTIFS($B$4:$B$73,F42,$H$4:$H$73,"Complete")=1,"Ready","Waiting")))))</f>
        <v/>
      </c>
      <c r="H42" s="4">
        <f>IF(I42="Not started","Not started",IF(I42="Blocked","Blocked",IF(I42="In progress","In progress",IF(J42&lt;&gt;"Passed","Awaiting code review",IF(OR(K42="",NOT(ISNUMBER(L42))),"Awaiting review evidence",IF(N42&lt;&gt;"Passed","Awaiting test",IF(OR(M42="",O42="",NOT(ISNUMBER(P42))),"Awaiting test evidence","Complete")))))))</f>
        <v/>
      </c>
      <c r="I42" s="10" t="inlineStr">
        <is>
          <t>Not started</t>
        </is>
      </c>
      <c r="J42" s="10" t="inlineStr">
        <is>
          <t>Not reviewed</t>
        </is>
      </c>
      <c r="K42" s="10" t="n"/>
      <c r="L42" s="30" t="n"/>
      <c r="M42" s="10" t="n"/>
      <c r="N42" s="10" t="inlineStr">
        <is>
          <t>Not tested</t>
        </is>
      </c>
      <c r="O42" s="10" t="n"/>
      <c r="P42" s="30" t="n"/>
      <c r="Q42" s="10" t="n"/>
      <c r="R42" s="10" t="inlineStr">
        <is>
          <t>Before starting this item or feature: reread AGENTS.md from disk; apply its teaching and testing rules.
Next: Start this item after the previous item is complete.</t>
        </is>
      </c>
      <c r="S42" s="10" t="n"/>
    </row>
    <row r="43" ht="105" customHeight="1">
      <c r="A43" s="9" t="n">
        <v>38</v>
      </c>
      <c r="B43" s="9" t="inlineStr">
        <is>
          <t>FB-040</t>
        </is>
      </c>
      <c r="C43" s="9" t="inlineStr">
        <is>
          <t>Products</t>
        </is>
      </c>
      <c r="D43" s="9" t="inlineStr">
        <is>
          <t>Add search by product code or name</t>
        </is>
      </c>
      <c r="E43" s="9" t="inlineStr">
        <is>
          <t>Search the full catalogue before pagination. Verify both code and name, clear search and no results.</t>
        </is>
      </c>
      <c r="F43" s="9" t="inlineStr">
        <is>
          <t>FB-039</t>
        </is>
      </c>
      <c r="G43" s="9">
        <f>IF(H43="Complete","Complete",IF(I43="Blocked","Blocked",IF(I43="In progress","Ready",IF(F43="","Ready",IF(COUNTIFS($B$4:$B$73,F43,$H$4:$H$73,"Complete")=1,"Ready","Waiting")))))</f>
        <v/>
      </c>
      <c r="H43" s="9">
        <f>IF(I43="Not started","Not started",IF(I43="Blocked","Blocked",IF(I43="In progress","In progress",IF(J43&lt;&gt;"Passed","Awaiting code review",IF(OR(K43="",NOT(ISNUMBER(L43))),"Awaiting review evidence",IF(N43&lt;&gt;"Passed","Awaiting test",IF(OR(M43="",O43="",NOT(ISNUMBER(P43))),"Awaiting test evidence","Complete")))))))</f>
        <v/>
      </c>
      <c r="I43" s="11" t="inlineStr">
        <is>
          <t>Not started</t>
        </is>
      </c>
      <c r="J43" s="11" t="inlineStr">
        <is>
          <t>Not reviewed</t>
        </is>
      </c>
      <c r="K43" s="11" t="n"/>
      <c r="L43" s="31" t="n"/>
      <c r="M43" s="11" t="n"/>
      <c r="N43" s="11" t="inlineStr">
        <is>
          <t>Not tested</t>
        </is>
      </c>
      <c r="O43" s="11" t="n"/>
      <c r="P43" s="31" t="n"/>
      <c r="Q43" s="11" t="n"/>
      <c r="R43" s="11" t="inlineStr">
        <is>
          <t>Before starting this item or feature: reread AGENTS.md from disk; apply its teaching and testing rules.
Next: Start this item after the previous item is complete.</t>
        </is>
      </c>
      <c r="S43" s="11" t="n"/>
    </row>
    <row r="44" ht="105" customHeight="1">
      <c r="A44" s="4" t="n">
        <v>39</v>
      </c>
      <c r="B44" s="4" t="inlineStr">
        <is>
          <t>FB-041</t>
        </is>
      </c>
      <c r="C44" s="4" t="inlineStr">
        <is>
          <t>Products</t>
        </is>
      </c>
      <c r="D44" s="4" t="inlineStr">
        <is>
          <t>Add the department filter</t>
        </is>
      </c>
      <c r="E44" s="4" t="inlineStr">
        <is>
          <t>Filter by department alone and with search. Explain selected state and request values; do not introduce remaining filters yet.</t>
        </is>
      </c>
      <c r="F44" s="4" t="inlineStr">
        <is>
          <t>FB-040</t>
        </is>
      </c>
      <c r="G44" s="4">
        <f>IF(H44="Complete","Complete",IF(I44="Blocked","Blocked",IF(I44="In progress","Ready",IF(F44="","Ready",IF(COUNTIFS($B$4:$B$73,F44,$H$4:$H$73,"Complete")=1,"Ready","Waiting")))))</f>
        <v/>
      </c>
      <c r="H44" s="4">
        <f>IF(I44="Not started","Not started",IF(I44="Blocked","Blocked",IF(I44="In progress","In progress",IF(J44&lt;&gt;"Passed","Awaiting code review",IF(OR(K44="",NOT(ISNUMBER(L44))),"Awaiting review evidence",IF(N44&lt;&gt;"Passed","Awaiting test",IF(OR(M44="",O44="",NOT(ISNUMBER(P44))),"Awaiting test evidence","Complete")))))))</f>
        <v/>
      </c>
      <c r="I44" s="10" t="inlineStr">
        <is>
          <t>Not started</t>
        </is>
      </c>
      <c r="J44" s="10" t="inlineStr">
        <is>
          <t>Not reviewed</t>
        </is>
      </c>
      <c r="K44" s="10" t="n"/>
      <c r="L44" s="30" t="n"/>
      <c r="M44" s="10" t="n"/>
      <c r="N44" s="10" t="inlineStr">
        <is>
          <t>Not tested</t>
        </is>
      </c>
      <c r="O44" s="10" t="n"/>
      <c r="P44" s="30" t="n"/>
      <c r="Q44" s="10" t="n"/>
      <c r="R44" s="10" t="inlineStr">
        <is>
          <t>Before starting this item or feature: reread AGENTS.md from disk; apply its teaching and testing rules.
Next: Start this item after the previous item is complete.</t>
        </is>
      </c>
      <c r="S44" s="10" t="n"/>
    </row>
    <row r="45" ht="105" customHeight="1">
      <c r="A45" s="9" t="n">
        <v>40</v>
      </c>
      <c r="B45" s="9" t="inlineStr">
        <is>
          <t>FB-042</t>
        </is>
      </c>
      <c r="C45" s="9" t="inlineStr">
        <is>
          <t>Products</t>
        </is>
      </c>
      <c r="D45" s="9" t="inlineStr">
        <is>
          <t>Add the category filter</t>
        </is>
      </c>
      <c r="E45" s="9" t="inlineStr">
        <is>
          <t>Filter by category and combine with department/search; changing parent must not leave incompatible selections.</t>
        </is>
      </c>
      <c r="F45" s="9" t="inlineStr">
        <is>
          <t>FB-041</t>
        </is>
      </c>
      <c r="G45" s="9">
        <f>IF(H45="Complete","Complete",IF(I45="Blocked","Blocked",IF(I45="In progress","Ready",IF(F45="","Ready",IF(COUNTIFS($B$4:$B$73,F45,$H$4:$H$73,"Complete")=1,"Ready","Waiting")))))</f>
        <v/>
      </c>
      <c r="H45" s="9">
        <f>IF(I45="Not started","Not started",IF(I45="Blocked","Blocked",IF(I45="In progress","In progress",IF(J45&lt;&gt;"Passed","Awaiting code review",IF(OR(K45="",NOT(ISNUMBER(L45))),"Awaiting review evidence",IF(N45&lt;&gt;"Passed","Awaiting test",IF(OR(M45="",O45="",NOT(ISNUMBER(P45))),"Awaiting test evidence","Complete")))))))</f>
        <v/>
      </c>
      <c r="I45" s="11" t="inlineStr">
        <is>
          <t>Not started</t>
        </is>
      </c>
      <c r="J45" s="11" t="inlineStr">
        <is>
          <t>Not reviewed</t>
        </is>
      </c>
      <c r="K45" s="11" t="n"/>
      <c r="L45" s="31" t="n"/>
      <c r="M45" s="11" t="n"/>
      <c r="N45" s="11" t="inlineStr">
        <is>
          <t>Not tested</t>
        </is>
      </c>
      <c r="O45" s="11" t="n"/>
      <c r="P45" s="31" t="n"/>
      <c r="Q45" s="11" t="n"/>
      <c r="R45" s="11" t="inlineStr">
        <is>
          <t>Before starting this item or feature: reread AGENTS.md from disk; apply its teaching and testing rules.
Next: Start this item after the previous item is complete.</t>
        </is>
      </c>
      <c r="S45" s="11" t="n"/>
    </row>
    <row r="46" ht="105" customHeight="1">
      <c r="A46" s="4" t="n">
        <v>41</v>
      </c>
      <c r="B46" s="4" t="inlineStr">
        <is>
          <t>FB-043</t>
        </is>
      </c>
      <c r="C46" s="4" t="inlineStr">
        <is>
          <t>Products</t>
        </is>
      </c>
      <c r="D46" s="4" t="inlineStr">
        <is>
          <t>Add the subcategory filter</t>
        </is>
      </c>
      <c r="E46" s="4" t="inlineStr">
        <is>
          <t>Filter by subcategory alongside existing selections; verify full path and no skipped/contradictory parent selection.</t>
        </is>
      </c>
      <c r="F46" s="4" t="inlineStr">
        <is>
          <t>FB-042</t>
        </is>
      </c>
      <c r="G46" s="4">
        <f>IF(H46="Complete","Complete",IF(I46="Blocked","Blocked",IF(I46="In progress","Ready",IF(F46="","Ready",IF(COUNTIFS($B$4:$B$73,F46,$H$4:$H$73,"Complete")=1,"Ready","Waiting")))))</f>
        <v/>
      </c>
      <c r="H46" s="4">
        <f>IF(I46="Not started","Not started",IF(I46="Blocked","Blocked",IF(I46="In progress","In progress",IF(J46&lt;&gt;"Passed","Awaiting code review",IF(OR(K46="",NOT(ISNUMBER(L46))),"Awaiting review evidence",IF(N46&lt;&gt;"Passed","Awaiting test",IF(OR(M46="",O46="",NOT(ISNUMBER(P46))),"Awaiting test evidence","Complete")))))))</f>
        <v/>
      </c>
      <c r="I46" s="10" t="inlineStr">
        <is>
          <t>Not started</t>
        </is>
      </c>
      <c r="J46" s="10" t="inlineStr">
        <is>
          <t>Not reviewed</t>
        </is>
      </c>
      <c r="K46" s="10" t="n"/>
      <c r="L46" s="30" t="n"/>
      <c r="M46" s="10" t="n"/>
      <c r="N46" s="10" t="inlineStr">
        <is>
          <t>Not tested</t>
        </is>
      </c>
      <c r="O46" s="10" t="n"/>
      <c r="P46" s="30" t="n"/>
      <c r="Q46" s="10" t="n"/>
      <c r="R46" s="10" t="inlineStr">
        <is>
          <t>Before starting this item or feature: reread AGENTS.md from disk; apply its teaching and testing rules.
Next: Start this item after the previous item is complete.</t>
        </is>
      </c>
      <c r="S46" s="10" t="n"/>
    </row>
    <row r="47" ht="105" customHeight="1">
      <c r="A47" s="9" t="n">
        <v>42</v>
      </c>
      <c r="B47" s="9" t="inlineStr">
        <is>
          <t>FB-044</t>
        </is>
      </c>
      <c r="C47" s="9" t="inlineStr">
        <is>
          <t>Products</t>
        </is>
      </c>
      <c r="D47" s="9" t="inlineStr">
        <is>
          <t>Add the tag filter</t>
        </is>
      </c>
      <c r="E47" s="9" t="inlineStr">
        <is>
          <t>Show products with the selected shared tag; combine with prior filters and search. Untagged products remain visible when tag filter is cleared.</t>
        </is>
      </c>
      <c r="F47" s="9" t="inlineStr">
        <is>
          <t>FB-043</t>
        </is>
      </c>
      <c r="G47" s="9">
        <f>IF(H47="Complete","Complete",IF(I47="Blocked","Blocked",IF(I47="In progress","Ready",IF(F47="","Ready",IF(COUNTIFS($B$4:$B$73,F47,$H$4:$H$73,"Complete")=1,"Ready","Waiting")))))</f>
        <v/>
      </c>
      <c r="H47" s="9">
        <f>IF(I47="Not started","Not started",IF(I47="Blocked","Blocked",IF(I47="In progress","In progress",IF(J47&lt;&gt;"Passed","Awaiting code review",IF(OR(K47="",NOT(ISNUMBER(L47))),"Awaiting review evidence",IF(N47&lt;&gt;"Passed","Awaiting test",IF(OR(M47="",O47="",NOT(ISNUMBER(P47))),"Awaiting test evidence","Complete")))))))</f>
        <v/>
      </c>
      <c r="I47" s="11" t="inlineStr">
        <is>
          <t>Not started</t>
        </is>
      </c>
      <c r="J47" s="11" t="inlineStr">
        <is>
          <t>Not reviewed</t>
        </is>
      </c>
      <c r="K47" s="11" t="n"/>
      <c r="L47" s="31" t="n"/>
      <c r="M47" s="11" t="n"/>
      <c r="N47" s="11" t="inlineStr">
        <is>
          <t>Not tested</t>
        </is>
      </c>
      <c r="O47" s="11" t="n"/>
      <c r="P47" s="31" t="n"/>
      <c r="Q47" s="11" t="n"/>
      <c r="R47" s="11" t="inlineStr">
        <is>
          <t>Before starting this item or feature: reread AGENTS.md from disk; apply its teaching and testing rules.
Next: Start this item after the previous item is complete.</t>
        </is>
      </c>
      <c r="S47" s="11" t="n"/>
    </row>
    <row r="48" ht="105" customHeight="1">
      <c r="A48" s="4" t="n">
        <v>43</v>
      </c>
      <c r="B48" s="4" t="inlineStr">
        <is>
          <t>FB-045</t>
        </is>
      </c>
      <c r="C48" s="4" t="inlineStr">
        <is>
          <t>Products</t>
        </is>
      </c>
      <c r="D48" s="4" t="inlineStr">
        <is>
          <t>Add the product status filter</t>
        </is>
      </c>
      <c r="E48" s="4" t="inlineStr">
        <is>
          <t>All/Active/Inactive works with existing filters. General product list may show inactive/zero-stock products; distribution picker later has stricter rules.</t>
        </is>
      </c>
      <c r="F48" s="4" t="inlineStr">
        <is>
          <t>FB-044</t>
        </is>
      </c>
      <c r="G48" s="4">
        <f>IF(H48="Complete","Complete",IF(I48="Blocked","Blocked",IF(I48="In progress","Ready",IF(F48="","Ready",IF(COUNTIFS($B$4:$B$73,F48,$H$4:$H$73,"Complete")=1,"Ready","Waiting")))))</f>
        <v/>
      </c>
      <c r="H48" s="4">
        <f>IF(I48="Not started","Not started",IF(I48="Blocked","Blocked",IF(I48="In progress","In progress",IF(J48&lt;&gt;"Passed","Awaiting code review",IF(OR(K48="",NOT(ISNUMBER(L48))),"Awaiting review evidence",IF(N48&lt;&gt;"Passed","Awaiting test",IF(OR(M48="",O48="",NOT(ISNUMBER(P48))),"Awaiting test evidence","Complete")))))))</f>
        <v/>
      </c>
      <c r="I48" s="10" t="inlineStr">
        <is>
          <t>Not started</t>
        </is>
      </c>
      <c r="J48" s="10" t="inlineStr">
        <is>
          <t>Not reviewed</t>
        </is>
      </c>
      <c r="K48" s="10" t="n"/>
      <c r="L48" s="30" t="n"/>
      <c r="M48" s="10" t="n"/>
      <c r="N48" s="10" t="inlineStr">
        <is>
          <t>Not tested</t>
        </is>
      </c>
      <c r="O48" s="10" t="n"/>
      <c r="P48" s="30" t="n"/>
      <c r="Q48" s="10" t="n"/>
      <c r="R48" s="10" t="inlineStr">
        <is>
          <t>Before starting this item or feature: reread AGENTS.md from disk; apply its teaching and testing rules.
Next: Start this item after the previous item is complete.</t>
        </is>
      </c>
      <c r="S48" s="10" t="n"/>
    </row>
    <row r="49" ht="105" customHeight="1">
      <c r="A49" s="9" t="n">
        <v>44</v>
      </c>
      <c r="B49" s="9" t="inlineStr">
        <is>
          <t>FB-046</t>
        </is>
      </c>
      <c r="C49" s="9" t="inlineStr">
        <is>
          <t>Products</t>
        </is>
      </c>
      <c r="D49" s="9" t="inlineStr">
        <is>
          <t>Paginate and verify the full product list</t>
        </is>
      </c>
      <c r="E49" s="9" t="inlineStr">
        <is>
          <t>10 products per page after all search/filters. Preserve selections across pages; all roles may list/search/filter. Verify combinations and boundary/empty pages.</t>
        </is>
      </c>
      <c r="F49" s="9" t="inlineStr">
        <is>
          <t>FB-045</t>
        </is>
      </c>
      <c r="G49" s="9">
        <f>IF(H49="Complete","Complete",IF(I49="Blocked","Blocked",IF(I49="In progress","Ready",IF(F49="","Ready",IF(COUNTIFS($B$4:$B$73,F49,$H$4:$H$73,"Complete")=1,"Ready","Waiting")))))</f>
        <v/>
      </c>
      <c r="H49" s="9">
        <f>IF(I49="Not started","Not started",IF(I49="Blocked","Blocked",IF(I49="In progress","In progress",IF(J49&lt;&gt;"Passed","Awaiting code review",IF(OR(K49="",NOT(ISNUMBER(L49))),"Awaiting review evidence",IF(N49&lt;&gt;"Passed","Awaiting test",IF(OR(M49="",O49="",NOT(ISNUMBER(P49))),"Awaiting test evidence","Complete")))))))</f>
        <v/>
      </c>
      <c r="I49" s="11" t="inlineStr">
        <is>
          <t>Not started</t>
        </is>
      </c>
      <c r="J49" s="11" t="inlineStr">
        <is>
          <t>Not reviewed</t>
        </is>
      </c>
      <c r="K49" s="11" t="n"/>
      <c r="L49" s="31" t="n"/>
      <c r="M49" s="11" t="n"/>
      <c r="N49" s="11" t="inlineStr">
        <is>
          <t>Not tested</t>
        </is>
      </c>
      <c r="O49" s="11" t="n"/>
      <c r="P49" s="31" t="n"/>
      <c r="Q49" s="11" t="n"/>
      <c r="R49" s="11" t="inlineStr">
        <is>
          <t>Before starting this item or feature: reread AGENTS.md from disk; apply its teaching and testing rules.
Next: Start this item after the previous item is complete.</t>
        </is>
      </c>
      <c r="S49" s="11" t="n"/>
    </row>
    <row r="50" ht="105" customHeight="1">
      <c r="A50" s="4" t="n">
        <v>45</v>
      </c>
      <c r="B50" s="4" t="inlineStr">
        <is>
          <t>FB-047</t>
        </is>
      </c>
      <c r="C50" s="4" t="inlineStr">
        <is>
          <t>Products</t>
        </is>
      </c>
      <c r="D50" s="4" t="inlineStr">
        <is>
          <t>Edit product details before movements</t>
        </is>
      </c>
      <c r="E50" s="4" t="inlineStr">
        <is>
          <t>Managers/Super Admin may edit catalogue fields subject to validation and duplicates; codes permanent. Explain changes with local zero-stock products. Post-movement locks are added and verified with Receive.</t>
        </is>
      </c>
      <c r="F50" s="4" t="inlineStr">
        <is>
          <t>FB-046</t>
        </is>
      </c>
      <c r="G50" s="4">
        <f>IF(H50="Complete","Complete",IF(I50="Blocked","Blocked",IF(I50="In progress","Ready",IF(F50="","Ready",IF(COUNTIFS($B$4:$B$73,F50,$H$4:$H$73,"Complete")=1,"Ready","Waiting")))))</f>
        <v/>
      </c>
      <c r="H50" s="4">
        <f>IF(I50="Not started","Not started",IF(I50="Blocked","Blocked",IF(I50="In progress","In progress",IF(J50&lt;&gt;"Passed","Awaiting code review",IF(OR(K50="",NOT(ISNUMBER(L50))),"Awaiting review evidence",IF(N50&lt;&gt;"Passed","Awaiting test",IF(OR(M50="",O50="",NOT(ISNUMBER(P50))),"Awaiting test evidence","Complete")))))))</f>
        <v/>
      </c>
      <c r="I50" s="10" t="inlineStr">
        <is>
          <t>Not started</t>
        </is>
      </c>
      <c r="J50" s="10" t="inlineStr">
        <is>
          <t>Not reviewed</t>
        </is>
      </c>
      <c r="K50" s="10" t="n"/>
      <c r="L50" s="30" t="n"/>
      <c r="M50" s="10" t="n"/>
      <c r="N50" s="10" t="inlineStr">
        <is>
          <t>Not tested</t>
        </is>
      </c>
      <c r="O50" s="10" t="n"/>
      <c r="P50" s="30" t="n"/>
      <c r="Q50" s="10" t="n"/>
      <c r="R50" s="10" t="inlineStr">
        <is>
          <t>Before starting this item or feature: reread AGENTS.md from disk; apply its teaching and testing rules.
Next: Start this item after the previous item is complete.</t>
        </is>
      </c>
      <c r="S50" s="10" t="n"/>
    </row>
    <row r="51" ht="105" customHeight="1">
      <c r="A51" s="9" t="n">
        <v>46</v>
      </c>
      <c r="B51" s="9" t="inlineStr">
        <is>
          <t>FB-048</t>
        </is>
      </c>
      <c r="C51" s="9" t="inlineStr">
        <is>
          <t>Products</t>
        </is>
      </c>
      <c r="D51" s="9" t="inlineStr">
        <is>
          <t>Activate/deactivate products and manage tag removal</t>
        </is>
      </c>
      <c r="E51" s="9" t="inlineStr">
        <is>
          <t>Deactivate only at zero stock, retain records instead of deleting. Reactivate later. Remove tags from a product without deleting shared tag; delete shared tag only if unused by active AND inactive products.</t>
        </is>
      </c>
      <c r="F51" s="9" t="inlineStr">
        <is>
          <t>FB-047</t>
        </is>
      </c>
      <c r="G51" s="9">
        <f>IF(H51="Complete","Complete",IF(I51="Blocked","Blocked",IF(I51="In progress","Ready",IF(F51="","Ready",IF(COUNTIFS($B$4:$B$73,F51,$H$4:$H$73,"Complete")=1,"Ready","Waiting")))))</f>
        <v/>
      </c>
      <c r="H51" s="9">
        <f>IF(I51="Not started","Not started",IF(I51="Blocked","Blocked",IF(I51="In progress","In progress",IF(J51&lt;&gt;"Passed","Awaiting code review",IF(OR(K51="",NOT(ISNUMBER(L51))),"Awaiting review evidence",IF(N51&lt;&gt;"Passed","Awaiting test",IF(OR(M51="",O51="",NOT(ISNUMBER(P51))),"Awaiting test evidence","Complete")))))))</f>
        <v/>
      </c>
      <c r="I51" s="11" t="inlineStr">
        <is>
          <t>Not started</t>
        </is>
      </c>
      <c r="J51" s="11" t="inlineStr">
        <is>
          <t>Not reviewed</t>
        </is>
      </c>
      <c r="K51" s="11" t="n"/>
      <c r="L51" s="31" t="n"/>
      <c r="M51" s="11" t="n"/>
      <c r="N51" s="11" t="inlineStr">
        <is>
          <t>Not tested</t>
        </is>
      </c>
      <c r="O51" s="11" t="n"/>
      <c r="P51" s="31" t="n"/>
      <c r="Q51" s="11" t="n"/>
      <c r="R51" s="11" t="inlineStr">
        <is>
          <t>Before starting this item or feature: reread AGENTS.md from disk; apply its teaching and testing rules.
Next: Verify zero-stock deactivation and reactivation first. Then teach removing a product tag and deleting only unused shared tags separately, after the relationship exists. Include inactive products in usage checks. Nonzero-stock rejection and movement locks are verified later in FB-053.</t>
        </is>
      </c>
      <c r="S51" s="11" t="n"/>
    </row>
    <row r="52" ht="105" customHeight="1">
      <c r="A52" s="4" t="n">
        <v>47</v>
      </c>
      <c r="B52" s="4" t="inlineStr">
        <is>
          <t>FB-067</t>
        </is>
      </c>
      <c r="C52" s="4" t="inlineStr">
        <is>
          <t>Verification</t>
        </is>
      </c>
      <c r="D52" s="4" t="inlineStr">
        <is>
          <t>Verify the completed catalogue before stock movements</t>
        </is>
      </c>
      <c r="E52" s="4" t="inlineStr">
        <is>
          <t>Review and ask the developer to test completed Department, Category, Subcategory, Tag and Product actions, codes/duplicates/required fields, compatible units/precision, responsive layouts, individual filters and pagination, and permitted/denied direct requests. Stock-dependent locks and nonzero deactivation remain FB-053; totals are FB-065/FB-066; movement-wide checks are FB-068/FB-069. Record actual evidence before starting Receive.</t>
        </is>
      </c>
      <c r="F52" s="4" t="inlineStr">
        <is>
          <t>FB-048</t>
        </is>
      </c>
      <c r="G52" s="4">
        <f>IF(H52="Complete","Complete",IF(I52="Blocked","Blocked",IF(I52="In progress","Ready",IF(F52="","Ready",IF(COUNTIFS($B$4:$B$73,F52,$H$4:$H$73,"Complete")=1,"Ready","Waiting")))))</f>
        <v/>
      </c>
      <c r="H52" s="4">
        <f>IF(I52="Not started","Not started",IF(I52="Blocked","Blocked",IF(I52="In progress","In progress",IF(J52&lt;&gt;"Passed","Awaiting code review",IF(OR(K52="",NOT(ISNUMBER(L52))),"Awaiting review evidence",IF(N52&lt;&gt;"Passed","Awaiting test",IF(OR(M52="",O52="",NOT(ISNUMBER(P52))),"Awaiting test evidence","Complete")))))))</f>
        <v/>
      </c>
      <c r="I52" s="10" t="inlineStr">
        <is>
          <t>Not started</t>
        </is>
      </c>
      <c r="J52" s="10" t="inlineStr">
        <is>
          <t>Not reviewed</t>
        </is>
      </c>
      <c r="K52" s="10" t="n"/>
      <c r="L52" s="30" t="n"/>
      <c r="M52" s="10" t="n"/>
      <c r="N52" s="10" t="inlineStr">
        <is>
          <t>Not tested</t>
        </is>
      </c>
      <c r="O52" s="10" t="n"/>
      <c r="P52" s="30" t="n"/>
      <c r="Q52" s="10" t="n"/>
      <c r="R52" s="10" t="inlineStr">
        <is>
          <t>Before starting this item or feature: reread AGENTS.md from disk; apply its teaching and testing rules.
Next: Run the catalogue checkpoint before Receive, with developer-first tests. Verify each completed module and combined list filters. Explicitly record stock-dependent checks as later FB-053/FB-065/FB-066/FB-068 checkpoints, not passed checks here.</t>
        </is>
      </c>
      <c r="S52" s="10" t="n"/>
    </row>
    <row r="53" ht="105" customHeight="1">
      <c r="A53" s="9" t="n">
        <v>48</v>
      </c>
      <c r="B53" s="9" t="inlineStr">
        <is>
          <t>FB-049</t>
        </is>
      </c>
      <c r="C53" s="9" t="inlineStr">
        <is>
          <t>Receive</t>
        </is>
      </c>
      <c r="D53" s="9" t="inlineStr">
        <is>
          <t>Display and lay out a multi-product Receive form</t>
        </is>
      </c>
      <c r="E53" s="9" t="inlineStr">
        <is>
          <t>All three roles may receive active products, including zero-stock products. Show saved package size; quantities are whole packages; one optional note for whole entry. Teach one row before multiple rows.</t>
        </is>
      </c>
      <c r="F53" s="9" t="inlineStr">
        <is>
          <t>FB-067</t>
        </is>
      </c>
      <c r="G53" s="9">
        <f>IF(H53="Complete","Complete",IF(I53="Blocked","Blocked",IF(I53="In progress","Ready",IF(F53="","Ready",IF(COUNTIFS($B$4:$B$73,F53,$H$4:$H$73,"Complete")=1,"Ready","Waiting")))))</f>
        <v/>
      </c>
      <c r="H53" s="9">
        <f>IF(I53="Not started","Not started",IF(I53="Blocked","Blocked",IF(I53="In progress","In progress",IF(J53&lt;&gt;"Passed","Awaiting code review",IF(OR(K53="",NOT(ISNUMBER(L53))),"Awaiting review evidence",IF(N53&lt;&gt;"Passed","Awaiting test",IF(OR(M53="",O53="",NOT(ISNUMBER(P53))),"Awaiting test evidence","Complete")))))))</f>
        <v/>
      </c>
      <c r="I53" s="11" t="inlineStr">
        <is>
          <t>Not started</t>
        </is>
      </c>
      <c r="J53" s="11" t="inlineStr">
        <is>
          <t>Not reviewed</t>
        </is>
      </c>
      <c r="K53" s="11" t="n"/>
      <c r="L53" s="31" t="n"/>
      <c r="M53" s="11" t="n"/>
      <c r="N53" s="11" t="inlineStr">
        <is>
          <t>Not tested</t>
        </is>
      </c>
      <c r="O53" s="11" t="n"/>
      <c r="P53" s="31" t="n"/>
      <c r="Q53" s="11" t="n"/>
      <c r="R53" s="11" t="inlineStr">
        <is>
          <t>Before starting this item or feature: reread AGENTS.md from disk; apply its teaching and testing rules.
Next: Identify movement permissions and consistency rules first. Introduce receipt/movement storage and Product/recorder relationships only as needed for Receive. A local fictional one-row form may precede persistence. Teach package display and layout before multiple rows; do not enable submission without server checks.</t>
        </is>
      </c>
      <c r="S53" s="11" t="n"/>
    </row>
    <row r="54" ht="105" customHeight="1">
      <c r="A54" s="4" t="n">
        <v>49</v>
      </c>
      <c r="B54" s="4" t="inlineStr">
        <is>
          <t>FB-050</t>
        </is>
      </c>
      <c r="C54" s="4" t="inlineStr">
        <is>
          <t>Receive</t>
        </is>
      </c>
      <c r="D54" s="4" t="inlineStr">
        <is>
          <t>Add reactive product rows and whole quantities</t>
        </is>
      </c>
      <c r="E54" s="4" t="inlineStr">
        <is>
          <t>Each product appears once; update its quantity instead of duplicate rows. Multiple different products allowed. Reject zero/negative/fractional quantities; unit choice is on product creation, not movements.</t>
        </is>
      </c>
      <c r="F54" s="4" t="inlineStr">
        <is>
          <t>FB-049</t>
        </is>
      </c>
      <c r="G54" s="4">
        <f>IF(H54="Complete","Complete",IF(I54="Blocked","Blocked",IF(I54="In progress","Ready",IF(F54="","Ready",IF(COUNTIFS($B$4:$B$73,F54,$H$4:$H$73,"Complete")=1,"Ready","Waiting")))))</f>
        <v/>
      </c>
      <c r="H54" s="4">
        <f>IF(I54="Not started","Not started",IF(I54="Blocked","Blocked",IF(I54="In progress","In progress",IF(J54&lt;&gt;"Passed","Awaiting code review",IF(OR(K54="",NOT(ISNUMBER(L54))),"Awaiting review evidence",IF(N54&lt;&gt;"Passed","Awaiting test",IF(OR(M54="",O54="",NOT(ISNUMBER(P54))),"Awaiting test evidence","Complete")))))))</f>
        <v/>
      </c>
      <c r="I54" s="10" t="inlineStr">
        <is>
          <t>Not started</t>
        </is>
      </c>
      <c r="J54" s="10" t="inlineStr">
        <is>
          <t>Not reviewed</t>
        </is>
      </c>
      <c r="K54" s="10" t="n"/>
      <c r="L54" s="30" t="n"/>
      <c r="M54" s="10" t="n"/>
      <c r="N54" s="10" t="inlineStr">
        <is>
          <t>Not tested</t>
        </is>
      </c>
      <c r="O54" s="10" t="n"/>
      <c r="P54" s="30" t="n"/>
      <c r="Q54" s="10" t="n"/>
      <c r="R54" s="10" t="inlineStr">
        <is>
          <t>Before starting this item or feature: reread AGENTS.md from disk; apply its teaching and testing rules.
Next: Start this item after the previous item is complete.</t>
        </is>
      </c>
      <c r="S54" s="10" t="n"/>
    </row>
    <row r="55" ht="105" customHeight="1">
      <c r="A55" s="9" t="n">
        <v>50</v>
      </c>
      <c r="B55" s="9" t="inlineStr">
        <is>
          <t>FB-051</t>
        </is>
      </c>
      <c r="C55" s="9" t="inlineStr">
        <is>
          <t>Receive</t>
        </is>
      </c>
      <c r="D55" s="9" t="inlineStr">
        <is>
          <t>Save an entire receipt and record stock changes</t>
        </is>
      </c>
      <c r="E55" s="9" t="inlineStr">
        <is>
          <t>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t>
        </is>
      </c>
      <c r="F55" s="9" t="inlineStr">
        <is>
          <t>FB-050</t>
        </is>
      </c>
      <c r="G55" s="9">
        <f>IF(H55="Complete","Complete",IF(I55="Blocked","Blocked",IF(I55="In progress","Ready",IF(F55="","Ready",IF(COUNTIFS($B$4:$B$73,F55,$H$4:$H$73,"Complete")=1,"Ready","Waiting")))))</f>
        <v/>
      </c>
      <c r="H55" s="9">
        <f>IF(I55="Not started","Not started",IF(I55="Blocked","Blocked",IF(I55="In progress","In progress",IF(J55&lt;&gt;"Passed","Awaiting code review",IF(OR(K55="",NOT(ISNUMBER(L55))),"Awaiting review evidence",IF(N55&lt;&gt;"Passed","Awaiting test",IF(OR(M55="",O55="",NOT(ISNUMBER(P55))),"Awaiting test evidence","Complete")))))))</f>
        <v/>
      </c>
      <c r="I55" s="11" t="inlineStr">
        <is>
          <t>Not started</t>
        </is>
      </c>
      <c r="J55" s="11" t="inlineStr">
        <is>
          <t>Not reviewed</t>
        </is>
      </c>
      <c r="K55" s="11" t="n"/>
      <c r="L55" s="31" t="n"/>
      <c r="M55" s="11" t="n"/>
      <c r="N55" s="11" t="inlineStr">
        <is>
          <t>Not tested</t>
        </is>
      </c>
      <c r="O55" s="11" t="n"/>
      <c r="P55" s="31" t="n"/>
      <c r="Q55" s="11" t="n"/>
      <c r="R55" s="11" t="inlineStr">
        <is>
          <t>Before starting this item or feature: reread AGENTS.md from disk; apply its teaching and testing rules.
Next: Explain receipt, movement, Product and recorder links, validation and the transaction before enabling Save. Enforce server permissions and active status now. Verify saved balances and rollback with fictional data. FB-052 adds submission feedback; FB-053 completes post-movement locks before operational use.</t>
        </is>
      </c>
      <c r="S55" s="11" t="n"/>
    </row>
    <row r="56" ht="105" customHeight="1">
      <c r="A56" s="4" t="n">
        <v>51</v>
      </c>
      <c r="B56" s="4" t="inlineStr">
        <is>
          <t>FB-052</t>
        </is>
      </c>
      <c r="C56" s="4" t="inlineStr">
        <is>
          <t>Receive</t>
        </is>
      </c>
      <c r="D56" s="4" t="inlineStr">
        <is>
          <t>Connect submission feedback and protect stock rules</t>
        </is>
      </c>
      <c r="E56" s="4" t="inlineStr">
        <is>
          <t>Show processing/errors/success; prevent repeated clicks while processing. Enforce active-account and movement permissions on server; opening stock uses Receive. Test a multiple-product receipt against actual balances.</t>
        </is>
      </c>
      <c r="F56" s="4" t="inlineStr">
        <is>
          <t>FB-051</t>
        </is>
      </c>
      <c r="G56" s="4">
        <f>IF(H56="Complete","Complete",IF(I56="Blocked","Blocked",IF(I56="In progress","Ready",IF(F56="","Ready",IF(COUNTIFS($B$4:$B$73,F56,$H$4:$H$73,"Complete")=1,"Ready","Waiting")))))</f>
        <v/>
      </c>
      <c r="H56" s="4">
        <f>IF(I56="Not started","Not started",IF(I56="Blocked","Blocked",IF(I56="In progress","In progress",IF(J56&lt;&gt;"Passed","Awaiting code review",IF(OR(K56="",NOT(ISNUMBER(L56))),"Awaiting review evidence",IF(N56&lt;&gt;"Passed","Awaiting test",IF(OR(M56="",O56="",NOT(ISNUMBER(P56))),"Awaiting test evidence","Complete")))))))</f>
        <v/>
      </c>
      <c r="I56" s="10" t="inlineStr">
        <is>
          <t>Not started</t>
        </is>
      </c>
      <c r="J56" s="10" t="inlineStr">
        <is>
          <t>Not reviewed</t>
        </is>
      </c>
      <c r="K56" s="10" t="n"/>
      <c r="L56" s="30" t="n"/>
      <c r="M56" s="10" t="n"/>
      <c r="N56" s="10" t="inlineStr">
        <is>
          <t>Not tested</t>
        </is>
      </c>
      <c r="O56" s="10" t="n"/>
      <c r="P56" s="30" t="n"/>
      <c r="Q56" s="10" t="n"/>
      <c r="R56" s="10" t="inlineStr">
        <is>
          <t>Before starting this item or feature: reread AGENTS.md from disk; apply its teaching and testing rules.
Next: Add processing, retained errors and success feedback to the already authorized save operation. Recheck the server safeguards from FB-051; do not postpone them until this lesson. Verify a multi-product receipt, then finish required locks in FB-053.</t>
        </is>
      </c>
      <c r="S56" s="10" t="n"/>
    </row>
    <row r="57" ht="105" customHeight="1">
      <c r="A57" s="9" t="n">
        <v>52</v>
      </c>
      <c r="B57" s="9" t="inlineStr">
        <is>
          <t>FB-053</t>
        </is>
      </c>
      <c r="C57" s="9" t="inlineStr">
        <is>
          <t>Receive</t>
        </is>
      </c>
      <c r="D57" s="9" t="inlineStr">
        <is>
          <t>Lock product and summary units after first movement</t>
        </is>
      </c>
      <c r="E57" s="9" t="inlineStr">
        <is>
          <t>After first movement lock product counting unit, contents/value/unit and subcategory. Lock subcategory summary unit once any child moved. Names/tags remain editable; nonzero products cannot deactivate. Direct writes cannot bypass locks.</t>
        </is>
      </c>
      <c r="F57" s="9" t="inlineStr">
        <is>
          <t>FB-052</t>
        </is>
      </c>
      <c r="G57" s="9">
        <f>IF(H57="Complete","Complete",IF(I57="Blocked","Blocked",IF(I57="In progress","Ready",IF(F57="","Ready",IF(COUNTIFS($B$4:$B$73,F57,$H$4:$H$73,"Complete")=1,"Ready","Waiting")))))</f>
        <v/>
      </c>
      <c r="H57" s="9">
        <f>IF(I57="Not started","Not started",IF(I57="Blocked","Blocked",IF(I57="In progress","In progress",IF(J57&lt;&gt;"Passed","Awaiting code review",IF(OR(K57="",NOT(ISNUMBER(L57))),"Awaiting review evidence",IF(N57&lt;&gt;"Passed","Awaiting test",IF(OR(M57="",O57="",NOT(ISNUMBER(P57))),"Awaiting test evidence","Complete")))))))</f>
        <v/>
      </c>
      <c r="I57" s="11" t="inlineStr">
        <is>
          <t>Not started</t>
        </is>
      </c>
      <c r="J57" s="11" t="inlineStr">
        <is>
          <t>Not reviewed</t>
        </is>
      </c>
      <c r="K57" s="11" t="n"/>
      <c r="L57" s="31" t="n"/>
      <c r="M57" s="11" t="n"/>
      <c r="N57" s="11" t="inlineStr">
        <is>
          <t>Not tested</t>
        </is>
      </c>
      <c r="O57" s="11" t="n"/>
      <c r="P57" s="31" t="n"/>
      <c r="Q57" s="11" t="n"/>
      <c r="R57" s="11" t="inlineStr">
        <is>
          <t>Before starting this item or feature: reread AGENTS.md from disk; apply its teaching and testing rules.
Next: Use a real fictional Receive movement to observe why units/subcategory must now lock. Enforce each lock separately and verify direct-write rejection and nonzero deactivation. Retest earlier catalogue edit actions before calling Receive ready for operational use.</t>
        </is>
      </c>
      <c r="S57" s="11" t="n"/>
    </row>
    <row r="58" ht="105" customHeight="1">
      <c r="A58" s="4" t="n">
        <v>53</v>
      </c>
      <c r="B58" s="4" t="inlineStr">
        <is>
          <t>FB-054</t>
        </is>
      </c>
      <c r="C58" s="4" t="inlineStr">
        <is>
          <t>History</t>
        </is>
      </c>
      <c r="D58" s="4" t="inlineStr">
        <is>
          <t>Show product stock history to permitted roles</t>
        </is>
      </c>
      <c r="E58" s="4" t="inlineStr">
        <is>
          <t>On product details, show type, +/- quantity, timestamp, resulting balance, recorder and receipt/household/reason details. History comes automatically from movements. Managers/Super Admin only; volunteers denied even direct requests.</t>
        </is>
      </c>
      <c r="F58" s="4" t="inlineStr">
        <is>
          <t>FB-053</t>
        </is>
      </c>
      <c r="G58" s="4">
        <f>IF(H58="Complete","Complete",IF(I58="Blocked","Blocked",IF(I58="In progress","Ready",IF(F58="","Ready",IF(COUNTIFS($B$4:$B$73,F58,$H$4:$H$73,"Complete")=1,"Ready","Waiting")))))</f>
        <v/>
      </c>
      <c r="H58" s="4">
        <f>IF(I58="Not started","Not started",IF(I58="Blocked","Blocked",IF(I58="In progress","In progress",IF(J58&lt;&gt;"Passed","Awaiting code review",IF(OR(K58="",NOT(ISNUMBER(L58))),"Awaiting review evidence",IF(N58&lt;&gt;"Passed","Awaiting test",IF(OR(M58="",O58="",NOT(ISNUMBER(P58))),"Awaiting test evidence","Complete")))))))</f>
        <v/>
      </c>
      <c r="I58" s="10" t="inlineStr">
        <is>
          <t>Not started</t>
        </is>
      </c>
      <c r="J58" s="10" t="inlineStr">
        <is>
          <t>Not reviewed</t>
        </is>
      </c>
      <c r="K58" s="10" t="n"/>
      <c r="L58" s="30" t="n"/>
      <c r="M58" s="10" t="n"/>
      <c r="N58" s="10" t="inlineStr">
        <is>
          <t>Not tested</t>
        </is>
      </c>
      <c r="O58" s="10" t="n"/>
      <c r="P58" s="30" t="n"/>
      <c r="Q58" s="10" t="n"/>
      <c r="R58" s="10" t="inlineStr">
        <is>
          <t>Before starting this item or feature: reread AGENTS.md from disk; apply its teaching and testing rules.
Next: Build the permitted product details/history view using Receive records now available. Verify manager/Super Admin access and volunteer denial. Add adjustment reasons in FB-056 and household details in FB-063 when those movements exist, then recheck all history types in FB-068.</t>
        </is>
      </c>
      <c r="S58" s="10" t="n"/>
    </row>
    <row r="59" ht="105" customHeight="1">
      <c r="A59" s="9" t="n">
        <v>54</v>
      </c>
      <c r="B59" s="9" t="inlineStr">
        <is>
          <t>FB-065</t>
        </is>
      </c>
      <c r="C59" s="9" t="inlineStr">
        <is>
          <t>Totals</t>
        </is>
      </c>
      <c r="D59" s="9" t="inlineStr">
        <is>
          <t>Calculate subcategory totals accurately</t>
        </is>
      </c>
      <c r="E59" s="9" t="inlineStr">
        <is>
          <t>Multiply stock by contents, converting g to kg and ml to litres before summing; count eggs as individual items. Example 4x500g+3x1kg+2x5kg=15kg. Keep exact values until display; never replace product counts.</t>
        </is>
      </c>
      <c r="F59" s="9" t="inlineStr">
        <is>
          <t>FB-054</t>
        </is>
      </c>
      <c r="G59" s="9">
        <f>IF(H59="Complete","Complete",IF(I59="Blocked","Blocked",IF(I59="In progress","Ready",IF(F59="","Ready",IF(COUNTIFS($B$4:$B$73,F59,$H$4:$H$73,"Complete")=1,"Ready","Waiting")))))</f>
        <v/>
      </c>
      <c r="H59" s="9">
        <f>IF(I59="Not started","Not started",IF(I59="Blocked","Blocked",IF(I59="In progress","In progress",IF(J59&lt;&gt;"Passed","Awaiting code review",IF(OR(K59="",NOT(ISNUMBER(L59))),"Awaiting review evidence",IF(N59&lt;&gt;"Passed","Awaiting test",IF(OR(M59="",O59="",NOT(ISNUMBER(P59))),"Awaiting test evidence","Complete")))))))</f>
        <v/>
      </c>
      <c r="I59" s="11" t="inlineStr">
        <is>
          <t>Not started</t>
        </is>
      </c>
      <c r="J59" s="11" t="inlineStr">
        <is>
          <t>Not reviewed</t>
        </is>
      </c>
      <c r="K59" s="11" t="n"/>
      <c r="L59" s="31" t="n"/>
      <c r="M59" s="11" t="n"/>
      <c r="N59" s="11" t="inlineStr">
        <is>
          <t>Not tested</t>
        </is>
      </c>
      <c r="O59" s="11" t="n"/>
      <c r="P59" s="31" t="n"/>
      <c r="Q59" s="11" t="n"/>
      <c r="R59" s="11" t="inlineStr">
        <is>
          <t>Before starting this item or feature: reread AGENTS.md from disk; apply its teaching and testing rules.
Next: Use completed Receive balances to introduce one subcategory calculation. Verify the agreed rice example and unit conversion before adding display. Do not build later movement modules early; recheck totals after Adjust in FB-056 and Distribute in FB-063/FB-064.</t>
        </is>
      </c>
      <c r="S59" s="11" t="n"/>
    </row>
    <row r="60" ht="105" customHeight="1">
      <c r="A60" s="4" t="n">
        <v>55</v>
      </c>
      <c r="B60" s="4" t="inlineStr">
        <is>
          <t>FB-066</t>
        </is>
      </c>
      <c r="C60" s="4" t="inlineStr">
        <is>
          <t>Totals</t>
        </is>
      </c>
      <c r="D60" s="4" t="inlineStr">
        <is>
          <t>Display combined totals on subcategory management</t>
        </is>
      </c>
      <c r="E60" s="4" t="inlineStr">
        <is>
          <t>Managers/Super Admin see totals in kg/litres/items with up to 3 decimals, fewer allowed; round display only. Individual product sizes keep saved units. Volunteer cannot access management/history screens.</t>
        </is>
      </c>
      <c r="F60" s="4" t="inlineStr">
        <is>
          <t>FB-065</t>
        </is>
      </c>
      <c r="G60" s="4">
        <f>IF(H60="Complete","Complete",IF(I60="Blocked","Blocked",IF(I60="In progress","Ready",IF(F60="","Ready",IF(COUNTIFS($B$4:$B$73,F60,$H$4:$H$73,"Complete")=1,"Ready","Waiting")))))</f>
        <v/>
      </c>
      <c r="H60" s="4">
        <f>IF(I60="Not started","Not started",IF(I60="Blocked","Blocked",IF(I60="In progress","In progress",IF(J60&lt;&gt;"Passed","Awaiting code review",IF(OR(K60="",NOT(ISNUMBER(L60))),"Awaiting review evidence",IF(N60&lt;&gt;"Passed","Awaiting test",IF(OR(M60="",O60="",NOT(ISNUMBER(P60))),"Awaiting test evidence","Complete")))))))</f>
        <v/>
      </c>
      <c r="I60" s="10" t="inlineStr">
        <is>
          <t>Not started</t>
        </is>
      </c>
      <c r="J60" s="10" t="inlineStr">
        <is>
          <t>Not reviewed</t>
        </is>
      </c>
      <c r="K60" s="10" t="n"/>
      <c r="L60" s="30" t="n"/>
      <c r="M60" s="10" t="n"/>
      <c r="N60" s="10" t="inlineStr">
        <is>
          <t>Not tested</t>
        </is>
      </c>
      <c r="O60" s="10" t="n"/>
      <c r="P60" s="30" t="n"/>
      <c r="Q60" s="10" t="n"/>
      <c r="R60" s="10" t="inlineStr">
        <is>
          <t>Before starting this item or feature: reread AGENTS.md from disk; apply its teaching and testing rules.
Next: Display the calculated total on the existing protected Subcategory screen and teach formatting separately. Verify manager/Super Admin access and volunteer denial using received stock. Later movement lessons must verify their changes update these totals.</t>
        </is>
      </c>
      <c r="S60" s="10" t="n"/>
    </row>
    <row r="61" ht="105" customHeight="1">
      <c r="A61" s="9" t="n">
        <v>56</v>
      </c>
      <c r="B61" s="9" t="inlineStr">
        <is>
          <t>FB-055</t>
        </is>
      </c>
      <c r="C61" s="9" t="inlineStr">
        <is>
          <t>Adjust</t>
        </is>
      </c>
      <c r="D61" s="9" t="inlineStr">
        <is>
          <t>Build and lay out the single-product adjustment form</t>
        </is>
      </c>
      <c r="E61" s="9" t="inlineStr">
        <is>
          <t>All roles choose one active product, Add/Remove, positive whole quantity and mandatory reason. Show saved package size and current balance. Teach state and layout before save.</t>
        </is>
      </c>
      <c r="F61" s="9" t="inlineStr">
        <is>
          <t>FB-066</t>
        </is>
      </c>
      <c r="G61" s="9">
        <f>IF(H61="Complete","Complete",IF(I61="Blocked","Blocked",IF(I61="In progress","Ready",IF(F61="","Ready",IF(COUNTIFS($B$4:$B$73,F61,$H$4:$H$73,"Complete")=1,"Ready","Waiting")))))</f>
        <v/>
      </c>
      <c r="H61" s="9">
        <f>IF(I61="Not started","Not started",IF(I61="Blocked","Blocked",IF(I61="In progress","In progress",IF(J61&lt;&gt;"Passed","Awaiting code review",IF(OR(K61="",NOT(ISNUMBER(L61))),"Awaiting review evidence",IF(N61&lt;&gt;"Passed","Awaiting test",IF(OR(M61="",O61="",NOT(ISNUMBER(P61))),"Awaiting test evidence","Complete")))))))</f>
        <v/>
      </c>
      <c r="I61" s="11" t="inlineStr">
        <is>
          <t>Not started</t>
        </is>
      </c>
      <c r="J61" s="11" t="inlineStr">
        <is>
          <t>Not reviewed</t>
        </is>
      </c>
      <c r="K61" s="11" t="n"/>
      <c r="L61" s="31" t="n"/>
      <c r="M61" s="11" t="n"/>
      <c r="N61" s="11" t="inlineStr">
        <is>
          <t>Not tested</t>
        </is>
      </c>
      <c r="O61" s="11" t="n"/>
      <c r="P61" s="31" t="n"/>
      <c r="Q61" s="11" t="n"/>
      <c r="R61" s="11" t="inlineStr">
        <is>
          <t>Before starting this item or feature: reread AGENTS.md from disk; apply its teaching and testing rules.
Next: After Receive, history and totals are verified, identify Adjust permissions and stock rules. Reuse existing movement storage and introduce the required reason through this concrete action. Teach one product and Add/Remove state, then layout; attach checks before enabling save.</t>
        </is>
      </c>
      <c r="S61" s="11" t="n"/>
    </row>
    <row r="62" ht="105" customHeight="1">
      <c r="A62" s="4" t="n">
        <v>57</v>
      </c>
      <c r="B62" s="4" t="inlineStr">
        <is>
          <t>FB-056</t>
        </is>
      </c>
      <c r="C62" s="4" t="inlineStr">
        <is>
          <t>Adjust</t>
        </is>
      </c>
      <c r="D62" s="4" t="inlineStr">
        <is>
          <t>Save adjustments without negative balances</t>
        </is>
      </c>
      <c r="E62" s="4" t="inlineStr">
        <is>
          <t>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t>
        </is>
      </c>
      <c r="F62" s="4" t="inlineStr">
        <is>
          <t>FB-055</t>
        </is>
      </c>
      <c r="G62" s="4">
        <f>IF(H62="Complete","Complete",IF(I62="Blocked","Blocked",IF(I62="In progress","Ready",IF(F62="","Ready",IF(COUNTIFS($B$4:$B$73,F62,$H$4:$H$73,"Complete")=1,"Ready","Waiting")))))</f>
        <v/>
      </c>
      <c r="H62" s="4">
        <f>IF(I62="Not started","Not started",IF(I62="Blocked","Blocked",IF(I62="In progress","In progress",IF(J62&lt;&gt;"Passed","Awaiting code review",IF(OR(K62="",NOT(ISNUMBER(L62))),"Awaiting review evidence",IF(N62&lt;&gt;"Passed","Awaiting test",IF(OR(M62="",O62="",NOT(ISNUMBER(P62))),"Awaiting test evidence","Complete")))))))</f>
        <v/>
      </c>
      <c r="I62" s="10" t="inlineStr">
        <is>
          <t>Not started</t>
        </is>
      </c>
      <c r="J62" s="10" t="inlineStr">
        <is>
          <t>Not reviewed</t>
        </is>
      </c>
      <c r="K62" s="10" t="n"/>
      <c r="L62" s="30" t="n"/>
      <c r="M62" s="10" t="n"/>
      <c r="N62" s="10" t="inlineStr">
        <is>
          <t>Not tested</t>
        </is>
      </c>
      <c r="O62" s="10" t="n"/>
      <c r="P62" s="30" t="n"/>
      <c r="Q62" s="10" t="n"/>
      <c r="R62" s="10" t="inlineStr">
        <is>
          <t>Before starting this item or feature: reread AGENTS.md from disk; apply its teaching and testing rules.
Next: Start this item after the previous item is complete.</t>
        </is>
      </c>
      <c r="S62" s="10" t="n"/>
    </row>
    <row r="63" ht="105" customHeight="1">
      <c r="A63" s="9" t="n">
        <v>58</v>
      </c>
      <c r="B63" s="9" t="inlineStr">
        <is>
          <t>FB-057</t>
        </is>
      </c>
      <c r="C63" s="9" t="inlineStr">
        <is>
          <t>Household samples</t>
        </is>
      </c>
      <c r="D63" s="9" t="inlineStr">
        <is>
          <t>Prepare and verify 20 fictional households</t>
        </is>
      </c>
      <c r="E63" s="9" t="inlineStr">
        <is>
          <t>Unique reference, contact first/last name, address, positive household size, required unique Canadian phone, optional unique supplied email; multiple blanks allowed. No household management screens or automatic allowances. Developer runs explained data-changing commands.</t>
        </is>
      </c>
      <c r="F63" s="9" t="inlineStr">
        <is>
          <t>FB-056</t>
        </is>
      </c>
      <c r="G63" s="9">
        <f>IF(H63="Complete","Complete",IF(I63="Blocked","Blocked",IF(I63="In progress","Ready",IF(F63="","Ready",IF(COUNTIFS($B$4:$B$73,F63,$H$4:$H$73,"Complete")=1,"Ready","Waiting")))))</f>
        <v/>
      </c>
      <c r="H63" s="9">
        <f>IF(I63="Not started","Not started",IF(I63="Blocked","Blocked",IF(I63="In progress","In progress",IF(J63&lt;&gt;"Passed","Awaiting code review",IF(OR(K63="",NOT(ISNUMBER(L63))),"Awaiting review evidence",IF(N63&lt;&gt;"Passed","Awaiting test",IF(OR(M63="",O63="",NOT(ISNUMBER(P63))),"Awaiting test evidence","Complete")))))))</f>
        <v/>
      </c>
      <c r="I63" s="11" t="inlineStr">
        <is>
          <t>Not started</t>
        </is>
      </c>
      <c r="J63" s="11" t="inlineStr">
        <is>
          <t>Not reviewed</t>
        </is>
      </c>
      <c r="K63" s="11" t="n"/>
      <c r="L63" s="31" t="n"/>
      <c r="M63" s="11" t="n"/>
      <c r="N63" s="11" t="inlineStr">
        <is>
          <t>Not tested</t>
        </is>
      </c>
      <c r="O63" s="11" t="n"/>
      <c r="P63" s="31" t="n"/>
      <c r="Q63" s="11" t="n"/>
      <c r="R63" s="11" t="inlineStr">
        <is>
          <t>Before starting this item or feature: reread AGENTS.md from disk; apply its teaching and testing rules.
Next: Start this item after the previous item is complete.</t>
        </is>
      </c>
      <c r="S63" s="11" t="n"/>
    </row>
    <row r="64" ht="105" customHeight="1">
      <c r="A64" s="4" t="n">
        <v>59</v>
      </c>
      <c r="B64" s="4" t="inlineStr">
        <is>
          <t>FB-058</t>
        </is>
      </c>
      <c r="C64" s="4" t="inlineStr">
        <is>
          <t>Distribute</t>
        </is>
      </c>
      <c r="D64" s="4" t="inlineStr">
        <is>
          <t>Search and select one household</t>
        </is>
      </c>
      <c r="E64" s="4" t="inlineStr">
        <is>
          <t>All roles performing distribution can search by reference/contact name/phone. Show enough details to distinguish households. Appointments checked outside app; no scheduling/appointment records or account-management access.</t>
        </is>
      </c>
      <c r="F64" s="4" t="inlineStr">
        <is>
          <t>FB-057</t>
        </is>
      </c>
      <c r="G64" s="4">
        <f>IF(H64="Complete","Complete",IF(I64="Blocked","Blocked",IF(I64="In progress","Ready",IF(F64="","Ready",IF(COUNTIFS($B$4:$B$73,F64,$H$4:$H$73,"Complete")=1,"Ready","Waiting")))))</f>
        <v/>
      </c>
      <c r="H64" s="4">
        <f>IF(I64="Not started","Not started",IF(I64="Blocked","Blocked",IF(I64="In progress","In progress",IF(J64&lt;&gt;"Passed","Awaiting code review",IF(OR(K64="",NOT(ISNUMBER(L64))),"Awaiting review evidence",IF(N64&lt;&gt;"Passed","Awaiting test",IF(OR(M64="",O64="",NOT(ISNUMBER(P64))),"Awaiting test evidence","Complete")))))))</f>
        <v/>
      </c>
      <c r="I64" s="10" t="inlineStr">
        <is>
          <t>Not started</t>
        </is>
      </c>
      <c r="J64" s="10" t="inlineStr">
        <is>
          <t>Not reviewed</t>
        </is>
      </c>
      <c r="K64" s="10" t="n"/>
      <c r="L64" s="30" t="n"/>
      <c r="M64" s="10" t="n"/>
      <c r="N64" s="10" t="inlineStr">
        <is>
          <t>Not tested</t>
        </is>
      </c>
      <c r="O64" s="10" t="n"/>
      <c r="P64" s="30" t="n"/>
      <c r="Q64" s="10" t="n"/>
      <c r="R64" s="10" t="inlineStr">
        <is>
          <t>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t>
        </is>
      </c>
      <c r="S64" s="10" t="n"/>
    </row>
    <row r="65" ht="105" customHeight="1">
      <c r="A65" s="9" t="n">
        <v>60</v>
      </c>
      <c r="B65" s="9" t="inlineStr">
        <is>
          <t>FB-059</t>
        </is>
      </c>
      <c r="C65" s="9" t="inlineStr">
        <is>
          <t>Distribute</t>
        </is>
      </c>
      <c r="D65" s="9" t="inlineStr">
        <is>
          <t>Choose a subcategory and available package sizes</t>
        </is>
      </c>
      <c r="E65" s="9" t="inlineStr">
        <is>
          <t>Selecting Rice shows active products with positive stock: name, brand, code, saved size and available package count. Exclude inactive/zero-stock entries; distinguish equal sizes from different brands.</t>
        </is>
      </c>
      <c r="F65" s="9" t="inlineStr">
        <is>
          <t>FB-058</t>
        </is>
      </c>
      <c r="G65" s="9">
        <f>IF(H65="Complete","Complete",IF(I65="Blocked","Blocked",IF(I65="In progress","Ready",IF(F65="","Ready",IF(COUNTIFS($B$4:$B$73,F65,$H$4:$H$73,"Complete")=1,"Ready","Waiting")))))</f>
        <v/>
      </c>
      <c r="H65" s="9">
        <f>IF(I65="Not started","Not started",IF(I65="Blocked","Blocked",IF(I65="In progress","In progress",IF(J65&lt;&gt;"Passed","Awaiting code review",IF(OR(K65="",NOT(ISNUMBER(L65))),"Awaiting review evidence",IF(N65&lt;&gt;"Passed","Awaiting test",IF(OR(M65="",O65="",NOT(ISNUMBER(P65))),"Awaiting test evidence","Complete")))))))</f>
        <v/>
      </c>
      <c r="I65" s="11" t="inlineStr">
        <is>
          <t>Not started</t>
        </is>
      </c>
      <c r="J65" s="11" t="inlineStr">
        <is>
          <t>Not reviewed</t>
        </is>
      </c>
      <c r="K65" s="11" t="n"/>
      <c r="L65" s="31" t="n"/>
      <c r="M65" s="11" t="n"/>
      <c r="N65" s="11" t="inlineStr">
        <is>
          <t>Not tested</t>
        </is>
      </c>
      <c r="O65" s="11" t="n"/>
      <c r="P65" s="31" t="n"/>
      <c r="Q65" s="11" t="n"/>
      <c r="R65" s="11" t="inlineStr">
        <is>
          <t>Before starting this item or feature: reread AGENTS.md from disk; apply its teaching and testing rules.
Next: Start this item after the previous item is complete.</t>
        </is>
      </c>
      <c r="S65" s="11" t="n"/>
    </row>
    <row r="66" ht="105" customHeight="1">
      <c r="A66" s="4" t="n">
        <v>61</v>
      </c>
      <c r="B66" s="4" t="inlineStr">
        <is>
          <t>FB-060</t>
        </is>
      </c>
      <c r="C66" s="4" t="inlineStr">
        <is>
          <t>Distribute</t>
        </is>
      </c>
      <c r="D66" s="4" t="inlineStr">
        <is>
          <t>Add product search within selection</t>
        </is>
      </c>
      <c r="E66" s="4" t="inlineStr">
        <is>
          <t>Search selectable products by code or name, preserving subcategory/availability restrictions. Verify clear/no-result cases.</t>
        </is>
      </c>
      <c r="F66" s="4" t="inlineStr">
        <is>
          <t>FB-059</t>
        </is>
      </c>
      <c r="G66" s="4">
        <f>IF(H66="Complete","Complete",IF(I66="Blocked","Blocked",IF(I66="In progress","Ready",IF(F66="","Ready",IF(COUNTIFS($B$4:$B$73,F66,$H$4:$H$73,"Complete")=1,"Ready","Waiting")))))</f>
        <v/>
      </c>
      <c r="H66" s="4">
        <f>IF(I66="Not started","Not started",IF(I66="Blocked","Blocked",IF(I66="In progress","In progress",IF(J66&lt;&gt;"Passed","Awaiting code review",IF(OR(K66="",NOT(ISNUMBER(L66))),"Awaiting review evidence",IF(N66&lt;&gt;"Passed","Awaiting test",IF(OR(M66="",O66="",NOT(ISNUMBER(P66))),"Awaiting test evidence","Complete")))))))</f>
        <v/>
      </c>
      <c r="I66" s="10" t="inlineStr">
        <is>
          <t>Not started</t>
        </is>
      </c>
      <c r="J66" s="10" t="inlineStr">
        <is>
          <t>Not reviewed</t>
        </is>
      </c>
      <c r="K66" s="10" t="n"/>
      <c r="L66" s="30" t="n"/>
      <c r="M66" s="10" t="n"/>
      <c r="N66" s="10" t="inlineStr">
        <is>
          <t>Not tested</t>
        </is>
      </c>
      <c r="O66" s="10" t="n"/>
      <c r="P66" s="30" t="n"/>
      <c r="Q66" s="10" t="n"/>
      <c r="R66" s="10" t="inlineStr">
        <is>
          <t>Before starting this item or feature: reread AGENTS.md from disk; apply its teaching and testing rules.
Next: Start this item after the previous item is complete.</t>
        </is>
      </c>
      <c r="S66" s="10" t="n"/>
    </row>
    <row r="67" ht="105" customHeight="1">
      <c r="A67" s="9" t="n">
        <v>62</v>
      </c>
      <c r="B67" s="9" t="inlineStr">
        <is>
          <t>FB-061</t>
        </is>
      </c>
      <c r="C67" s="9" t="inlineStr">
        <is>
          <t>Distribute</t>
        </is>
      </c>
      <c r="D67" s="9" t="inlineStr">
        <is>
          <t>Build a multi-product distribution selection</t>
        </is>
      </c>
      <c r="E67" s="9" t="inlineStr">
        <is>
          <t>Choose whole package quantities across products/sizes; each product appears once. Cannot split a 1kg bag to distribute 500g. Teach each row/quantity interaction separately and responsive layout.</t>
        </is>
      </c>
      <c r="F67" s="9" t="inlineStr">
        <is>
          <t>FB-060</t>
        </is>
      </c>
      <c r="G67" s="9">
        <f>IF(H67="Complete","Complete",IF(I67="Blocked","Blocked",IF(I67="In progress","Ready",IF(F67="","Ready",IF(COUNTIFS($B$4:$B$73,F67,$H$4:$H$73,"Complete")=1,"Ready","Waiting")))))</f>
        <v/>
      </c>
      <c r="H67" s="9">
        <f>IF(I67="Not started","Not started",IF(I67="Blocked","Blocked",IF(I67="In progress","In progress",IF(J67&lt;&gt;"Passed","Awaiting code review",IF(OR(K67="",NOT(ISNUMBER(L67))),"Awaiting review evidence",IF(N67&lt;&gt;"Passed","Awaiting test",IF(OR(M67="",O67="",NOT(ISNUMBER(P67))),"Awaiting test evidence","Complete")))))))</f>
        <v/>
      </c>
      <c r="I67" s="11" t="inlineStr">
        <is>
          <t>Not started</t>
        </is>
      </c>
      <c r="J67" s="11" t="inlineStr">
        <is>
          <t>Not reviewed</t>
        </is>
      </c>
      <c r="K67" s="11" t="n"/>
      <c r="L67" s="31" t="n"/>
      <c r="M67" s="11" t="n"/>
      <c r="N67" s="11" t="inlineStr">
        <is>
          <t>Not tested</t>
        </is>
      </c>
      <c r="O67" s="11" t="n"/>
      <c r="P67" s="31" t="n"/>
      <c r="Q67" s="11" t="n"/>
      <c r="R67" s="11" t="inlineStr">
        <is>
          <t>Before starting this item or feature: reread AGENTS.md from disk; apply its teaching and testing rules.
Next: Start this item after the previous item is complete.</t>
        </is>
      </c>
      <c r="S67" s="11" t="n"/>
    </row>
    <row r="68" ht="105" customHeight="1">
      <c r="A68" s="4" t="n">
        <v>63</v>
      </c>
      <c r="B68" s="4" t="inlineStr">
        <is>
          <t>FB-062</t>
        </is>
      </c>
      <c r="C68" s="4" t="inlineStr">
        <is>
          <t>Distribute</t>
        </is>
      </c>
      <c r="D68" s="4" t="inlineStr">
        <is>
          <t>Review and confirm the distribution</t>
        </is>
      </c>
      <c r="E68" s="4" t="inlineStr">
        <is>
          <t>Review one household plus all products/sizes/quantities before saving. Staff can correct the selection. Explain temporary selection state versus saved stock.</t>
        </is>
      </c>
      <c r="F68" s="4" t="inlineStr">
        <is>
          <t>FB-061</t>
        </is>
      </c>
      <c r="G68" s="4">
        <f>IF(H68="Complete","Complete",IF(I68="Blocked","Blocked",IF(I68="In progress","Ready",IF(F68="","Ready",IF(COUNTIFS($B$4:$B$73,F68,$H$4:$H$73,"Complete")=1,"Ready","Waiting")))))</f>
        <v/>
      </c>
      <c r="H68" s="4">
        <f>IF(I68="Not started","Not started",IF(I68="Blocked","Blocked",IF(I68="In progress","In progress",IF(J68&lt;&gt;"Passed","Awaiting code review",IF(OR(K68="",NOT(ISNUMBER(L68))),"Awaiting review evidence",IF(N68&lt;&gt;"Passed","Awaiting test",IF(OR(M68="",O68="",NOT(ISNUMBER(P68))),"Awaiting test evidence","Complete")))))))</f>
        <v/>
      </c>
      <c r="I68" s="10" t="inlineStr">
        <is>
          <t>Not started</t>
        </is>
      </c>
      <c r="J68" s="10" t="inlineStr">
        <is>
          <t>Not reviewed</t>
        </is>
      </c>
      <c r="K68" s="10" t="n"/>
      <c r="L68" s="30" t="n"/>
      <c r="M68" s="10" t="n"/>
      <c r="N68" s="10" t="inlineStr">
        <is>
          <t>Not tested</t>
        </is>
      </c>
      <c r="O68" s="10" t="n"/>
      <c r="P68" s="30" t="n"/>
      <c r="Q68" s="10" t="n"/>
      <c r="R68" s="10" t="inlineStr">
        <is>
          <t>Before starting this item or feature: reread AGENTS.md from disk; apply its teaching and testing rules.
Next: Start this item after the previous item is complete.</t>
        </is>
      </c>
      <c r="S68" s="10" t="n"/>
    </row>
    <row r="69" ht="105" customHeight="1">
      <c r="A69" s="9" t="n">
        <v>64</v>
      </c>
      <c r="B69" s="9" t="inlineStr">
        <is>
          <t>FB-063</t>
        </is>
      </c>
      <c r="C69" s="9" t="inlineStr">
        <is>
          <t>Distribute</t>
        </is>
      </c>
      <c r="D69" s="9" t="inlineStr">
        <is>
          <t>Save distribution with a final stock recheck</t>
        </is>
      </c>
      <c r="E69" s="9" t="inlineStr">
        <is>
          <t>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t>
        </is>
      </c>
      <c r="F69" s="9" t="inlineStr">
        <is>
          <t>FB-062</t>
        </is>
      </c>
      <c r="G69" s="9">
        <f>IF(H69="Complete","Complete",IF(I69="Blocked","Blocked",IF(I69="In progress","Ready",IF(F69="","Ready",IF(COUNTIFS($B$4:$B$73,F69,$H$4:$H$73,"Complete")=1,"Ready","Waiting")))))</f>
        <v/>
      </c>
      <c r="H69" s="9">
        <f>IF(I69="Not started","Not started",IF(I69="Blocked","Blocked",IF(I69="In progress","In progress",IF(J69&lt;&gt;"Passed","Awaiting code review",IF(OR(K69="",NOT(ISNUMBER(L69))),"Awaiting review evidence",IF(N69&lt;&gt;"Passed","Awaiting test",IF(OR(M69="",O69="",NOT(ISNUMBER(P69))),"Awaiting test evidence","Complete")))))))</f>
        <v/>
      </c>
      <c r="I69" s="11" t="inlineStr">
        <is>
          <t>Not started</t>
        </is>
      </c>
      <c r="J69" s="11" t="inlineStr">
        <is>
          <t>Not reviewed</t>
        </is>
      </c>
      <c r="K69" s="11" t="n"/>
      <c r="L69" s="31" t="n"/>
      <c r="M69" s="11" t="n"/>
      <c r="N69" s="11" t="inlineStr">
        <is>
          <t>Not tested</t>
        </is>
      </c>
      <c r="O69" s="11" t="n"/>
      <c r="P69" s="31" t="n"/>
      <c r="Q69" s="11" t="n"/>
      <c r="R69" s="11" t="inlineStr">
        <is>
          <t>Before starting this item or feature: reread AGENTS.md from disk; apply its teaching and testing rules.
Next: Start this item after the previous item is complete.</t>
        </is>
      </c>
      <c r="S69" s="11" t="n"/>
    </row>
    <row r="70" ht="105" customHeight="1">
      <c r="A70" s="4" t="n">
        <v>65</v>
      </c>
      <c r="B70" s="4" t="inlineStr">
        <is>
          <t>FB-064</t>
        </is>
      </c>
      <c r="C70" s="4" t="inlineStr">
        <is>
          <t>Distribute</t>
        </is>
      </c>
      <c r="D70" s="4" t="inlineStr">
        <is>
          <t>Show result, preserve errors and verify access</t>
        </is>
      </c>
      <c r="E70" s="4" t="inlineStr">
        <is>
          <t>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t>
        </is>
      </c>
      <c r="F70" s="4" t="inlineStr">
        <is>
          <t>FB-063</t>
        </is>
      </c>
      <c r="G70" s="4">
        <f>IF(H70="Complete","Complete",IF(I70="Blocked","Blocked",IF(I70="In progress","Ready",IF(F70="","Ready",IF(COUNTIFS($B$4:$B$73,F70,$H$4:$H$73,"Complete")=1,"Ready","Waiting")))))</f>
        <v/>
      </c>
      <c r="H70" s="4">
        <f>IF(I70="Not started","Not started",IF(I70="Blocked","Blocked",IF(I70="In progress","In progress",IF(J70&lt;&gt;"Passed","Awaiting code review",IF(OR(K70="",NOT(ISNUMBER(L70))),"Awaiting review evidence",IF(N70&lt;&gt;"Passed","Awaiting test",IF(OR(M70="",O70="",NOT(ISNUMBER(P70))),"Awaiting test evidence","Complete")))))))</f>
        <v/>
      </c>
      <c r="I70" s="10" t="inlineStr">
        <is>
          <t>Not started</t>
        </is>
      </c>
      <c r="J70" s="10" t="inlineStr">
        <is>
          <t>Not reviewed</t>
        </is>
      </c>
      <c r="K70" s="10" t="n"/>
      <c r="L70" s="30" t="n"/>
      <c r="M70" s="10" t="n"/>
      <c r="N70" s="10" t="inlineStr">
        <is>
          <t>Not tested</t>
        </is>
      </c>
      <c r="O70" s="10" t="n"/>
      <c r="P70" s="30" t="n"/>
      <c r="Q70" s="10" t="n"/>
      <c r="R70" s="10" t="inlineStr">
        <is>
          <t>Before starting this item or feature: reread AGENTS.md from disk; apply its teaching and testing rules.
Next: Start this item after the previous item is complete.</t>
        </is>
      </c>
      <c r="S70" s="10" t="n"/>
    </row>
    <row r="71" ht="105" customHeight="1">
      <c r="A71" s="9" t="n">
        <v>66</v>
      </c>
      <c r="B71" s="9" t="inlineStr">
        <is>
          <t>FB-068</t>
        </is>
      </c>
      <c r="C71" s="9" t="inlineStr">
        <is>
          <t>Verification</t>
        </is>
      </c>
      <c r="D71" s="9" t="inlineStr">
        <is>
          <t>Verify movement integrity and complete journeys</t>
        </is>
      </c>
      <c r="E71" s="9" t="inlineStr">
        <is>
          <t>Review and test Receive/Adjust/Distribute totals/history, atomic rollback, concurrency/no negative stock, inactive/lock rules, one row/product, household selection, timestamps, immutable history and all-role permissions. Developer tests first; record automated evidence when delegated.</t>
        </is>
      </c>
      <c r="F71" s="9" t="inlineStr">
        <is>
          <t>FB-064</t>
        </is>
      </c>
      <c r="G71" s="9">
        <f>IF(H71="Complete","Complete",IF(I71="Blocked","Blocked",IF(I71="In progress","Ready",IF(F71="","Ready",IF(COUNTIFS($B$4:$B$73,F71,$H$4:$H$73,"Complete")=1,"Ready","Waiting")))))</f>
        <v/>
      </c>
      <c r="H71" s="9">
        <f>IF(I71="Not started","Not started",IF(I71="Blocked","Blocked",IF(I71="In progress","In progress",IF(J71&lt;&gt;"Passed","Awaiting code review",IF(OR(K71="",NOT(ISNUMBER(L71))),"Awaiting review evidence",IF(N71&lt;&gt;"Passed","Awaiting test",IF(OR(M71="",O71="",NOT(ISNUMBER(P71))),"Awaiting test evidence","Complete")))))))</f>
        <v/>
      </c>
      <c r="I71" s="11" t="inlineStr">
        <is>
          <t>Not started</t>
        </is>
      </c>
      <c r="J71" s="11" t="inlineStr">
        <is>
          <t>Not reviewed</t>
        </is>
      </c>
      <c r="K71" s="11" t="n"/>
      <c r="L71" s="31" t="n"/>
      <c r="M71" s="11" t="n"/>
      <c r="N71" s="11" t="inlineStr">
        <is>
          <t>Not tested</t>
        </is>
      </c>
      <c r="O71" s="11" t="n"/>
      <c r="P71" s="31" t="n"/>
      <c r="Q71" s="11" t="n"/>
      <c r="R71" s="11" t="inlineStr">
        <is>
          <t>Before starting this item or feature: reread AGENTS.md from disk; apply its teaching and testing rules.
Next: Review and test completed Receive, Adjust and Distribute journeys together, including history and totals. Repeat affected catalogue-lock and permission checks after movement integration. This complements earlier module checks; it is not the first testing of those features.</t>
        </is>
      </c>
      <c r="S71" s="11" t="n"/>
    </row>
    <row r="72" ht="105" customHeight="1">
      <c r="A72" s="4" t="n">
        <v>69</v>
      </c>
      <c r="B72" s="4" t="inlineStr">
        <is>
          <t>FB-069</t>
        </is>
      </c>
      <c r="C72" s="4" t="inlineStr">
        <is>
          <t>Verification</t>
        </is>
      </c>
      <c r="D72" s="4" t="inlineStr">
        <is>
          <t>Verify the combined first-version experience</t>
        </is>
      </c>
      <c r="E72" s="4" t="inlineStr">
        <is>
          <t>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t>
        </is>
      </c>
      <c r="F72" s="4" t="inlineStr">
        <is>
          <t>FB-023</t>
        </is>
      </c>
      <c r="G72" s="4">
        <f>IF(H72="Complete","Complete",IF(I72="Blocked","Blocked",IF(I72="In progress","Ready",IF(F72="","Ready",IF(COUNTIFS($B$4:$B$73,F72,$H$4:$H$73,"Complete")=1,"Ready","Waiting")))))</f>
        <v/>
      </c>
      <c r="H72" s="4">
        <f>IF(I72="Not started","Not started",IF(I72="Blocked","Blocked",IF(I72="In progress","In progress",IF(J72&lt;&gt;"Passed","Awaiting code review",IF(OR(K72="",NOT(ISNUMBER(L72))),"Awaiting review evidence",IF(N72&lt;&gt;"Passed","Awaiting test",IF(OR(M72="",O72="",NOT(ISNUMBER(P72))),"Awaiting test evidence","Complete")))))))</f>
        <v/>
      </c>
      <c r="I72" s="10" t="inlineStr">
        <is>
          <t>Not started</t>
        </is>
      </c>
      <c r="J72" s="10" t="inlineStr">
        <is>
          <t>Not reviewed</t>
        </is>
      </c>
      <c r="K72" s="10" t="n"/>
      <c r="L72" s="30" t="n"/>
      <c r="M72" s="10" t="n"/>
      <c r="N72" s="10" t="inlineStr">
        <is>
          <t>Not tested</t>
        </is>
      </c>
      <c r="O72" s="10" t="n"/>
      <c r="P72" s="30" t="n"/>
      <c r="Q72" s="10" t="inlineStr">
        <is>
          <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t>
        </is>
      </c>
      <c r="R72" s="10" t="inlineStr">
        <is>
          <t>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72" s="10" t="n"/>
    </row>
    <row r="73" ht="105" customHeight="1">
      <c r="A73" s="9" t="n">
        <v>70</v>
      </c>
      <c r="B73" s="9" t="inlineStr">
        <is>
          <t>FB-070</t>
        </is>
      </c>
      <c r="C73" s="9" t="inlineStr">
        <is>
          <t>Super Admin recovery — LAST</t>
        </is>
      </c>
      <c r="D73" s="9" t="inlineStr">
        <is>
          <t>Implement server-only recovery after all other work</t>
        </is>
      </c>
      <c r="E73" s="9" t="inlineStr">
        <is>
          <t>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t>
        </is>
      </c>
      <c r="F73" s="9" t="inlineStr">
        <is>
          <t>FB-069</t>
        </is>
      </c>
      <c r="G73" s="9">
        <f>IF(H73="Complete","Complete",IF(I73="Blocked","Blocked",IF(I73="In progress","Ready",IF(F73="","Ready",IF(COUNTIFS($B$4:$B$73,F73,$H$4:$H$73,"Complete")=1,"Ready","Waiting")))))</f>
        <v/>
      </c>
      <c r="H73" s="9">
        <f>IF(I73="Not started","Not started",IF(I73="Blocked","Blocked",IF(I73="In progress","In progress",IF(J73&lt;&gt;"Passed","Awaiting code review",IF(OR(K73="",NOT(ISNUMBER(L73))),"Awaiting review evidence",IF(N73&lt;&gt;"Passed","Awaiting test",IF(OR(M73="",O73="",NOT(ISNUMBER(P73))),"Awaiting test evidence","Complete")))))))</f>
        <v/>
      </c>
      <c r="I73" s="11" t="inlineStr">
        <is>
          <t>Not started</t>
        </is>
      </c>
      <c r="J73" s="11" t="inlineStr">
        <is>
          <t>Not reviewed</t>
        </is>
      </c>
      <c r="K73" s="11" t="n"/>
      <c r="L73" s="31" t="n"/>
      <c r="M73" s="11" t="n"/>
      <c r="N73" s="11" t="inlineStr">
        <is>
          <t>Not tested</t>
        </is>
      </c>
      <c r="O73" s="11" t="n"/>
      <c r="P73" s="31" t="n"/>
      <c r="Q73" s="11" t="n"/>
      <c r="R73" s="11" t="inlineStr">
        <is>
          <t>Before starting this item or feature: reread AGENTS.md from disk; apply its teaching and testing rules.
Next: Start this item after the previous item is complete.</t>
        </is>
      </c>
      <c r="S73" s="11" t="n"/>
    </row>
  </sheetData>
  <mergeCells count="1">
    <mergeCell ref="A1:H1"/>
  </mergeCells>
  <conditionalFormatting sqref="H4:H73">
    <cfRule type="containsText" priority="1" operator="containsText" dxfId="0" text="Complete"/>
    <cfRule type="containsText" priority="3" operator="containsText" dxfId="2" text="Blocked"/>
  </conditionalFormatting>
  <conditionalFormatting sqref="G4:G73">
    <cfRule type="containsText" priority="2" operator="containsText" dxfId="1" text="Ready"/>
  </conditionalFormatting>
  <dataValidations count="4">
    <dataValidation sqref="I4:I73" showDropDown="0" showInputMessage="0" showErrorMessage="0" allowBlank="0" type="list">
      <formula1>"Not started,In progress,Ready for review,Blocked"</formula1>
    </dataValidation>
    <dataValidation sqref="J4:J73" showDropDown="0" showInputMessage="0" showErrorMessage="0" allowBlank="0" type="list">
      <formula1>"Not reviewed,Changes needed,Passed"</formula1>
    </dataValidation>
    <dataValidation sqref="M4:M73" showDropDown="0" showInputMessage="0" showErrorMessage="0" allowBlank="0" type="list">
      <formula1>"Developer,Assistant (delegated)"</formula1>
    </dataValidation>
    <dataValidation sqref="N4:N73" showDropDown="0" showInputMessage="0" showErrorMessage="0" allowBlank="0" type="list">
      <formula1>"Not tested,Failed,Passed"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187E80"/>
    <outlinePr summaryBelow="1" summaryRight="1"/>
    <pageSetUpPr/>
  </sheetPr>
  <dimension ref="A1:F183"/>
  <sheetViews>
    <sheetView showGridLines="0" workbookViewId="0">
      <pane xSplit="1" ySplit="3" topLeftCell="B4" activePane="bottomRight" state="frozen"/>
      <selection activeCell="A1" sqref="A1"/>
    </sheetView>
  </sheetViews>
  <sheetFormatPr baseColWidth="8" defaultRowHeight="15"/>
  <cols>
    <col width="13" customWidth="1" min="1" max="1"/>
    <col width="29" customWidth="1" min="2" max="2"/>
    <col width="20" customWidth="1" min="3" max="3"/>
    <col width="110" customWidth="1" min="4" max="4"/>
    <col width="28" customWidth="1" min="5" max="5"/>
    <col width="17" customWidth="1" min="6" max="6"/>
  </cols>
  <sheetData>
    <row r="1" ht="28" customHeight="1">
      <c r="A1" s="2" t="inlineStr">
        <is>
          <t>FoodBank requirements and scope</t>
        </is>
      </c>
    </row>
    <row r="2" ht="28" customHeight="1">
      <c r="A2" s="23" t="inlineStr">
        <is>
          <t>Full agreed rules. Filter by area or scope; related FB IDs refer to Stories. ##FUTURE is deferred, not approved implementation.</t>
        </is>
      </c>
    </row>
    <row r="3" ht="28" customHeight="1">
      <c r="A3" s="27" t="inlineStr">
        <is>
          <t>Rule ID</t>
        </is>
      </c>
      <c r="B3" s="27" t="inlineStr">
        <is>
          <t>Area</t>
        </is>
      </c>
      <c r="C3" s="27" t="inlineStr">
        <is>
          <t>Scope</t>
        </is>
      </c>
      <c r="D3" s="27" t="inlineStr">
        <is>
          <t>Detailed rule</t>
        </is>
      </c>
      <c r="E3" s="27" t="inlineStr">
        <is>
          <t>Related learning items</t>
        </is>
      </c>
      <c r="F3" s="27" t="inlineStr">
        <is>
          <t>First item location</t>
        </is>
      </c>
    </row>
    <row r="4" ht="52" customHeight="1">
      <c r="A4" s="4" t="inlineStr">
        <is>
          <t>REQ-001</t>
        </is>
      </c>
      <c r="B4" s="4" t="inlineStr">
        <is>
          <t>Planning status</t>
        </is>
      </c>
      <c r="C4" s="4" t="inlineStr">
        <is>
          <t>Project context</t>
        </is>
      </c>
      <c r="D4" s="4" t="inlineStr">
        <is>
          <t>Inventory planning is complete, including its verification checklist.</t>
        </is>
      </c>
      <c r="E4" s="4" t="inlineStr">
        <is>
          <t>All current items</t>
        </is>
      </c>
      <c r="F4" s="4" t="inlineStr">
        <is>
          <t>Stories!B4</t>
        </is>
      </c>
    </row>
    <row r="5" ht="52" customHeight="1">
      <c r="A5" s="28" t="inlineStr">
        <is>
          <t>REQ-002</t>
        </is>
      </c>
      <c r="B5" s="28" t="inlineStr">
        <is>
          <t>Planning status</t>
        </is>
      </c>
      <c r="C5" s="28" t="inlineStr">
        <is>
          <t>Project context</t>
        </is>
      </c>
      <c r="D5" s="28" t="inlineStr">
        <is>
          <t>Account-management planning questions are complete. Implementation is underway; the connected account-creation feature is not yet fully reviewed or verified.</t>
        </is>
      </c>
      <c r="E5" s="28" t="inlineStr">
        <is>
          <t>All current items</t>
        </is>
      </c>
      <c r="F5" s="28" t="inlineStr">
        <is>
          <t>Stories!B4</t>
        </is>
      </c>
    </row>
    <row r="6" ht="52" customHeight="1">
      <c r="A6" s="4" t="inlineStr">
        <is>
          <t>REQ-003</t>
        </is>
      </c>
      <c r="B6" s="4" t="inlineStr">
        <is>
          <t>Planning status</t>
        </is>
      </c>
      <c r="C6" s="4" t="inlineStr">
        <is>
          <t>Project context</t>
        </is>
      </c>
      <c r="D6" s="4" t="inlineStr">
        <is>
          <t>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t>
        </is>
      </c>
      <c r="E6" s="4" t="inlineStr">
        <is>
          <t>All current items</t>
        </is>
      </c>
      <c r="F6" s="4" t="inlineStr">
        <is>
          <t>Stories!B4</t>
        </is>
      </c>
    </row>
    <row r="7" ht="52" customHeight="1">
      <c r="A7" s="28" t="inlineStr">
        <is>
          <t>REQ-004</t>
        </is>
      </c>
      <c r="B7" s="28" t="inlineStr">
        <is>
          <t>Planning status</t>
        </is>
      </c>
      <c r="C7" s="28" t="inlineStr">
        <is>
          <t>Project context</t>
        </is>
      </c>
      <c r="D7" s="28" t="inlineStr">
        <is>
          <t>Learning is the immediate priority, especially Vue, Inertia, and Tailwind.</t>
        </is>
      </c>
      <c r="E7" s="28" t="inlineStr">
        <is>
          <t>All current items</t>
        </is>
      </c>
      <c r="F7" s="28" t="inlineStr">
        <is>
          <t>Stories!B4</t>
        </is>
      </c>
    </row>
    <row r="8" ht="52" customHeight="1">
      <c r="A8" s="4" t="inlineStr">
        <is>
          <t>REQ-005</t>
        </is>
      </c>
      <c r="B8" s="4" t="inlineStr">
        <is>
          <t>Planning status</t>
        </is>
      </c>
      <c r="C8" s="4" t="inlineStr">
        <is>
          <t>Project context</t>
        </is>
      </c>
      <c r="D8" s="4" t="inlineStr">
        <is>
          <t>The long-term goal is a fully functional foodbank management system.</t>
        </is>
      </c>
      <c r="E8" s="4" t="inlineStr">
        <is>
          <t>All current items</t>
        </is>
      </c>
      <c r="F8" s="4" t="inlineStr">
        <is>
          <t>Stories!B4</t>
        </is>
      </c>
    </row>
    <row r="9" ht="52" customHeight="1">
      <c r="A9" s="28" t="inlineStr">
        <is>
          <t>REQ-006</t>
        </is>
      </c>
      <c r="B9" s="28" t="inlineStr">
        <is>
          <t>Planning status</t>
        </is>
      </c>
      <c r="C9" s="28" t="inlineStr">
        <is>
          <t>Project context</t>
        </is>
      </c>
      <c r="D9" s="28" t="inlineStr">
        <is>
          <t>Record further features as agreed; suggestions are not approved scope.</t>
        </is>
      </c>
      <c r="E9" s="28" t="inlineStr">
        <is>
          <t>All current items</t>
        </is>
      </c>
      <c r="F9" s="28" t="inlineStr">
        <is>
          <t>Stories!B4</t>
        </is>
      </c>
    </row>
    <row r="10" ht="61" customHeight="1">
      <c r="A10" s="4" t="inlineStr">
        <is>
          <t>REQ-007</t>
        </is>
      </c>
      <c r="B10" s="4" t="inlineStr">
        <is>
          <t>First-version boundary</t>
        </is>
      </c>
      <c r="C10" s="4" t="inlineStr">
        <is>
          <t>Current scope</t>
        </is>
      </c>
      <c r="D10" s="4" t="inlineStr">
        <is>
          <t>The first version includes the agreed account-management features: shared login and permissions, manager and volunteer records, search, filters, pagination, and password setup, changes, and assisted resets.</t>
        </is>
      </c>
      <c r="E10" s="4" t="inlineStr">
        <is>
          <t>All current items</t>
        </is>
      </c>
      <c r="F10" s="4" t="inlineStr">
        <is>
          <t>Stories!B4</t>
        </is>
      </c>
    </row>
    <row r="11" ht="52" customHeight="1">
      <c r="A11" s="28" t="inlineStr">
        <is>
          <t>REQ-008</t>
        </is>
      </c>
      <c r="B11" s="28" t="inlineStr">
        <is>
          <t>First-version boundary</t>
        </is>
      </c>
      <c r="C11" s="28" t="inlineStr">
        <is>
          <t>Current scope</t>
        </is>
      </c>
      <c r="D11" s="28" t="inlineStr">
        <is>
          <t>Inventory management is included in the first version; its scope and verification checklist are agreed.</t>
        </is>
      </c>
      <c r="E11" s="28" t="inlineStr">
        <is>
          <t>All current items</t>
        </is>
      </c>
      <c r="F11" s="28" t="inlineStr">
        <is>
          <t>Stories!B4</t>
        </is>
      </c>
    </row>
    <row r="12" ht="52" customHeight="1">
      <c r="A12" s="4" t="inlineStr">
        <is>
          <t>REQ-009</t>
        </is>
      </c>
      <c r="B12" s="4" t="inlineStr">
        <is>
          <t>First-version boundary</t>
        </is>
      </c>
      <c r="C12" s="4" t="inlineStr">
        <is>
          <t>##FUTURE</t>
        </is>
      </c>
      <c r="D12" s="4" t="inlineStr">
        <is>
          <t>Household management and appointment management remain future modules.</t>
        </is>
      </c>
      <c r="E12" s="4" t="inlineStr">
        <is>
          <t>Deferred — no current item</t>
        </is>
      </c>
      <c r="F12" s="4" t="inlineStr">
        <is>
          <t>Deferred</t>
        </is>
      </c>
    </row>
    <row r="13" ht="106" customHeight="1">
      <c r="A13" s="28" t="inlineStr">
        <is>
          <t>REQ-010</t>
        </is>
      </c>
      <c r="B13" s="28" t="inlineStr">
        <is>
          <t>First-version boundary</t>
        </is>
      </c>
      <c r="C13" s="28" t="inlineStr">
        <is>
          <t>Current scope</t>
        </is>
      </c>
      <c r="D13" s="28" t="inlineStr">
        <is>
          <t>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t>
        </is>
      </c>
      <c r="E13" s="28" t="inlineStr">
        <is>
          <t>FB-057–FB-064</t>
        </is>
      </c>
      <c r="F13" s="28" t="inlineStr">
        <is>
          <t>Stories!B63</t>
        </is>
      </c>
    </row>
    <row r="14" ht="52" customHeight="1">
      <c r="A14" s="4" t="inlineStr">
        <is>
          <t>REQ-011</t>
        </is>
      </c>
      <c r="B14" s="4" t="inlineStr">
        <is>
          <t>First-version boundary</t>
        </is>
      </c>
      <c r="C14" s="4" t="inlineStr">
        <is>
          <t>Current scope</t>
        </is>
      </c>
      <c r="D14" s="4" t="inlineStr">
        <is>
          <t>Feature decisions are agreed. Review the complete scope, then choose the build order. Technical implementation details will be explained in lessons.</t>
        </is>
      </c>
      <c r="E14" s="4" t="inlineStr">
        <is>
          <t>All current items</t>
        </is>
      </c>
      <c r="F14" s="4" t="inlineStr">
        <is>
          <t>Stories!B4</t>
        </is>
      </c>
    </row>
    <row r="15" ht="52" customHeight="1">
      <c r="A15" s="28" t="inlineStr">
        <is>
          <t>REQ-012</t>
        </is>
      </c>
      <c r="B15" s="28" t="inlineStr">
        <is>
          <t>Design and teaching approach</t>
        </is>
      </c>
      <c r="C15" s="28" t="inlineStr">
        <is>
          <t>Project context</t>
        </is>
      </c>
      <c r="D15" s="28" t="inlineStr">
        <is>
          <t>Plan toward a fully functional foodbank management system while implementing only the agreed current learning scope.</t>
        </is>
      </c>
      <c r="E15" s="28" t="inlineStr">
        <is>
          <t>All current items</t>
        </is>
      </c>
      <c r="F15" s="28" t="inlineStr">
        <is>
          <t>Stories!B4</t>
        </is>
      </c>
    </row>
    <row r="16" ht="52" customHeight="1">
      <c r="A16" s="4" t="inlineStr">
        <is>
          <t>REQ-013</t>
        </is>
      </c>
      <c r="B16" s="4" t="inlineStr">
        <is>
          <t>Design and teaching approach</t>
        </is>
      </c>
      <c r="C16" s="4" t="inlineStr">
        <is>
          <t>Project context</t>
        </is>
      </c>
      <c r="D16" s="4" t="inlineStr">
        <is>
          <t>Discuss the complete system's responsibilities and connections as feature discovery progresses. The full design is not finalized yet.</t>
        </is>
      </c>
      <c r="E16" s="4" t="inlineStr">
        <is>
          <t>All current items</t>
        </is>
      </c>
      <c r="F16" s="4" t="inlineStr">
        <is>
          <t>Stories!B4</t>
        </is>
      </c>
    </row>
    <row r="17" ht="52" customHeight="1">
      <c r="A17" s="28" t="inlineStr">
        <is>
          <t>REQ-014</t>
        </is>
      </c>
      <c r="B17" s="28" t="inlineStr">
        <is>
          <t>Design and teaching approach</t>
        </is>
      </c>
      <c r="C17" s="28" t="inlineStr">
        <is>
          <t>Project context</t>
        </is>
      </c>
      <c r="D17" s="28" t="inlineStr">
        <is>
          <t>Keep current features able to connect to future household, appointment, and volunteer workflows without building those workflows prematurely.</t>
        </is>
      </c>
      <c r="E17" s="28" t="inlineStr">
        <is>
          <t>All current items</t>
        </is>
      </c>
      <c r="F17" s="28" t="inlineStr">
        <is>
          <t>Stories!B4</t>
        </is>
      </c>
    </row>
    <row r="18" ht="52" customHeight="1">
      <c r="A18" s="4" t="inlineStr">
        <is>
          <t>REQ-015</t>
        </is>
      </c>
      <c r="B18" s="4" t="inlineStr">
        <is>
          <t>Design and teaching approach</t>
        </is>
      </c>
      <c r="C18" s="4" t="inlineStr">
        <is>
          <t>Project context</t>
        </is>
      </c>
      <c r="D18" s="4" t="inlineStr">
        <is>
          <t>Choose simple structures with clear responsibilities. Do not add speculative tables, complex abstractions, or unused functionality solely for possible future requirements.</t>
        </is>
      </c>
      <c r="E18" s="4" t="inlineStr">
        <is>
          <t>All current items</t>
        </is>
      </c>
      <c r="F18" s="4" t="inlineStr">
        <is>
          <t>Stories!B4</t>
        </is>
      </c>
    </row>
    <row r="19" ht="52" customHeight="1">
      <c r="A19" s="28" t="inlineStr">
        <is>
          <t>REQ-016</t>
        </is>
      </c>
      <c r="B19" s="28" t="inlineStr">
        <is>
          <t>Design and teaching approach</t>
        </is>
      </c>
      <c r="C19" s="28" t="inlineStr">
        <is>
          <t>Project context</t>
        </is>
      </c>
      <c r="D19" s="28" t="inlineStr">
        <is>
          <t>Revisit data relationships, permissions, and record-retention needs when agreeing each feature, especially where future records may depend on today's data.</t>
        </is>
      </c>
      <c r="E19" s="28" t="inlineStr">
        <is>
          <t>All current items</t>
        </is>
      </c>
      <c r="F19" s="28" t="inlineStr">
        <is>
          <t>Stories!B4</t>
        </is>
      </c>
    </row>
    <row r="20" ht="52" customHeight="1">
      <c r="A20" s="4" t="inlineStr">
        <is>
          <t>REQ-017</t>
        </is>
      </c>
      <c r="B20" s="4" t="inlineStr">
        <is>
          <t>Design and teaching approach</t>
        </is>
      </c>
      <c r="C20" s="4" t="inlineStr">
        <is>
          <t>Project context</t>
        </is>
      </c>
      <c r="D20" s="4" t="inlineStr">
        <is>
          <t>Teach one small step at a time, emphasizing Vue, Inertia, and Tailwind.</t>
        </is>
      </c>
      <c r="E20" s="4" t="inlineStr">
        <is>
          <t>All current items</t>
        </is>
      </c>
      <c r="F20" s="4" t="inlineStr">
        <is>
          <t>Stories!B4</t>
        </is>
      </c>
    </row>
    <row r="21" ht="52" customHeight="1">
      <c r="A21" s="28" t="inlineStr">
        <is>
          <t>REQ-018</t>
        </is>
      </c>
      <c r="B21" s="28" t="inlineStr">
        <is>
          <t>Design and teaching approach</t>
        </is>
      </c>
      <c r="C21" s="28" t="inlineStr">
        <is>
          <t>Project context</t>
        </is>
      </c>
      <c r="D21" s="28" t="inlineStr">
        <is>
          <t>Mark deferred work with ##FUTURE. A future entry records direction; it does not authorize implementation or approve unspecified details.</t>
        </is>
      </c>
      <c r="E21" s="28" t="inlineStr">
        <is>
          <t>All current items</t>
        </is>
      </c>
      <c r="F21" s="28" t="inlineStr">
        <is>
          <t>Stories!B4</t>
        </is>
      </c>
    </row>
    <row r="22" ht="52" customHeight="1">
      <c r="A22" s="4" t="inlineStr">
        <is>
          <t>REQ-019</t>
        </is>
      </c>
      <c r="B22" s="4" t="inlineStr">
        <is>
          <t>1. Roles and account creation</t>
        </is>
      </c>
      <c r="C22" s="4" t="inlineStr">
        <is>
          <t>Current scope</t>
        </is>
      </c>
      <c r="D22" s="4" t="inlineStr">
        <is>
          <t>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t>
        </is>
      </c>
      <c r="E22" s="4" t="inlineStr">
        <is>
          <t>FB-004, FB-016, FB-018, FB-019</t>
        </is>
      </c>
      <c r="F22" s="4" t="inlineStr">
        <is>
          <t>Stories!B7</t>
        </is>
      </c>
    </row>
    <row r="23" ht="52" customHeight="1">
      <c r="A23" s="28" t="inlineStr">
        <is>
          <t>REQ-020</t>
        </is>
      </c>
      <c r="B23" s="28" t="inlineStr">
        <is>
          <t>1. Roles and account creation</t>
        </is>
      </c>
      <c r="C23" s="28" t="inlineStr">
        <is>
          <t>Current scope</t>
        </is>
      </c>
      <c r="D23" s="28" t="inlineStr">
        <is>
          <t>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t>
        </is>
      </c>
      <c r="E23" s="28" t="inlineStr">
        <is>
          <t>FB-004, FB-019, FB-021</t>
        </is>
      </c>
      <c r="F23" s="28" t="inlineStr">
        <is>
          <t>Stories!B7</t>
        </is>
      </c>
    </row>
    <row r="24" ht="52" customHeight="1">
      <c r="A24" s="4" t="inlineStr">
        <is>
          <t>REQ-021</t>
        </is>
      </c>
      <c r="B24" s="4" t="inlineStr">
        <is>
          <t>1. Roles and account creation</t>
        </is>
      </c>
      <c r="C24" s="4" t="inlineStr">
        <is>
          <t>Current scope</t>
        </is>
      </c>
      <c r="D24" s="4"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24" s="4" t="inlineStr">
        <is>
          <t>FB-021</t>
        </is>
      </c>
      <c r="F24" s="4" t="inlineStr">
        <is>
          <t>Stories!B25</t>
        </is>
      </c>
    </row>
    <row r="25" ht="52" customHeight="1">
      <c r="A25" s="28" t="inlineStr">
        <is>
          <t>REQ-022</t>
        </is>
      </c>
      <c r="B25" s="28" t="inlineStr">
        <is>
          <t>1. Roles and account creation</t>
        </is>
      </c>
      <c r="C25" s="28" t="inlineStr">
        <is>
          <t>Current scope</t>
        </is>
      </c>
      <c r="D25" s="28" t="inlineStr">
        <is>
          <t>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E25" s="28" t="inlineStr">
        <is>
          <t>FB-004, FB-019</t>
        </is>
      </c>
      <c r="F25" s="28" t="inlineStr">
        <is>
          <t>Stories!B7</t>
        </is>
      </c>
    </row>
    <row r="26" ht="52" customHeight="1">
      <c r="A26" s="4" t="inlineStr">
        <is>
          <t>REQ-023</t>
        </is>
      </c>
      <c r="B26" s="4" t="inlineStr">
        <is>
          <t>1. Roles and account creation</t>
        </is>
      </c>
      <c r="C26" s="4" t="inlineStr">
        <is>
          <t>Current scope</t>
        </is>
      </c>
      <c r="D26" s="4" t="inlineStr">
        <is>
          <t>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t>
        </is>
      </c>
      <c r="E26" s="4" t="inlineStr">
        <is>
          <t>FB-004, FB-006–FB-007, FB-019</t>
        </is>
      </c>
      <c r="F26" s="4" t="inlineStr">
        <is>
          <t>Stories!B14</t>
        </is>
      </c>
    </row>
    <row r="27" ht="52" customHeight="1">
      <c r="A27" s="28" t="inlineStr">
        <is>
          <t>REQ-024</t>
        </is>
      </c>
      <c r="B27" s="28" t="inlineStr">
        <is>
          <t>1. Roles and account creation</t>
        </is>
      </c>
      <c r="C27" s="28" t="inlineStr">
        <is>
          <t>Current scope</t>
        </is>
      </c>
      <c r="D27" s="28" t="inlineStr">
        <is>
          <t>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7" s="28" t="inlineStr">
        <is>
          <t>FB-016–FB-023, FB-025</t>
        </is>
      </c>
      <c r="F27" s="28" t="inlineStr">
        <is>
          <t>Stories!B9</t>
        </is>
      </c>
    </row>
    <row r="28" ht="52" customHeight="1">
      <c r="A28" s="4" t="inlineStr">
        <is>
          <t>REQ-025</t>
        </is>
      </c>
      <c r="B28" s="4" t="inlineStr">
        <is>
          <t>1. Roles and account creation</t>
        </is>
      </c>
      <c r="C28" s="4" t="inlineStr">
        <is>
          <t>Current scope</t>
        </is>
      </c>
      <c r="D28" s="4" t="inlineStr">
        <is>
          <t>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8" s="4" t="inlineStr">
        <is>
          <t>FB-016–FB-023, FB-025</t>
        </is>
      </c>
      <c r="F28" s="4" t="inlineStr">
        <is>
          <t>Stories!B9</t>
        </is>
      </c>
    </row>
    <row r="29" ht="52" customHeight="1">
      <c r="A29" s="28" t="inlineStr">
        <is>
          <t>REQ-026</t>
        </is>
      </c>
      <c r="B29" s="28" t="inlineStr">
        <is>
          <t>1. Roles and account creation</t>
        </is>
      </c>
      <c r="C29" s="28" t="inlineStr">
        <is>
          <t>Current scope</t>
        </is>
      </c>
      <c r="D29" s="28" t="inlineStr">
        <is>
          <t>Public self-registration is unavailable. Only the Super Admin and managers can create accounts, within the permissions above.</t>
        </is>
      </c>
      <c r="E29" s="28" t="inlineStr">
        <is>
          <t>FB-004, FB-019</t>
        </is>
      </c>
      <c r="F29" s="28" t="inlineStr">
        <is>
          <t>Stories!B7</t>
        </is>
      </c>
    </row>
    <row r="30" ht="52" customHeight="1">
      <c r="A30" s="4" t="inlineStr">
        <is>
          <t>REQ-027</t>
        </is>
      </c>
      <c r="B30" s="4" t="inlineStr">
        <is>
          <t>1. Roles and account creation</t>
        </is>
      </c>
      <c r="C30" s="4" t="inlineStr">
        <is>
          <t>Current scope</t>
        </is>
      </c>
      <c r="D30" s="4" t="inlineStr">
        <is>
          <t>Self-service editing of one's own name, email, or phone is excluded from the current scope. Users can still change their own password.</t>
        </is>
      </c>
      <c r="E30" s="4" t="inlineStr">
        <is>
          <t>FB-017, FB-019, FB-021</t>
        </is>
      </c>
      <c r="F30" s="4" t="inlineStr">
        <is>
          <t>Stories!B10</t>
        </is>
      </c>
    </row>
    <row r="31" ht="52" customHeight="1">
      <c r="A31" s="28" t="inlineStr">
        <is>
          <t>REQ-028</t>
        </is>
      </c>
      <c r="B31" s="28" t="inlineStr">
        <is>
          <t>1. Roles and account creation</t>
        </is>
      </c>
      <c r="C31" s="28" t="inlineStr">
        <is>
          <t>Current scope</t>
        </is>
      </c>
      <c r="D31" s="28" t="inlineStr">
        <is>
          <t>User creation and editing each have their own page, rather than pop-up forms.
2026-10-26 approved create-form design: wrap fields in a named card; two columns on wider screens and one on narrow screens.</t>
        </is>
      </c>
      <c r="E31" s="28" t="inlineStr">
        <is>
          <t>FB-016–FB-023, FB-025</t>
        </is>
      </c>
      <c r="F31" s="28" t="inlineStr">
        <is>
          <t>Stories!B9</t>
        </is>
      </c>
    </row>
    <row r="32" ht="52" customHeight="1">
      <c r="A32" s="4" t="inlineStr">
        <is>
          <t>REQ-029</t>
        </is>
      </c>
      <c r="B32" s="4" t="inlineStr">
        <is>
          <t>1. Roles and account creation</t>
        </is>
      </c>
      <c r="C32" s="4" t="inlineStr">
        <is>
          <t>Current scope</t>
        </is>
      </c>
      <c r="D32" s="4" t="inlineStr">
        <is>
          <t>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t>
        </is>
      </c>
      <c r="E32" s="4" t="inlineStr">
        <is>
          <t>FB-019, FB-020, FB-021, FB-025</t>
        </is>
      </c>
      <c r="F32" s="4" t="inlineStr">
        <is>
          <t>Stories!B12</t>
        </is>
      </c>
    </row>
    <row r="33" ht="61" customHeight="1">
      <c r="A33" s="28" t="inlineStr">
        <is>
          <t>REQ-030</t>
        </is>
      </c>
      <c r="B33" s="28" t="inlineStr">
        <is>
          <t>1. Roles and account creation</t>
        </is>
      </c>
      <c r="C33" s="28" t="inlineStr">
        <is>
          <t>Current scope</t>
        </is>
      </c>
      <c r="D33" s="28" t="inlineStr">
        <is>
          <t>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t>
        </is>
      </c>
      <c r="E33" s="28" t="inlineStr">
        <is>
          <t>FB-016–FB-023, FB-025</t>
        </is>
      </c>
      <c r="F33" s="28" t="inlineStr">
        <is>
          <t>Stories!B9</t>
        </is>
      </c>
    </row>
    <row r="34" ht="52" customHeight="1">
      <c r="A34" s="4" t="inlineStr">
        <is>
          <t>REQ-031</t>
        </is>
      </c>
      <c r="B34" s="4" t="inlineStr">
        <is>
          <t>1. Roles and account creation</t>
        </is>
      </c>
      <c r="C34" s="4" t="inlineStr">
        <is>
          <t>##FUTURE</t>
        </is>
      </c>
      <c r="D34" s="4" t="inlineStr">
        <is>
          <t>##FUTURE Self-service profile editing.</t>
        </is>
      </c>
      <c r="E34" s="4" t="inlineStr">
        <is>
          <t>Deferred — no current item</t>
        </is>
      </c>
      <c r="F34" s="4" t="inlineStr">
        <is>
          <t>Deferred</t>
        </is>
      </c>
    </row>
    <row r="35" ht="52" customHeight="1">
      <c r="A35" s="28" t="inlineStr">
        <is>
          <t>REQ-032</t>
        </is>
      </c>
      <c r="B35" s="28" t="inlineStr">
        <is>
          <t>1. Roles and account creation</t>
        </is>
      </c>
      <c r="C35" s="28" t="inlineStr">
        <is>
          <t>Current scope</t>
        </is>
      </c>
      <c r="D35" s="28" t="inlineStr">
        <is>
          <t>Manager accounts use the same mandatory fields and username rules as volunteers, including username regeneration after name changes.</t>
        </is>
      </c>
      <c r="E35" s="28" t="inlineStr">
        <is>
          <t>FB-016–FB-023, FB-025</t>
        </is>
      </c>
      <c r="F35" s="28" t="inlineStr">
        <is>
          <t>Stories!B9</t>
        </is>
      </c>
    </row>
    <row r="36" ht="52" customHeight="1">
      <c r="A36" s="4" t="inlineStr">
        <is>
          <t>REQ-033</t>
        </is>
      </c>
      <c r="B36" s="4" t="inlineStr">
        <is>
          <t>1. Roles and account creation</t>
        </is>
      </c>
      <c r="C36" s="4" t="inlineStr">
        <is>
          <t>Current scope</t>
        </is>
      </c>
      <c r="D36" s="4" t="inlineStr">
        <is>
          <t>New managers follow the same initial password-change process as volunteers.</t>
        </is>
      </c>
      <c r="E36" s="4" t="inlineStr">
        <is>
          <t>FB-006–FB-007, FB-019</t>
        </is>
      </c>
      <c r="F36" s="4" t="inlineStr">
        <is>
          <t>Stories!B14</t>
        </is>
      </c>
    </row>
    <row r="37" ht="52" customHeight="1">
      <c r="A37" s="28" t="inlineStr">
        <is>
          <t>REQ-034</t>
        </is>
      </c>
      <c r="B37" s="28" t="inlineStr">
        <is>
          <t>1. Roles and account creation</t>
        </is>
      </c>
      <c r="C37" s="28" t="inlineStr">
        <is>
          <t>Current scope</t>
        </is>
      </c>
      <c r="D37" s="28" t="inlineStr">
        <is>
          <t>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37" s="28" t="inlineStr">
        <is>
          <t>FB-016–FB-023, FB-025</t>
        </is>
      </c>
      <c r="F37" s="28" t="inlineStr">
        <is>
          <t>Stories!B9</t>
        </is>
      </c>
    </row>
    <row r="38" ht="52" customHeight="1">
      <c r="A38" s="4" t="inlineStr">
        <is>
          <t>REQ-035</t>
        </is>
      </c>
      <c r="B38" s="4" t="inlineStr">
        <is>
          <t>1. Roles and account creation</t>
        </is>
      </c>
      <c r="C38" s="4" t="inlineStr">
        <is>
          <t>Current scope</t>
        </is>
      </c>
      <c r="D38" s="4" t="inlineStr">
        <is>
          <t>Email addresses must be unique across all users and roles. Creating or updating an account cannot use another account's email address.</t>
        </is>
      </c>
      <c r="E38" s="4" t="inlineStr">
        <is>
          <t>FB-016–FB-023, FB-025</t>
        </is>
      </c>
      <c r="F38" s="4" t="inlineStr">
        <is>
          <t>Stories!B9</t>
        </is>
      </c>
    </row>
    <row r="39" ht="52" customHeight="1">
      <c r="A39" s="28" t="inlineStr">
        <is>
          <t>REQ-036</t>
        </is>
      </c>
      <c r="B39" s="28" t="inlineStr">
        <is>
          <t>1. Roles and account creation</t>
        </is>
      </c>
      <c r="C39" s="28" t="inlineStr">
        <is>
          <t>Current scope</t>
        </is>
      </c>
      <c r="D39" s="28" t="inlineStr">
        <is>
          <t>Phone numbers are mandatory and may be shared by multiple users; they are not unique. Use Canadian phone-number formatting.</t>
        </is>
      </c>
      <c r="E39" s="28" t="inlineStr">
        <is>
          <t>FB-017, FB-019, FB-021</t>
        </is>
      </c>
      <c r="F39" s="28" t="inlineStr">
        <is>
          <t>Stories!B10</t>
        </is>
      </c>
    </row>
    <row r="40" ht="52" customHeight="1">
      <c r="A40" s="4" t="inlineStr">
        <is>
          <t>REQ-037</t>
        </is>
      </c>
      <c r="B40" s="4" t="inlineStr">
        <is>
          <t>1. Roles and account creation</t>
        </is>
      </c>
      <c r="C40" s="4" t="inlineStr">
        <is>
          <t>Current scope</t>
        </is>
      </c>
      <c r="D40" s="4" t="inlineStr">
        <is>
          <t>Phone input and display must use the format +1 506-555-0123: +1, a space, and the remaining digits grouped with hyphens.</t>
        </is>
      </c>
      <c r="E40" s="4" t="inlineStr">
        <is>
          <t>FB-017, FB-019, FB-021</t>
        </is>
      </c>
      <c r="F40" s="4" t="inlineStr">
        <is>
          <t>Stories!B10</t>
        </is>
      </c>
    </row>
    <row r="41" ht="52" customHeight="1">
      <c r="A41" s="28" t="inlineStr">
        <is>
          <t>REQ-038</t>
        </is>
      </c>
      <c r="B41" s="28" t="inlineStr">
        <is>
          <t>1. Roles and account creation</t>
        </is>
      </c>
      <c r="C41" s="28" t="inlineStr">
        <is>
          <t>Current scope</t>
        </is>
      </c>
      <c r="D41" s="28" t="inlineStr">
        <is>
          <t>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t>
        </is>
      </c>
      <c r="E41" s="28" t="inlineStr">
        <is>
          <t>FB-017, FB-019, FB-021</t>
        </is>
      </c>
      <c r="F41" s="28" t="inlineStr">
        <is>
          <t>Stories!B10</t>
        </is>
      </c>
    </row>
    <row r="42" ht="52" customHeight="1">
      <c r="A42" s="4" t="inlineStr">
        <is>
          <t>REQ-039</t>
        </is>
      </c>
      <c r="B42" s="4" t="inlineStr">
        <is>
          <t>1. Roles and account creation</t>
        </is>
      </c>
      <c r="C42" s="4" t="inlineStr">
        <is>
          <t>##FUTURE</t>
        </is>
      </c>
      <c r="D42" s="4" t="inlineStr">
        <is>
          <t>##FUTURE Additional roles.</t>
        </is>
      </c>
      <c r="E42" s="4" t="inlineStr">
        <is>
          <t>Deferred — no current item</t>
        </is>
      </c>
      <c r="F42" s="4" t="inlineStr">
        <is>
          <t>Deferred</t>
        </is>
      </c>
    </row>
    <row r="43" ht="52" customHeight="1">
      <c r="A43" s="28" t="inlineStr">
        <is>
          <t>REQ-040</t>
        </is>
      </c>
      <c r="B43" s="28" t="inlineStr">
        <is>
          <t>1. Roles and account creation</t>
        </is>
      </c>
      <c r="C43" s="28" t="inlineStr">
        <is>
          <t>Current scope</t>
        </is>
      </c>
      <c r="D43" s="28" t="inlineStr">
        <is>
          <t>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t>
        </is>
      </c>
      <c r="E43" s="28" t="inlineStr">
        <is>
          <t>FB-016–FB-023, FB-025</t>
        </is>
      </c>
      <c r="F43" s="28" t="inlineStr">
        <is>
          <t>Stories!B9</t>
        </is>
      </c>
    </row>
    <row r="44" ht="52" customHeight="1">
      <c r="A44" s="4" t="inlineStr">
        <is>
          <t>REQ-041</t>
        </is>
      </c>
      <c r="B44" s="4" t="inlineStr">
        <is>
          <t>1. Roles and account creation</t>
        </is>
      </c>
      <c r="C44" s="4" t="inlineStr">
        <is>
          <t>Current scope</t>
        </is>
      </c>
      <c r="D44" s="4" t="inlineStr">
        <is>
          <t>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t>
        </is>
      </c>
      <c r="E44" s="4" t="inlineStr">
        <is>
          <t>FB-009–FB-015</t>
        </is>
      </c>
      <c r="F44" s="4" t="inlineStr">
        <is>
          <t>Stories!B17</t>
        </is>
      </c>
    </row>
    <row r="45" ht="52" customHeight="1">
      <c r="A45" s="28" t="inlineStr">
        <is>
          <t>REQ-042</t>
        </is>
      </c>
      <c r="B45" s="28" t="inlineStr">
        <is>
          <t>1. Roles and account creation</t>
        </is>
      </c>
      <c r="C45" s="28" t="inlineStr">
        <is>
          <t>Current scope</t>
        </is>
      </c>
      <c r="D45" s="28" t="inlineStr">
        <is>
          <t>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t>
        </is>
      </c>
      <c r="E45" s="28" t="inlineStr">
        <is>
          <t>FB-009–FB-015</t>
        </is>
      </c>
      <c r="F45" s="28" t="inlineStr">
        <is>
          <t>Stories!B17</t>
        </is>
      </c>
    </row>
    <row r="46" ht="52" customHeight="1">
      <c r="A46" s="4" t="inlineStr">
        <is>
          <t>REQ-043</t>
        </is>
      </c>
      <c r="B46" s="4" t="inlineStr">
        <is>
          <t>1. Roles and account creation</t>
        </is>
      </c>
      <c r="C46" s="4" t="inlineStr">
        <is>
          <t>Current scope</t>
        </is>
      </c>
      <c r="D46" s="4" t="inlineStr">
        <is>
          <t>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46" s="4" t="inlineStr">
        <is>
          <t>FB-005, FB-022</t>
        </is>
      </c>
      <c r="F46" s="4" t="inlineStr">
        <is>
          <t>Stories!B8</t>
        </is>
      </c>
    </row>
    <row r="47" ht="52" customHeight="1">
      <c r="A47" s="28" t="inlineStr">
        <is>
          <t>REQ-044</t>
        </is>
      </c>
      <c r="B47" s="28" t="inlineStr">
        <is>
          <t>1. Roles and account creation</t>
        </is>
      </c>
      <c r="C47" s="28" t="inlineStr">
        <is>
          <t>Current scope</t>
        </is>
      </c>
      <c r="D47" s="28" t="inlineStr">
        <is>
          <t>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t>
        </is>
      </c>
      <c r="E47" s="28" t="inlineStr">
        <is>
          <t>FB-005, FB-022</t>
        </is>
      </c>
      <c r="F47" s="28" t="inlineStr">
        <is>
          <t>Stories!B8</t>
        </is>
      </c>
    </row>
    <row r="48" ht="52" customHeight="1">
      <c r="A48" s="4" t="inlineStr">
        <is>
          <t>REQ-045</t>
        </is>
      </c>
      <c r="B48" s="4" t="inlineStr">
        <is>
          <t>2. Shared login for all roles</t>
        </is>
      </c>
      <c r="C48" s="4" t="inlineStr">
        <is>
          <t>Current scope</t>
        </is>
      </c>
      <c r="D48" s="4" t="inlineStr">
        <is>
          <t>Super Admin, managers, and volunteers use the same login screen.</t>
        </is>
      </c>
      <c r="E48" s="4" t="inlineStr">
        <is>
          <t>FB-002–FB-008</t>
        </is>
      </c>
      <c r="F48" s="4" t="inlineStr">
        <is>
          <t>Stories!B5</t>
        </is>
      </c>
    </row>
    <row r="49" ht="52" customHeight="1">
      <c r="A49" s="28" t="inlineStr">
        <is>
          <t>REQ-046</t>
        </is>
      </c>
      <c r="B49" s="28" t="inlineStr">
        <is>
          <t>2. Shared login for all roles</t>
        </is>
      </c>
      <c r="C49" s="28" t="inlineStr">
        <is>
          <t>Current scope</t>
        </is>
      </c>
      <c r="D49" s="28" t="inlineStr">
        <is>
          <t>The system identifies the account and uses its stored role.</t>
        </is>
      </c>
      <c r="E49" s="28" t="inlineStr">
        <is>
          <t>FB-002–FB-008</t>
        </is>
      </c>
      <c r="F49" s="28" t="inlineStr">
        <is>
          <t>Stories!B5</t>
        </is>
      </c>
    </row>
    <row r="50" ht="52" customHeight="1">
      <c r="A50" s="4" t="inlineStr">
        <is>
          <t>REQ-047</t>
        </is>
      </c>
      <c r="B50" s="4" t="inlineStr">
        <is>
          <t>2. Shared login for all roles</t>
        </is>
      </c>
      <c r="C50" s="4" t="inlineStr">
        <is>
          <t>Current scope</t>
        </is>
      </c>
      <c r="D50" s="4" t="inlineStr">
        <is>
          <t>All three roles can log in using either their username or email in the same login field.</t>
        </is>
      </c>
      <c r="E50" s="4" t="inlineStr">
        <is>
          <t>FB-002–FB-008</t>
        </is>
      </c>
      <c r="F50" s="4" t="inlineStr">
        <is>
          <t>Stories!B5</t>
        </is>
      </c>
    </row>
    <row r="51" ht="52" customHeight="1">
      <c r="A51" s="28" t="inlineStr">
        <is>
          <t>REQ-048</t>
        </is>
      </c>
      <c r="B51" s="28" t="inlineStr">
        <is>
          <t>2. Shared login for all roles</t>
        </is>
      </c>
      <c r="C51" s="28" t="inlineStr">
        <is>
          <t>##FUTURE</t>
        </is>
      </c>
      <c r="D51" s="28"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51" s="28" t="inlineStr">
        <is>
          <t>Deferred — no current item</t>
        </is>
      </c>
      <c r="F51" s="28" t="inlineStr">
        <is>
          <t>Deferred</t>
        </is>
      </c>
    </row>
    <row r="52" ht="61" customHeight="1">
      <c r="A52" s="4" t="inlineStr">
        <is>
          <t>REQ-049</t>
        </is>
      </c>
      <c r="B52" s="4" t="inlineStr">
        <is>
          <t>2. Shared login for all roles</t>
        </is>
      </c>
      <c r="C52" s="4" t="inlineStr">
        <is>
          <t>Current scope</t>
        </is>
      </c>
      <c r="D52" s="4" t="inlineStr">
        <is>
          <t>After normal login, managers land on the volunteer list, the Super Admin on the combined user list, and volunteers on their welcome page. Required initial password setup takes priority over these landing pages.</t>
        </is>
      </c>
      <c r="E52" s="4" t="inlineStr">
        <is>
          <t>FB-002–FB-008</t>
        </is>
      </c>
      <c r="F52" s="4" t="inlineStr">
        <is>
          <t>Stories!B5</t>
        </is>
      </c>
    </row>
    <row r="53" ht="52" customHeight="1">
      <c r="A53" s="28" t="inlineStr">
        <is>
          <t>REQ-050</t>
        </is>
      </c>
      <c r="B53" s="28" t="inlineStr">
        <is>
          <t>3. Basic volunteer data management (initial scope)</t>
        </is>
      </c>
      <c r="C53" s="28" t="inlineStr">
        <is>
          <t>Current scope</t>
        </is>
      </c>
      <c r="D53" s="28" t="inlineStr">
        <is>
          <t>All managers can manage all volunteers, regardless of which manager created the record.</t>
        </is>
      </c>
      <c r="E53" s="28" t="inlineStr">
        <is>
          <t>FB-016–FB-025</t>
        </is>
      </c>
      <c r="F53" s="28" t="inlineStr">
        <is>
          <t>Stories!B16</t>
        </is>
      </c>
    </row>
    <row r="54" ht="52" customHeight="1">
      <c r="A54" s="4" t="inlineStr">
        <is>
          <t>REQ-051</t>
        </is>
      </c>
      <c r="B54" s="4" t="inlineStr">
        <is>
          <t>3. Basic volunteer data management (initial scope)</t>
        </is>
      </c>
      <c r="C54" s="4" t="inlineStr">
        <is>
          <t>Current scope</t>
        </is>
      </c>
      <c r="D54" s="4" t="inlineStr">
        <is>
          <t>Managers can create, view, and update volunteer records, and mark volunteers active or inactive. Deletion is excluded from current scope.</t>
        </is>
      </c>
      <c r="E54" s="4" t="inlineStr">
        <is>
          <t>FB-016–FB-025</t>
        </is>
      </c>
      <c r="F54" s="4" t="inlineStr">
        <is>
          <t>Stories!B16</t>
        </is>
      </c>
    </row>
    <row r="55" ht="52" customHeight="1">
      <c r="A55" s="28" t="inlineStr">
        <is>
          <t>REQ-052</t>
        </is>
      </c>
      <c r="B55" s="28" t="inlineStr">
        <is>
          <t>3. Basic volunteer data management (initial scope)</t>
        </is>
      </c>
      <c r="C55" s="28" t="inlineStr">
        <is>
          <t>Current scope</t>
        </is>
      </c>
      <c r="D55" s="28" t="inlineStr">
        <is>
          <t>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55" s="28" t="inlineStr">
        <is>
          <t>FB-005, FB-022</t>
        </is>
      </c>
      <c r="F55" s="28" t="inlineStr">
        <is>
          <t>Stories!B8</t>
        </is>
      </c>
    </row>
    <row r="56" ht="52" customHeight="1">
      <c r="A56" s="4" t="inlineStr">
        <is>
          <t>REQ-053</t>
        </is>
      </c>
      <c r="B56" s="4" t="inlineStr">
        <is>
          <t>3. Basic volunteer data management (initial scope)</t>
        </is>
      </c>
      <c r="C56" s="4" t="inlineStr">
        <is>
          <t>##FUTURE</t>
        </is>
      </c>
      <c r="D56" s="4" t="inlineStr">
        <is>
          <t>##FUTURE Volunteer deletion. Its behaviour, including whether records are preserved or permanently removed, has not been decided.</t>
        </is>
      </c>
      <c r="E56" s="4" t="inlineStr">
        <is>
          <t>Deferred — no current item</t>
        </is>
      </c>
      <c r="F56" s="4" t="inlineStr">
        <is>
          <t>Deferred</t>
        </is>
      </c>
    </row>
    <row r="57" ht="52" customHeight="1">
      <c r="A57" s="28" t="inlineStr">
        <is>
          <t>REQ-054</t>
        </is>
      </c>
      <c r="B57" s="28" t="inlineStr">
        <is>
          <t>3. Basic volunteer data management (initial scope)</t>
        </is>
      </c>
      <c r="C57" s="28" t="inlineStr">
        <is>
          <t>Current scope</t>
        </is>
      </c>
      <c r="D57" s="28" t="inlineStr">
        <is>
          <t>Required volunteer fields: first name, last name, username, email, phone, and status. All six fields are mandatory.</t>
        </is>
      </c>
      <c r="E57" s="28" t="inlineStr">
        <is>
          <t>FB-018–FB-021</t>
        </is>
      </c>
      <c r="F57" s="28" t="inlineStr">
        <is>
          <t>Stories!B11</t>
        </is>
      </c>
    </row>
    <row r="58" ht="52" customHeight="1">
      <c r="A58" s="4" t="inlineStr">
        <is>
          <t>REQ-055</t>
        </is>
      </c>
      <c r="B58" s="4" t="inlineStr">
        <is>
          <t>3. Basic volunteer data management (initial scope)</t>
        </is>
      </c>
      <c r="C58" s="4" t="inlineStr">
        <is>
          <t>Current scope</t>
        </is>
      </c>
      <c r="D58" s="4" t="inlineStr">
        <is>
          <t>The system generates the username; the manager does not need to enter it when creating a volunteer.</t>
        </is>
      </c>
      <c r="E58" s="4" t="inlineStr">
        <is>
          <t>FB-018–FB-021</t>
        </is>
      </c>
      <c r="F58" s="4" t="inlineStr">
        <is>
          <t>Stories!B11</t>
        </is>
      </c>
    </row>
    <row r="59" ht="76" customHeight="1">
      <c r="A59" s="28" t="inlineStr">
        <is>
          <t>REQ-056</t>
        </is>
      </c>
      <c r="B59" s="28" t="inlineStr">
        <is>
          <t>3. Basic volunteer data management (initial scope)</t>
        </is>
      </c>
      <c r="C59" s="28" t="inlineStr">
        <is>
          <t>Current scope</t>
        </is>
      </c>
      <c r="D59" s="28" t="inlineStr">
        <is>
          <t>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t>
        </is>
      </c>
      <c r="E59" s="28" t="inlineStr">
        <is>
          <t>FB-018–FB-021</t>
        </is>
      </c>
      <c r="F59" s="28" t="inlineStr">
        <is>
          <t>Stories!B11</t>
        </is>
      </c>
    </row>
    <row r="60" ht="52" customHeight="1">
      <c r="A60" s="4" t="inlineStr">
        <is>
          <t>REQ-057</t>
        </is>
      </c>
      <c r="B60" s="4" t="inlineStr">
        <is>
          <t>3. Basic volunteer data management (initial scope)</t>
        </is>
      </c>
      <c r="C60" s="4" t="inlineStr">
        <is>
          <t>Current scope</t>
        </is>
      </c>
      <c r="D60" s="4" t="inlineStr">
        <is>
          <t>Updating a volunteer's first or last name also regenerates their username from the updated name, applying the same uniqueness and numbered-suffix rules. This includes correcting a mistyped name.</t>
        </is>
      </c>
      <c r="E60" s="4" t="inlineStr">
        <is>
          <t>FB-018–FB-021</t>
        </is>
      </c>
      <c r="F60" s="4" t="inlineStr">
        <is>
          <t>Stories!B11</t>
        </is>
      </c>
    </row>
    <row r="61" ht="52" customHeight="1">
      <c r="A61" s="28" t="inlineStr">
        <is>
          <t>REQ-058</t>
        </is>
      </c>
      <c r="B61" s="28" t="inlineStr">
        <is>
          <t>3. Basic volunteer data management (initial scope)</t>
        </is>
      </c>
      <c r="C61" s="28" t="inlineStr">
        <is>
          <t>Current scope</t>
        </is>
      </c>
      <c r="D61" s="28" t="inlineStr">
        <is>
          <t>After saving a name change, show the resulting username in the confirmation message to the manager or Super Admin making the change.</t>
        </is>
      </c>
      <c r="E61" s="28" t="inlineStr">
        <is>
          <t>FB-018–FB-021</t>
        </is>
      </c>
      <c r="F61" s="28" t="inlineStr">
        <is>
          <t>Stories!B11</t>
        </is>
      </c>
    </row>
    <row r="62" ht="52" customHeight="1">
      <c r="A62" s="4" t="inlineStr">
        <is>
          <t>REQ-059</t>
        </is>
      </c>
      <c r="B62" s="4" t="inlineStr">
        <is>
          <t>3. Basic volunteer data management (initial scope)</t>
        </is>
      </c>
      <c r="C62" s="4" t="inlineStr">
        <is>
          <t>Current scope</t>
        </is>
      </c>
      <c r="D62" s="4" t="inlineStr">
        <is>
          <t>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62" s="4" t="inlineStr">
        <is>
          <t>FB-016–FB-025</t>
        </is>
      </c>
      <c r="F62" s="4" t="inlineStr">
        <is>
          <t>Stories!B16</t>
        </is>
      </c>
    </row>
    <row r="63" ht="52" customHeight="1">
      <c r="A63" s="28" t="inlineStr">
        <is>
          <t>REQ-060</t>
        </is>
      </c>
      <c r="B63" s="28" t="inlineStr">
        <is>
          <t>3. Basic volunteer data management (initial scope)</t>
        </is>
      </c>
      <c r="C63" s="28" t="inlineStr">
        <is>
          <t>Current scope</t>
        </is>
      </c>
      <c r="D63" s="28" t="inlineStr">
        <is>
          <t>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t>
        </is>
      </c>
      <c r="E63" s="28" t="inlineStr">
        <is>
          <t>FB-018–FB-021</t>
        </is>
      </c>
      <c r="F63" s="28" t="inlineStr">
        <is>
          <t>Stories!B11</t>
        </is>
      </c>
    </row>
    <row r="64" ht="52" customHeight="1">
      <c r="A64" s="4" t="inlineStr">
        <is>
          <t>REQ-061</t>
        </is>
      </c>
      <c r="B64" s="4" t="inlineStr">
        <is>
          <t>3. Basic volunteer data management (initial scope)</t>
        </is>
      </c>
      <c r="C64" s="4" t="inlineStr">
        <is>
          <t>Current scope</t>
        </is>
      </c>
      <c r="D64" s="4" t="inlineStr">
        <is>
          <t>Include pagination with 10 volunteers per page and Previous / Next controls. Search and status filters apply to the full list before it is divided into pages.</t>
        </is>
      </c>
      <c r="E64" s="4" t="inlineStr">
        <is>
          <t>FB-009–FB-015</t>
        </is>
      </c>
      <c r="F64" s="4" t="inlineStr">
        <is>
          <t>Stories!B17</t>
        </is>
      </c>
    </row>
    <row r="65" ht="61" customHeight="1">
      <c r="A65" s="28" t="inlineStr">
        <is>
          <t>REQ-062</t>
        </is>
      </c>
      <c r="B65" s="28" t="inlineStr">
        <is>
          <t>3. Basic volunteer data management (initial scope)</t>
        </is>
      </c>
      <c r="C65" s="28" t="inlineStr">
        <is>
          <t>Current scope</t>
        </is>
      </c>
      <c r="D65" s="28" t="inlineStr">
        <is>
          <t>Preserve actual first and last names as entered. When generating usernames only, remove spaces, hyphens, and apostrophes from each name part before joining them with a dot. For example, Mary Jane O'Connor becomes maryjane.oconnor, subject to uniqueness suffixes.</t>
        </is>
      </c>
      <c r="E65" s="28" t="inlineStr">
        <is>
          <t>FB-018–FB-021</t>
        </is>
      </c>
      <c r="F65" s="28" t="inlineStr">
        <is>
          <t>Stories!B11</t>
        </is>
      </c>
    </row>
    <row r="66" ht="52" customHeight="1">
      <c r="A66" s="4" t="inlineStr">
        <is>
          <t>REQ-063</t>
        </is>
      </c>
      <c r="B66" s="4" t="inlineStr">
        <is>
          <t>3. Basic volunteer data management (initial scope)</t>
        </is>
      </c>
      <c r="C66" s="4" t="inlineStr">
        <is>
          <t>Current scope</t>
        </is>
      </c>
      <c r="D66" s="4" t="inlineStr">
        <is>
          <t>Convert accented letters to plain letters in generated usernames only. Preserve accents in actual names. For example, Émilie Côté becomes emilie.cote, subject to uniqueness suffixes.</t>
        </is>
      </c>
      <c r="E66" s="4" t="inlineStr">
        <is>
          <t>FB-018–FB-021</t>
        </is>
      </c>
      <c r="F66" s="4" t="inlineStr">
        <is>
          <t>Stories!B11</t>
        </is>
      </c>
    </row>
    <row r="67" ht="91" customHeight="1">
      <c r="A67" s="28" t="inlineStr">
        <is>
          <t>REQ-064</t>
        </is>
      </c>
      <c r="B67" s="28" t="inlineStr">
        <is>
          <t>3. Basic volunteer data management (initial scope)</t>
        </is>
      </c>
      <c r="C67" s="28" t="inlineStr">
        <is>
          <t>Current scope</t>
        </is>
      </c>
      <c r="D67" s="28" t="inlineStr">
        <is>
          <t>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t>
        </is>
      </c>
      <c r="E67" s="28" t="inlineStr">
        <is>
          <t>FB-018–FB-021</t>
        </is>
      </c>
      <c r="F67" s="28" t="inlineStr">
        <is>
          <t>Stories!B11</t>
        </is>
      </c>
    </row>
    <row r="68" ht="52" customHeight="1">
      <c r="A68" s="4" t="inlineStr">
        <is>
          <t>REQ-065</t>
        </is>
      </c>
      <c r="B68" s="4" t="inlineStr">
        <is>
          <t>3. Basic volunteer data management (initial scope)</t>
        </is>
      </c>
      <c r="C68" s="4" t="inlineStr">
        <is>
          <t>Current scope</t>
        </is>
      </c>
      <c r="D68" s="4" t="inlineStr">
        <is>
          <t>Manager and volunteer first/last names are required, each 1–100 characters after trimming leading/trailing spaces. Preserve internal spaces, supported punctuation, and accents in actual stored names.</t>
        </is>
      </c>
      <c r="E68" s="4" t="inlineStr">
        <is>
          <t>FB-018–FB-021</t>
        </is>
      </c>
      <c r="F68" s="4" t="inlineStr">
        <is>
          <t>Stories!B11</t>
        </is>
      </c>
    </row>
    <row r="69" ht="52" customHeight="1">
      <c r="A69" s="28" t="inlineStr">
        <is>
          <t>REQ-066</t>
        </is>
      </c>
      <c r="B69" s="28" t="inlineStr">
        <is>
          <t>3. Basic volunteer data management (initial scope)</t>
        </is>
      </c>
      <c r="C69" s="28" t="inlineStr">
        <is>
          <t>Current scope</t>
        </is>
      </c>
      <c r="D69" s="28" t="inlineStr">
        <is>
          <t>Account email is required, must have a valid email format, and may contain at most 254 characters. Email uniqueness ignores capitalization across all users and roles.</t>
        </is>
      </c>
      <c r="E69" s="28" t="inlineStr">
        <is>
          <t>FB-016–FB-025</t>
        </is>
      </c>
      <c r="F69" s="28" t="inlineStr">
        <is>
          <t>Stories!B16</t>
        </is>
      </c>
    </row>
    <row r="70" ht="52" customHeight="1">
      <c r="A70" s="4" t="inlineStr">
        <is>
          <t>REQ-067</t>
        </is>
      </c>
      <c r="B70" s="4" t="inlineStr">
        <is>
          <t>3. Basic volunteer data management (initial scope)</t>
        </is>
      </c>
      <c r="C70" s="4" t="inlineStr">
        <is>
          <t>Current scope</t>
        </is>
      </c>
      <c r="D70" s="4" t="inlineStr">
        <is>
          <t>Account phone is required: 10 digits after +1, formatted +1 506-555-0123. Account phone numbers may be shared, unlike household phone numbers.</t>
        </is>
      </c>
      <c r="E70" s="4" t="inlineStr">
        <is>
          <t>FB-016–FB-025</t>
        </is>
      </c>
      <c r="F70" s="4" t="inlineStr">
        <is>
          <t>Stories!B16</t>
        </is>
      </c>
    </row>
    <row r="71" ht="52" customHeight="1">
      <c r="A71" s="28" t="inlineStr">
        <is>
          <t>REQ-068</t>
        </is>
      </c>
      <c r="B71" s="28" t="inlineStr">
        <is>
          <t>3. Basic volunteer data management (initial scope)</t>
        </is>
      </c>
      <c r="C71" s="28" t="inlineStr">
        <is>
          <t>Current scope</t>
        </is>
      </c>
      <c r="D71" s="28" t="inlineStr">
        <is>
          <t>Invalid account input shows a field-specific error and retains other entered values so the user can correct the form.</t>
        </is>
      </c>
      <c r="E71" s="28" t="inlineStr">
        <is>
          <t>FB-016–FB-025</t>
        </is>
      </c>
      <c r="F71" s="28" t="inlineStr">
        <is>
          <t>Stories!B16</t>
        </is>
      </c>
    </row>
    <row r="72" ht="52" customHeight="1">
      <c r="A72" s="4" t="inlineStr">
        <is>
          <t>REQ-069</t>
        </is>
      </c>
      <c r="B72" s="4" t="inlineStr">
        <is>
          <t>3. Basic volunteer data management (initial scope)</t>
        </is>
      </c>
      <c r="C72" s="4" t="inlineStr">
        <is>
          <t>##FUTURE</t>
        </is>
      </c>
      <c r="D72" s="4" t="inlineStr">
        <is>
          <t>##FUTURE The broader volunteer module; its additional features have not yet been defined.</t>
        </is>
      </c>
      <c r="E72" s="4" t="inlineStr">
        <is>
          <t>Deferred — no current item</t>
        </is>
      </c>
      <c r="F72" s="4" t="inlineStr">
        <is>
          <t>Deferred</t>
        </is>
      </c>
    </row>
    <row r="73" ht="52" customHeight="1">
      <c r="A73" s="28" t="inlineStr">
        <is>
          <t>REQ-070</t>
        </is>
      </c>
      <c r="B73" s="28" t="inlineStr">
        <is>
          <t>4. Volunteer access in the current version</t>
        </is>
      </c>
      <c r="C73" s="28" t="inlineStr">
        <is>
          <t>Current scope</t>
        </is>
      </c>
      <c r="D73" s="28" t="inlineStr">
        <is>
          <t>After completing initial password setup and logging in again, volunteers see a simple welcome page with Change Password and Log Out options.
2026-10-29 scheduling: FB-008 implementation, review and testing deferred to project end; remains required current scope and unverified. See REQ-172.</t>
        </is>
      </c>
      <c r="E73" s="28" t="inlineStr">
        <is>
          <t>FB-008, FB-024</t>
        </is>
      </c>
      <c r="F73" s="28" t="inlineStr">
        <is>
          <t>Stories!B16</t>
        </is>
      </c>
    </row>
    <row r="74" ht="52" customHeight="1">
      <c r="A74" s="4" t="inlineStr">
        <is>
          <t>REQ-071</t>
        </is>
      </c>
      <c r="B74" s="4" t="inlineStr">
        <is>
          <t>4. Volunteer access in the current version</t>
        </is>
      </c>
      <c r="C74" s="4" t="inlineStr">
        <is>
          <t>Current scope</t>
        </is>
      </c>
      <c r="D74" s="4" t="inlineStr">
        <is>
          <t>Volunteers cannot access other users' records.</t>
        </is>
      </c>
      <c r="E74" s="4" t="inlineStr">
        <is>
          <t>FB-008, FB-015, FB-037–FB-066</t>
        </is>
      </c>
      <c r="F74" s="4" t="inlineStr">
        <is>
          <t>Stories!B23</t>
        </is>
      </c>
    </row>
    <row r="75" ht="76" customHeight="1">
      <c r="A75" s="28" t="inlineStr">
        <is>
          <t>REQ-072</t>
        </is>
      </c>
      <c r="B75" s="28" t="inlineStr">
        <is>
          <t>4. Volunteer access in the current version</t>
        </is>
      </c>
      <c r="C75" s="28" t="inlineStr">
        <is>
          <t>Current scope</t>
        </is>
      </c>
      <c r="D75" s="28" t="inlineStr">
        <is>
          <t>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t>
        </is>
      </c>
      <c r="E75" s="28" t="inlineStr">
        <is>
          <t>FB-008, FB-015, FB-037–FB-066</t>
        </is>
      </c>
      <c r="F75" s="28" t="inlineStr">
        <is>
          <t>Stories!B23</t>
        </is>
      </c>
    </row>
    <row r="76" ht="52" customHeight="1">
      <c r="A76" s="4" t="inlineStr">
        <is>
          <t>REQ-073</t>
        </is>
      </c>
      <c r="B76" s="4" t="inlineStr">
        <is>
          <t>4. Volunteer access in the current version</t>
        </is>
      </c>
      <c r="C76" s="4" t="inlineStr">
        <is>
          <t>##FUTURE</t>
        </is>
      </c>
      <c r="D76" s="4" t="inlineStr">
        <is>
          <t>Broader volunteer functionality remains ##FUTURE.</t>
        </is>
      </c>
      <c r="E76" s="4" t="inlineStr">
        <is>
          <t>Deferred — no current item</t>
        </is>
      </c>
      <c r="F76" s="4" t="inlineStr">
        <is>
          <t>Deferred</t>
        </is>
      </c>
    </row>
    <row r="77" ht="52" customHeight="1">
      <c r="A77" s="28" t="inlineStr">
        <is>
          <t>REQ-074</t>
        </is>
      </c>
      <c r="B77" s="28" t="inlineStr">
        <is>
          <t>5. Initial password setup and later password changes</t>
        </is>
      </c>
      <c r="C77" s="28" t="inlineStr">
        <is>
          <t>Current scope</t>
        </is>
      </c>
      <c r="D77" s="28" t="inlineStr">
        <is>
          <t>A common initial password is supplied through application configuration.</t>
        </is>
      </c>
      <c r="E77" s="28" t="inlineStr">
        <is>
          <t>FB-004–FB-007, FB-019, FB-023</t>
        </is>
      </c>
      <c r="F77" s="28" t="inlineStr">
        <is>
          <t>Stories!B7</t>
        </is>
      </c>
    </row>
    <row r="78" ht="52" customHeight="1">
      <c r="A78" s="4" t="inlineStr">
        <is>
          <t>REQ-075</t>
        </is>
      </c>
      <c r="B78" s="4" t="inlineStr">
        <is>
          <t>5. Initial password setup and later password changes</t>
        </is>
      </c>
      <c r="C78" s="4" t="inlineStr">
        <is>
          <t>Current scope</t>
        </is>
      </c>
      <c r="D78" s="4" t="inlineStr">
        <is>
          <t>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E78" s="4" t="inlineStr">
        <is>
          <t>FB-004–FB-007, FB-019, FB-023</t>
        </is>
      </c>
      <c r="F78" s="4" t="inlineStr">
        <is>
          <t>Stories!B7</t>
        </is>
      </c>
    </row>
    <row r="79" ht="52" customHeight="1">
      <c r="A79" s="28" t="inlineStr">
        <is>
          <t>REQ-076</t>
        </is>
      </c>
      <c r="B79" s="28" t="inlineStr">
        <is>
          <t>5. Initial password setup and later password changes</t>
        </is>
      </c>
      <c r="C79" s="28" t="inlineStr">
        <is>
          <t>Current scope</t>
        </is>
      </c>
      <c r="D79" s="28" t="inlineStr">
        <is>
          <t>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t>
        </is>
      </c>
      <c r="E79" s="28" t="inlineStr">
        <is>
          <t>FB-004–FB-007, FB-019, FB-023</t>
        </is>
      </c>
      <c r="F79" s="28" t="inlineStr">
        <is>
          <t>Stories!B7</t>
        </is>
      </c>
    </row>
    <row r="80" ht="52" customHeight="1">
      <c r="A80" s="4" t="inlineStr">
        <is>
          <t>REQ-077</t>
        </is>
      </c>
      <c r="B80" s="4" t="inlineStr">
        <is>
          <t>5. Initial password setup and later password changes</t>
        </is>
      </c>
      <c r="C80" s="4" t="inlineStr">
        <is>
          <t>Current scope</t>
        </is>
      </c>
      <c r="D80" s="4" t="inlineStr">
        <is>
          <t>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0" s="4" t="inlineStr">
        <is>
          <t>FB-004–FB-007, FB-019, FB-023</t>
        </is>
      </c>
      <c r="F80" s="4" t="inlineStr">
        <is>
          <t>Stories!B7</t>
        </is>
      </c>
    </row>
    <row r="81" ht="52" customHeight="1">
      <c r="A81" s="28" t="inlineStr">
        <is>
          <t>REQ-078</t>
        </is>
      </c>
      <c r="B81" s="28" t="inlineStr">
        <is>
          <t>5. Initial password setup and later password changes</t>
        </is>
      </c>
      <c r="C81" s="28" t="inlineStr">
        <is>
          <t>Current scope</t>
        </is>
      </c>
      <c r="D81" s="28" t="inlineStr">
        <is>
          <t>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1" s="28" t="inlineStr">
        <is>
          <t>FB-004–FB-007, FB-019, FB-023</t>
        </is>
      </c>
      <c r="F81" s="28" t="inlineStr">
        <is>
          <t>Stories!B7</t>
        </is>
      </c>
    </row>
    <row r="82" ht="52" customHeight="1">
      <c r="A82" s="4" t="inlineStr">
        <is>
          <t>REQ-079</t>
        </is>
      </c>
      <c r="B82" s="4" t="inlineStr">
        <is>
          <t>5. Initial password setup and later password changes</t>
        </is>
      </c>
      <c r="C82" s="4" t="inlineStr">
        <is>
          <t>Current scope</t>
        </is>
      </c>
      <c r="D82" s="4" t="inlineStr">
        <is>
          <t>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t>
        </is>
      </c>
      <c r="E82" s="4" t="inlineStr">
        <is>
          <t>FB-004–FB-007, FB-019, FB-023</t>
        </is>
      </c>
      <c r="F82" s="4" t="inlineStr">
        <is>
          <t>Stories!B7</t>
        </is>
      </c>
    </row>
    <row r="83" ht="61" customHeight="1">
      <c r="A83" s="28" t="inlineStr">
        <is>
          <t>REQ-080</t>
        </is>
      </c>
      <c r="B83" s="28" t="inlineStr">
        <is>
          <t>5. Initial password setup and later password changes</t>
        </is>
      </c>
      <c r="C83" s="28" t="inlineStr">
        <is>
          <t>Current scope</t>
        </is>
      </c>
      <c r="D83" s="28" t="inlineStr">
        <is>
          <t>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t>
        </is>
      </c>
      <c r="E83" s="28" t="inlineStr">
        <is>
          <t>FB-023</t>
        </is>
      </c>
      <c r="F83" s="28" t="inlineStr">
        <is>
          <t>Stories!B27</t>
        </is>
      </c>
    </row>
    <row r="84" ht="52" customHeight="1">
      <c r="A84" s="4" t="inlineStr">
        <is>
          <t>REQ-081</t>
        </is>
      </c>
      <c r="B84" s="4" t="inlineStr">
        <is>
          <t>5. Initial password setup and later password changes</t>
        </is>
      </c>
      <c r="C84" s="4" t="inlineStr">
        <is>
          <t>Current scope</t>
        </is>
      </c>
      <c r="D84" s="4" t="inlineStr">
        <is>
          <t>The common password becomes valid again only through this explicit reset, not as an automatic fallback. The volunteer's old personal password stops working when the reset occurs.</t>
        </is>
      </c>
      <c r="E84" s="4" t="inlineStr">
        <is>
          <t>FB-023</t>
        </is>
      </c>
      <c r="F84" s="4" t="inlineStr">
        <is>
          <t>Stories!B27</t>
        </is>
      </c>
    </row>
    <row r="85" ht="52" customHeight="1">
      <c r="A85" s="28" t="inlineStr">
        <is>
          <t>REQ-082</t>
        </is>
      </c>
      <c r="B85" s="28" t="inlineStr">
        <is>
          <t>5. Initial password setup and later password changes</t>
        </is>
      </c>
      <c r="C85" s="28" t="inlineStr">
        <is>
          <t>Current scope</t>
        </is>
      </c>
      <c r="D85" s="28" t="inlineStr">
        <is>
          <t>Managers who forget their password ask the Super Admin to reset it. The reset uses the same configured common password and required password-setup cycle as volunteer resets.</t>
        </is>
      </c>
      <c r="E85" s="28" t="inlineStr">
        <is>
          <t>FB-023</t>
        </is>
      </c>
      <c r="F85" s="28" t="inlineStr">
        <is>
          <t>Stories!B27</t>
        </is>
      </c>
    </row>
    <row r="86" ht="52" customHeight="1">
      <c r="A86" s="4" t="inlineStr">
        <is>
          <t>REQ-083</t>
        </is>
      </c>
      <c r="B86" s="4" t="inlineStr">
        <is>
          <t>5. Initial password setup and later password changes</t>
        </is>
      </c>
      <c r="C86" s="4" t="inlineStr">
        <is>
          <t>Current scope</t>
        </is>
      </c>
      <c r="D86" s="4" t="inlineStr">
        <is>
          <t>Administrative password resets immediately end all existing sessions for the affected account, including both volunteers and managers.</t>
        </is>
      </c>
      <c r="E86" s="4" t="inlineStr">
        <is>
          <t>FB-023</t>
        </is>
      </c>
      <c r="F86" s="4" t="inlineStr">
        <is>
          <t>Stories!B27</t>
        </is>
      </c>
    </row>
    <row r="87" ht="52" customHeight="1">
      <c r="A87" s="28" t="inlineStr">
        <is>
          <t>REQ-084</t>
        </is>
      </c>
      <c r="B87" s="28" t="inlineStr">
        <is>
          <t>5. Initial password setup and later password changes</t>
        </is>
      </c>
      <c r="C87" s="28" t="inlineStr">
        <is>
          <t>Current scope</t>
        </is>
      </c>
      <c r="D87" s="28" t="inlineStr">
        <is>
          <t>The Super Admin can reset passwords for both managers and volunteers, using the same reset and required setup process.</t>
        </is>
      </c>
      <c r="E87" s="28" t="inlineStr">
        <is>
          <t>FB-023</t>
        </is>
      </c>
      <c r="F87" s="28" t="inlineStr">
        <is>
          <t>Stories!B27</t>
        </is>
      </c>
    </row>
    <row r="88" ht="52" customHeight="1">
      <c r="A88" s="4" t="inlineStr">
        <is>
          <t>REQ-085</t>
        </is>
      </c>
      <c r="B88" s="4" t="inlineStr">
        <is>
          <t>5. Initial password setup and later password changes</t>
        </is>
      </c>
      <c r="C88" s="4" t="inlineStr">
        <is>
          <t>Current scope</t>
        </is>
      </c>
      <c r="D88" s="4" t="inlineStr">
        <is>
          <t>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t>
        </is>
      </c>
      <c r="E88" s="4" t="inlineStr">
        <is>
          <t>FB-023</t>
        </is>
      </c>
      <c r="F88" s="4" t="inlineStr">
        <is>
          <t>Stories!B27</t>
        </is>
      </c>
    </row>
    <row r="89" ht="52" customHeight="1">
      <c r="A89" s="28" t="inlineStr">
        <is>
          <t>REQ-086</t>
        </is>
      </c>
      <c r="B89" s="28" t="inlineStr">
        <is>
          <t>5. Initial password setup and later password changes</t>
        </is>
      </c>
      <c r="C89" s="28" t="inlineStr">
        <is>
          <t>Current scope</t>
        </is>
      </c>
      <c r="D89" s="28" t="inlineStr">
        <is>
          <t>Password resets preserve the account's Active/Inactive status. An inactive account remains blocked from login until separately reactivated by an authorized user.</t>
        </is>
      </c>
      <c r="E89" s="28" t="inlineStr">
        <is>
          <t>FB-023</t>
        </is>
      </c>
      <c r="F89" s="28" t="inlineStr">
        <is>
          <t>Stories!B27</t>
        </is>
      </c>
    </row>
    <row r="90" ht="76" customHeight="1">
      <c r="A90" s="4" t="inlineStr">
        <is>
          <t>REQ-087</t>
        </is>
      </c>
      <c r="B90" s="4" t="inlineStr">
        <is>
          <t>5. Initial password setup and later password changes</t>
        </is>
      </c>
      <c r="C90" s="4" t="inlineStr">
        <is>
          <t>Current scope</t>
        </is>
      </c>
      <c r="D90" s="4" t="inlineStr">
        <is>
          <t>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t>
        </is>
      </c>
      <c r="E90" s="4" t="inlineStr">
        <is>
          <t>FB-070</t>
        </is>
      </c>
      <c r="F90" s="4" t="inlineStr">
        <is>
          <t>Stories!B73</t>
        </is>
      </c>
    </row>
    <row r="91" ht="52" customHeight="1">
      <c r="A91" s="28" t="inlineStr">
        <is>
          <t>REQ-088</t>
        </is>
      </c>
      <c r="B91" s="28" t="inlineStr">
        <is>
          <t>5. Initial password setup and later password changes</t>
        </is>
      </c>
      <c r="C91" s="28" t="inlineStr">
        <is>
          <t>Current scope</t>
        </is>
      </c>
      <c r="D91" s="28" t="inlineStr">
        <is>
          <t>Implement Super Admin recovery last in the implementation list, as requested. It remains in the agreed first-version scope.</t>
        </is>
      </c>
      <c r="E91" s="28" t="inlineStr">
        <is>
          <t>FB-070</t>
        </is>
      </c>
      <c r="F91" s="28" t="inlineStr">
        <is>
          <t>Stories!B73</t>
        </is>
      </c>
    </row>
    <row r="92" ht="52" customHeight="1">
      <c r="A92" s="4" t="inlineStr">
        <is>
          <t>REQ-089</t>
        </is>
      </c>
      <c r="B92" s="4" t="inlineStr">
        <is>
          <t>5. Initial password setup and later password changes</t>
        </is>
      </c>
      <c r="C92" s="4" t="inlineStr">
        <is>
          <t>Current scope</t>
        </is>
      </c>
      <c r="D92" s="4" t="inlineStr">
        <is>
          <t>All users can also change their own password later.</t>
        </is>
      </c>
      <c r="E92" s="4" t="inlineStr">
        <is>
          <t>FB-024</t>
        </is>
      </c>
      <c r="F92" s="4" t="inlineStr">
        <is>
          <t>Stories!B16</t>
        </is>
      </c>
    </row>
    <row r="93" ht="52" customHeight="1">
      <c r="A93" s="28" t="inlineStr">
        <is>
          <t>REQ-090</t>
        </is>
      </c>
      <c r="B93" s="28" t="inlineStr">
        <is>
          <t>5. Initial password setup and later password changes</t>
        </is>
      </c>
      <c r="C93" s="28" t="inlineStr">
        <is>
          <t>Current scope</t>
        </is>
      </c>
      <c r="D93" s="28" t="inlineStr">
        <is>
          <t>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3" s="28" t="inlineStr">
        <is>
          <t>FB-024</t>
        </is>
      </c>
      <c r="F93" s="28" t="inlineStr">
        <is>
          <t>Stories!B16</t>
        </is>
      </c>
    </row>
    <row r="94" ht="52" customHeight="1">
      <c r="A94" s="4" t="inlineStr">
        <is>
          <t>REQ-091</t>
        </is>
      </c>
      <c r="B94" s="4" t="inlineStr">
        <is>
          <t>5. Initial password setup and later password changes</t>
        </is>
      </c>
      <c r="C94" s="4" t="inlineStr">
        <is>
          <t>Current scope</t>
        </is>
      </c>
      <c r="D94" s="4" t="inlineStr">
        <is>
          <t>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4" s="4" t="inlineStr">
        <is>
          <t>FB-024</t>
        </is>
      </c>
      <c r="F94" s="4" t="inlineStr">
        <is>
          <t>Stories!B16</t>
        </is>
      </c>
    </row>
    <row r="95" ht="52" customHeight="1">
      <c r="A95" s="28" t="inlineStr">
        <is>
          <t>REQ-092</t>
        </is>
      </c>
      <c r="B95" s="28" t="inlineStr">
        <is>
          <t>5. Initial password setup and later password changes</t>
        </is>
      </c>
      <c r="C95" s="28" t="inlineStr">
        <is>
          <t>Current scope</t>
        </is>
      </c>
      <c r="D95" s="28" t="inlineStr">
        <is>
          <t>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t>
        </is>
      </c>
      <c r="E95" s="28" t="inlineStr">
        <is>
          <t>FB-004–FB-007, FB-019, FB-023</t>
        </is>
      </c>
      <c r="F95" s="28" t="inlineStr">
        <is>
          <t>Stories!B7</t>
        </is>
      </c>
    </row>
    <row r="96" ht="61" customHeight="1">
      <c r="A96" s="4" t="inlineStr">
        <is>
          <t>REQ-093</t>
        </is>
      </c>
      <c r="B96" s="4" t="inlineStr">
        <is>
          <t>5. Initial password setup and later password changes</t>
        </is>
      </c>
      <c r="C96" s="4" t="inlineStr">
        <is>
          <t>Current scope</t>
        </is>
      </c>
      <c r="D96" s="4" t="inlineStr">
        <is>
          <t>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6" s="4" t="inlineStr">
        <is>
          <t>FB-007, FB-024, FB-069, FB-070</t>
        </is>
      </c>
      <c r="F96" s="4" t="inlineStr">
        <is>
          <t>Stories!B15</t>
        </is>
      </c>
    </row>
    <row r="97" ht="52" customHeight="1">
      <c r="A97" s="28" t="inlineStr">
        <is>
          <t>REQ-094</t>
        </is>
      </c>
      <c r="B97" s="28" t="inlineStr">
        <is>
          <t>5. Initial password setup and later password changes</t>
        </is>
      </c>
      <c r="C97" s="28" t="inlineStr">
        <is>
          <t>##FUTURE</t>
        </is>
      </c>
      <c r="D97" s="28" t="inlineStr">
        <is>
          <t>##FUTURE Email links allowing new users to set their own password.</t>
        </is>
      </c>
      <c r="E97" s="28" t="inlineStr">
        <is>
          <t>Deferred — no current item</t>
        </is>
      </c>
      <c r="F97" s="28" t="inlineStr">
        <is>
          <t>Deferred</t>
        </is>
      </c>
    </row>
    <row r="98" ht="91" customHeight="1">
      <c r="A98" s="4" t="inlineStr">
        <is>
          <t>REQ-095</t>
        </is>
      </c>
      <c r="B98" s="4" t="inlineStr">
        <is>
          <t>Inventory management — first version, planning complete</t>
        </is>
      </c>
      <c r="C98" s="4" t="inlineStr">
        <is>
          <t>Current scope</t>
        </is>
      </c>
      <c r="D98" s="4" t="inlineStr">
        <is>
          <t>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t>
        </is>
      </c>
      <c r="E98" s="4" t="inlineStr">
        <is>
          <t>FB-032–FB-037, FB-047–FB-053</t>
        </is>
      </c>
      <c r="F98" s="4" t="inlineStr">
        <is>
          <t>Stories!B35</t>
        </is>
      </c>
    </row>
    <row r="99" ht="52" customHeight="1">
      <c r="A99" s="28" t="inlineStr">
        <is>
          <t>REQ-096</t>
        </is>
      </c>
      <c r="B99" s="28" t="inlineStr">
        <is>
          <t>Inventory management — first version, planning complete</t>
        </is>
      </c>
      <c r="C99" s="28" t="inlineStr">
        <is>
          <t>Current scope</t>
        </is>
      </c>
      <c r="D99" s="28" t="inlineStr">
        <is>
          <t>Track individual products.</t>
        </is>
      </c>
      <c r="E99" s="28" t="inlineStr">
        <is>
          <t>FB-032–FB-037, FB-047–FB-053</t>
        </is>
      </c>
      <c r="F99" s="28" t="inlineStr">
        <is>
          <t>Stories!B35</t>
        </is>
      </c>
    </row>
    <row r="100" ht="76" customHeight="1">
      <c r="A100" s="4" t="inlineStr">
        <is>
          <t>REQ-097</t>
        </is>
      </c>
      <c r="B100" s="4" t="inlineStr">
        <is>
          <t>Inventory management — first version, planning complete</t>
        </is>
      </c>
      <c r="C100" s="4" t="inlineStr">
        <is>
          <t>Current scope</t>
        </is>
      </c>
      <c r="D100" s="4" t="inlineStr">
        <is>
          <t>Every product has a unique, permanent, automatically generated code using the format PRD-000001, independent of its name and category. Use sequential numbers starting at 1, padded to at least six digits; allow longer numbers after PRD-999999. Users cannot edit product codes, and codes are never reused. Each separate product record, including brand and package-size variants, receives its own code.</t>
        </is>
      </c>
      <c r="E100" s="4" t="inlineStr">
        <is>
          <t>FB-035</t>
        </is>
      </c>
      <c r="F100" s="4" t="inlineStr">
        <is>
          <t>Stories!B38</t>
        </is>
      </c>
    </row>
    <row r="101" ht="52" customHeight="1">
      <c r="A101" s="28" t="inlineStr">
        <is>
          <t>REQ-098</t>
        </is>
      </c>
      <c r="B101" s="28" t="inlineStr">
        <is>
          <t>Inventory management — first version, planning complete</t>
        </is>
      </c>
      <c r="C101" s="28" t="inlineStr">
        <is>
          <t>Current scope</t>
        </is>
      </c>
      <c r="D101" s="28" t="inlineStr">
        <is>
          <t>Organize products in exactly four levels: Department -&gt; Category -&gt; Subcategory -&gt; Product.</t>
        </is>
      </c>
      <c r="E101" s="28" t="inlineStr">
        <is>
          <t>FB-026–FB-030, FB-032</t>
        </is>
      </c>
      <c r="F101" s="28" t="inlineStr">
        <is>
          <t>Stories!B29</t>
        </is>
      </c>
    </row>
    <row r="102" ht="61" customHeight="1">
      <c r="A102" s="4" t="inlineStr">
        <is>
          <t>REQ-099</t>
        </is>
      </c>
      <c r="B102" s="4" t="inlineStr">
        <is>
          <t>Inventory management — first version, planning complete</t>
        </is>
      </c>
      <c r="C102" s="4" t="inlineStr">
        <is>
          <t>Current scope</t>
        </is>
      </c>
      <c r="D102" s="4" t="inlineStr">
        <is>
          <t>Every product follows this full path and belongs to one subcategory; categories belong to departments and subcategories belong to categories. The product itself is level four. No hierarchy levels are skipped.</t>
        </is>
      </c>
      <c r="E102" s="4" t="inlineStr">
        <is>
          <t>FB-026–FB-030, FB-032</t>
        </is>
      </c>
      <c r="F102" s="4" t="inlineStr">
        <is>
          <t>Stories!B29</t>
        </is>
      </c>
    </row>
    <row r="103" ht="61" customHeight="1">
      <c r="A103" s="28" t="inlineStr">
        <is>
          <t>REQ-100</t>
        </is>
      </c>
      <c r="B103" s="28" t="inlineStr">
        <is>
          <t>Inventory management — first version, planning complete</t>
        </is>
      </c>
      <c r="C103" s="28" t="inlineStr">
        <is>
          <t>Current scope</t>
        </is>
      </c>
      <c r="D103" s="28" t="inlineStr">
        <is>
          <t>Department, category, and subcategory names are required. Department names are unique across the catalogue; category names are unique within their department; subcategory names are unique within their category. Duplicate-name checks ignore capitalization and leading/trailing spaces.</t>
        </is>
      </c>
      <c r="E103" s="28" t="inlineStr">
        <is>
          <t>FB-026–FB-030, FB-032</t>
        </is>
      </c>
      <c r="F103" s="28" t="inlineStr">
        <is>
          <t>Stories!B29</t>
        </is>
      </c>
    </row>
    <row r="104" ht="61" customHeight="1">
      <c r="A104" s="4" t="inlineStr">
        <is>
          <t>REQ-101</t>
        </is>
      </c>
      <c r="B104" s="4" t="inlineStr">
        <is>
          <t>Inventory management — first version, planning complete</t>
        </is>
      </c>
      <c r="C104" s="4" t="inlineStr">
        <is>
          <t>Current scope</t>
        </is>
      </c>
      <c r="D104" s="4" t="inlineStr">
        <is>
          <t>Allow renaming departments, categories, and subcategories while preserving their links. Product category paths show current names, including when viewing older stock movements; historical name snapshots are not required.</t>
        </is>
      </c>
      <c r="E104" s="4" t="inlineStr">
        <is>
          <t>FB-026–FB-030, FB-032</t>
        </is>
      </c>
      <c r="F104" s="4" t="inlineStr">
        <is>
          <t>Stories!B29</t>
        </is>
      </c>
    </row>
    <row r="105" ht="52" customHeight="1">
      <c r="A105" s="28" t="inlineStr">
        <is>
          <t>REQ-102</t>
        </is>
      </c>
      <c r="B105" s="28" t="inlineStr">
        <is>
          <t>Inventory management — first version, planning complete</t>
        </is>
      </c>
      <c r="C105" s="28" t="inlineStr">
        <is>
          <t>##FUTURE</t>
        </is>
      </c>
      <c r="D105" s="28" t="inlineStr">
        <is>
          <t>##FUTURE Moving categories or subcategories between parents, and deleting departments, categories, or subcategories. Version one supports renaming only for maintenance of existing hierarchy records.</t>
        </is>
      </c>
      <c r="E105" s="28" t="inlineStr">
        <is>
          <t>Deferred — no current item</t>
        </is>
      </c>
      <c r="F105" s="28" t="inlineStr">
        <is>
          <t>Deferred</t>
        </is>
      </c>
    </row>
    <row r="106" ht="52" customHeight="1">
      <c r="A106" s="4" t="inlineStr">
        <is>
          <t>REQ-103</t>
        </is>
      </c>
      <c r="B106" s="4" t="inlineStr">
        <is>
          <t>Inventory management — first version, planning complete</t>
        </is>
      </c>
      <c r="C106" s="4" t="inlineStr">
        <is>
          <t>Current scope</t>
        </is>
      </c>
      <c r="D106" s="4" t="inlineStr">
        <is>
          <t>Each product can optionally have multiple tags.</t>
        </is>
      </c>
      <c r="E106" s="4" t="inlineStr">
        <is>
          <t>FB-031, FB-037, FB-048</t>
        </is>
      </c>
      <c r="F106" s="4" t="inlineStr">
        <is>
          <t>Stories!B34</t>
        </is>
      </c>
    </row>
    <row r="107" ht="52" customHeight="1">
      <c r="A107" s="28" t="inlineStr">
        <is>
          <t>REQ-104</t>
        </is>
      </c>
      <c r="B107" s="28" t="inlineStr">
        <is>
          <t>Inventory management — first version, planning complete</t>
        </is>
      </c>
      <c r="C107" s="28" t="inlineStr">
        <is>
          <t>Current scope</t>
        </is>
      </c>
      <c r="D107" s="28" t="inlineStr">
        <is>
          <t>Tags are shared across the product catalogue: create a tag once and reuse it on multiple products. A product can have multiple tags or none.</t>
        </is>
      </c>
      <c r="E107" s="28" t="inlineStr">
        <is>
          <t>FB-031, FB-037, FB-048</t>
        </is>
      </c>
      <c r="F107" s="28" t="inlineStr">
        <is>
          <t>Stories!B34</t>
        </is>
      </c>
    </row>
    <row r="108" ht="76" customHeight="1">
      <c r="A108" s="4" t="inlineStr">
        <is>
          <t>REQ-105</t>
        </is>
      </c>
      <c r="B108" s="4" t="inlineStr">
        <is>
          <t>Inventory management — first version, planning complete</t>
        </is>
      </c>
      <c r="C108" s="4" t="inlineStr">
        <is>
          <t>Current scope</t>
        </is>
      </c>
      <c r="D108" s="4" t="inlineStr">
        <is>
          <t>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t>
        </is>
      </c>
      <c r="E108" s="4" t="inlineStr">
        <is>
          <t>FB-031, FB-037, FB-048</t>
        </is>
      </c>
      <c r="F108" s="4" t="inlineStr">
        <is>
          <t>Stories!B34</t>
        </is>
      </c>
    </row>
    <row r="109" ht="52" customHeight="1">
      <c r="A109" s="28" t="inlineStr">
        <is>
          <t>REQ-106</t>
        </is>
      </c>
      <c r="B109" s="28" t="inlineStr">
        <is>
          <t>Inventory management — first version, planning complete</t>
        </is>
      </c>
      <c r="C109" s="28" t="inlineStr">
        <is>
          <t>Current scope</t>
        </is>
      </c>
      <c r="D109" s="28" t="inlineStr">
        <is>
          <t>Different brands and package sizes are separate product records with their own stock counts, even when they share the same subcategory.</t>
        </is>
      </c>
      <c r="E109" s="28" t="inlineStr">
        <is>
          <t>FB-032–FB-037, FB-047–FB-053</t>
        </is>
      </c>
      <c r="F109" s="28" t="inlineStr">
        <is>
          <t>Stories!B35</t>
        </is>
      </c>
    </row>
    <row r="110" ht="52" customHeight="1">
      <c r="A110" s="4" t="inlineStr">
        <is>
          <t>REQ-107</t>
        </is>
      </c>
      <c r="B110" s="4" t="inlineStr">
        <is>
          <t>Inventory management — first version, planning complete</t>
        </is>
      </c>
      <c r="C110" s="4" t="inlineStr">
        <is>
          <t>Current scope</t>
        </is>
      </c>
      <c r="D110" s="4" t="inlineStr">
        <is>
          <t>Each product has a separate optional brand field. Unbranded products may leave it blank.</t>
        </is>
      </c>
      <c r="E110" s="4" t="inlineStr">
        <is>
          <t>FB-032–FB-037, FB-047–FB-053</t>
        </is>
      </c>
      <c r="F110" s="4" t="inlineStr">
        <is>
          <t>Stories!B35</t>
        </is>
      </c>
    </row>
    <row r="111" ht="91" customHeight="1">
      <c r="A111" s="28" t="inlineStr">
        <is>
          <t>REQ-108</t>
        </is>
      </c>
      <c r="B111" s="28" t="inlineStr">
        <is>
          <t>Inventory management — first version, planning complete</t>
        </is>
      </c>
      <c r="C111" s="28" t="inlineStr">
        <is>
          <t>Current scope</t>
        </is>
      </c>
      <c r="D111" s="28" t="inlineStr">
        <is>
          <t>Product form fields: required product name, full department/category/ subcategory selection, counting unit, positive contents per package/item, and status. Status defaults to Active. Brand and tags are optional. Choose a contents unit compatible with the selected subcategory's measure (weight, volume, or individual items). Product codes are generated automatically and stock starts at zero, not entered in this form.</t>
        </is>
      </c>
      <c r="E111" s="28" t="inlineStr">
        <is>
          <t>FB-032–FB-037, FB-047–FB-053</t>
        </is>
      </c>
      <c r="F111" s="28" t="inlineStr">
        <is>
          <t>Stories!B35</t>
        </is>
      </c>
    </row>
    <row r="112" ht="91" customHeight="1">
      <c r="A112" s="4" t="inlineStr">
        <is>
          <t>REQ-109</t>
        </is>
      </c>
      <c r="B112" s="4" t="inlineStr">
        <is>
          <t>Inventory management — first version, planning complete</t>
        </is>
      </c>
      <c r="C112" s="4" t="inlineStr">
        <is>
          <t>Current scope</t>
        </is>
      </c>
      <c r="D112" s="4" t="inlineStr">
        <is>
          <t>Prevent duplicate products when name, brand, subcategory, counting unit, and package contents all match an existing product. Different brands or package sizes remain separate products. Ignore capitalization and surrounding spaces in product names and brands. Compare equivalent contents across units (500 g equals 0.5 kg; 500 ml equals 0.5 litres). Include inactive products in duplicate checks; reactivate the existing record instead of duplicating it.</t>
        </is>
      </c>
      <c r="E112" s="4" t="inlineStr">
        <is>
          <t>FB-036</t>
        </is>
      </c>
      <c r="F112" s="4" t="inlineStr">
        <is>
          <t>Stories!B39</t>
        </is>
      </c>
    </row>
    <row r="113" ht="61" customHeight="1">
      <c r="A113" s="28" t="inlineStr">
        <is>
          <t>REQ-110</t>
        </is>
      </c>
      <c r="B113" s="28" t="inlineStr">
        <is>
          <t>Inventory management — first version, planning complete</t>
        </is>
      </c>
      <c r="C113" s="28" t="inlineStr">
        <is>
          <t>Current scope</t>
        </is>
      </c>
      <c r="D113" s="28" t="inlineStr">
        <is>
          <t>First-version stock quantities are whole-number counts of packages or individual items. Each product has one counting unit, such as can, bag, or box. Package size describes the product; stock counts packages/items.</t>
        </is>
      </c>
      <c r="E113" s="28" t="inlineStr">
        <is>
          <t>FB-032–FB-037, FB-047–FB-053</t>
        </is>
      </c>
      <c r="F113" s="28" t="inlineStr">
        <is>
          <t>Stories!B35</t>
        </is>
      </c>
    </row>
    <row r="114" ht="61" customHeight="1">
      <c r="A114" s="4" t="inlineStr">
        <is>
          <t>REQ-111</t>
        </is>
      </c>
      <c r="B114" s="4" t="inlineStr">
        <is>
          <t>Inventory management — first version, planning complete</t>
        </is>
      </c>
      <c r="C114" s="4" t="inlineStr">
        <is>
          <t>Current scope</t>
        </is>
      </c>
      <c r="D114" s="4" t="inlineStr">
        <is>
          <t>Package contents measured in individual items must be a positive whole number (for example, 6 or 12 eggs per carton, never 6.5). Weight and volume contents may use up to three decimal places. Movement quantities remain whole packages/items regardless of how package contents are measured.</t>
        </is>
      </c>
      <c r="E114" s="4" t="inlineStr">
        <is>
          <t>FB-032–FB-037, FB-047–FB-053</t>
        </is>
      </c>
      <c r="F114" s="4" t="inlineStr">
        <is>
          <t>Stories!B35</t>
        </is>
      </c>
    </row>
    <row r="115" ht="52" customHeight="1">
      <c r="A115" s="28" t="inlineStr">
        <is>
          <t>REQ-112</t>
        </is>
      </c>
      <c r="B115" s="28" t="inlineStr">
        <is>
          <t>Inventory management — first version, planning complete</t>
        </is>
      </c>
      <c r="C115" s="28" t="inlineStr">
        <is>
          <t>Current scope</t>
        </is>
      </c>
      <c r="D115" s="28" t="inlineStr">
        <is>
          <t>Use fixed dropdown choices for counting units: bag, box, can, bottle, carton, jar, packet, and individual item.</t>
        </is>
      </c>
      <c r="E115" s="28" t="inlineStr">
        <is>
          <t>FB-032–FB-037, FB-047–FB-053</t>
        </is>
      </c>
      <c r="F115" s="28" t="inlineStr">
        <is>
          <t>Stories!B35</t>
        </is>
      </c>
    </row>
    <row r="116" ht="151" customHeight="1">
      <c r="A116" s="4" t="inlineStr">
        <is>
          <t>REQ-113</t>
        </is>
      </c>
      <c r="B116" s="4" t="inlineStr">
        <is>
          <t>Inventory management — first version, planning complete</t>
        </is>
      </c>
      <c r="C116" s="4" t="inlineStr">
        <is>
          <t>Current scope</t>
        </is>
      </c>
      <c r="D116" s="4" t="inlineStr">
        <is>
          <t>Subcategory summary unit choices remain kilograms, litres, and individual items. Product package sizes use their saved unit (kg/g or litres/ml). Automatically convert grams to kilograms and millilitres to litres when calculating subcategory totals, then multiply package contents by available whole-package counts and add the results. For example, four 500 g bags, three 1 kg bags, and two 5 kg bags total 15 kg. Product package sizes retain their saved units; conversion does not allow partial-package movements. Display combined weight/volume totals in kg or litres with at most three decimal places, allowing fewer digits (for example, 1 kg, 0.25 kg, 0.125 kg). Keep calculation values exact and round only the displayed total when needed. Individual product sizes display in their saved units. Existing unit-locking rules after stock movements still apply, including the saved package contents unit.</t>
        </is>
      </c>
      <c r="E116" s="4" t="inlineStr">
        <is>
          <t>FB-029, FB-034, FB-053, FB-065–FB-066</t>
        </is>
      </c>
      <c r="F116" s="4" t="inlineStr">
        <is>
          <t>Stories!B32</t>
        </is>
      </c>
    </row>
    <row r="117" ht="52" customHeight="1">
      <c r="A117" s="28" t="inlineStr">
        <is>
          <t>REQ-114</t>
        </is>
      </c>
      <c r="B117" s="28" t="inlineStr">
        <is>
          <t>Inventory management — first version, planning complete</t>
        </is>
      </c>
      <c r="C117" s="28" t="inlineStr">
        <is>
          <t>##FUTURE</t>
        </is>
      </c>
      <c r="D117" s="28" t="inlineStr">
        <is>
          <t>##FUTURE Loose-weight quantities and general unit conversions beyond the agreed kg/g and litres/ml conversions for package contents and summaries.</t>
        </is>
      </c>
      <c r="E117" s="28" t="inlineStr">
        <is>
          <t>Deferred — no current item</t>
        </is>
      </c>
      <c r="F117" s="28" t="inlineStr">
        <is>
          <t>Deferred</t>
        </is>
      </c>
    </row>
    <row r="118" ht="52" customHeight="1">
      <c r="A118" s="4" t="inlineStr">
        <is>
          <t>REQ-115</t>
        </is>
      </c>
      <c r="B118" s="4" t="inlineStr">
        <is>
          <t>Inventory management — first version, planning complete</t>
        </is>
      </c>
      <c r="C118" s="4" t="inlineStr">
        <is>
          <t>Current scope</t>
        </is>
      </c>
      <c r="D118" s="4" t="inlineStr">
        <is>
          <t>Use one shared inventory for the first version, without separate stock balances for shelves, rooms, or branches.</t>
        </is>
      </c>
      <c r="E118" s="4" t="inlineStr">
        <is>
          <t>FB-049–FB-056, FB-063–FB-064, FB-068</t>
        </is>
      </c>
      <c r="F118" s="4" t="inlineStr">
        <is>
          <t>Stories!B53</t>
        </is>
      </c>
    </row>
    <row r="119" ht="52" customHeight="1">
      <c r="A119" s="28" t="inlineStr">
        <is>
          <t>REQ-116</t>
        </is>
      </c>
      <c r="B119" s="28" t="inlineStr">
        <is>
          <t>Inventory management — first version, planning complete</t>
        </is>
      </c>
      <c r="C119" s="28" t="inlineStr">
        <is>
          <t>##FUTURE</t>
        </is>
      </c>
      <c r="D119" s="28" t="inlineStr">
        <is>
          <t>##FUTURE Stock tracking by location.</t>
        </is>
      </c>
      <c r="E119" s="28" t="inlineStr">
        <is>
          <t>Deferred — no current item</t>
        </is>
      </c>
      <c r="F119" s="28" t="inlineStr">
        <is>
          <t>Deferred</t>
        </is>
      </c>
    </row>
    <row r="120" ht="61" customHeight="1">
      <c r="A120" s="4" t="inlineStr">
        <is>
          <t>REQ-117</t>
        </is>
      </c>
      <c r="B120" s="4" t="inlineStr">
        <is>
          <t>Inventory management — first version, planning complete</t>
        </is>
      </c>
      <c r="C120" s="4" t="inlineStr">
        <is>
          <t>Current scope</t>
        </is>
      </c>
      <c r="D120" s="4" t="inlineStr">
        <is>
          <t>Each subcategory has one summary unit, such as kilograms or individual items. Every product specifies how much one package/item contains in a compatible unit; reconcile that unit with the summary unit for totals.</t>
        </is>
      </c>
      <c r="E120" s="4" t="inlineStr">
        <is>
          <t>FB-029, FB-034, FB-053, FB-065–FB-066</t>
        </is>
      </c>
      <c r="F120" s="4" t="inlineStr">
        <is>
          <t>Stories!B32</t>
        </is>
      </c>
    </row>
    <row r="121" ht="61" customHeight="1">
      <c r="A121" s="28" t="inlineStr">
        <is>
          <t>REQ-118</t>
        </is>
      </c>
      <c r="B121" s="28" t="inlineStr">
        <is>
          <t>Inventory management — first version, planning complete</t>
        </is>
      </c>
      <c r="C121" s="28" t="inlineStr">
        <is>
          <t>Current scope</t>
        </is>
      </c>
      <c r="D121" s="28" t="inlineStr">
        <is>
          <t>Calculate subcategory totals by multiplying each product's whole-number stock count by its package contents and summing the results. For example, rice bags contribute kilograms and egg cartons contribute eggs.</t>
        </is>
      </c>
      <c r="E121" s="28" t="inlineStr">
        <is>
          <t>FB-029, FB-034, FB-053, FB-065–FB-066</t>
        </is>
      </c>
      <c r="F121" s="28" t="inlineStr">
        <is>
          <t>Stories!B32</t>
        </is>
      </c>
    </row>
    <row r="122" ht="52" customHeight="1">
      <c r="A122" s="4" t="inlineStr">
        <is>
          <t>REQ-119</t>
        </is>
      </c>
      <c r="B122" s="4" t="inlineStr">
        <is>
          <t>Inventory management — first version, planning complete</t>
        </is>
      </c>
      <c r="C122" s="4" t="inlineStr">
        <is>
          <t>Current scope</t>
        </is>
      </c>
      <c r="D122" s="4" t="inlineStr">
        <is>
          <t>These calculated summaries do not replace individual product balances.</t>
        </is>
      </c>
      <c r="E122" s="4" t="inlineStr">
        <is>
          <t>FB-029, FB-034, FB-053, FB-065–FB-066</t>
        </is>
      </c>
      <c r="F122" s="4" t="inlineStr">
        <is>
          <t>Stories!B32</t>
        </is>
      </c>
    </row>
    <row r="123" ht="52" customHeight="1">
      <c r="A123" s="28" t="inlineStr">
        <is>
          <t>REQ-120</t>
        </is>
      </c>
      <c r="B123" s="28" t="inlineStr">
        <is>
          <t>Inventory management — first version, planning complete</t>
        </is>
      </c>
      <c r="C123" s="28" t="inlineStr">
        <is>
          <t>Current scope</t>
        </is>
      </c>
      <c r="D123" s="28" t="inlineStr">
        <is>
          <t>Stock balances change only through recorded stock movements, not by directly editing a balance. Incoming movements increase stock and outgoing movements decrease it; balances reflect those movements.</t>
        </is>
      </c>
      <c r="E123" s="28" t="inlineStr">
        <is>
          <t>FB-049–FB-056, FB-063–FB-064, FB-068</t>
        </is>
      </c>
      <c r="F123" s="28" t="inlineStr">
        <is>
          <t>Stories!B53</t>
        </is>
      </c>
    </row>
    <row r="124" ht="52" customHeight="1">
      <c r="A124" s="4" t="inlineStr">
        <is>
          <t>REQ-121</t>
        </is>
      </c>
      <c r="B124" s="4" t="inlineStr">
        <is>
          <t>Inventory management — first version, planning complete</t>
        </is>
      </c>
      <c r="C124" s="4" t="inlineStr">
        <is>
          <t>Current scope</t>
        </is>
      </c>
      <c r="D124" s="4" t="inlineStr">
        <is>
          <t>First-version movement types: Receive (food arrives), Distribute (food goes to a household), and Adjust (count corrections or damaged/ spoiled food). Every adjustment requires a reason.</t>
        </is>
      </c>
      <c r="E124" s="4" t="inlineStr">
        <is>
          <t>FB-049–FB-056, FB-063–FB-064, FB-068</t>
        </is>
      </c>
      <c r="F124" s="4" t="inlineStr">
        <is>
          <t>Stories!B53</t>
        </is>
      </c>
    </row>
    <row r="125" ht="52" customHeight="1">
      <c r="A125" s="28" t="inlineStr">
        <is>
          <t>REQ-122</t>
        </is>
      </c>
      <c r="B125" s="28" t="inlineStr">
        <is>
          <t>Inventory management — first version, planning complete</t>
        </is>
      </c>
      <c r="C125" s="28" t="inlineStr">
        <is>
          <t>Current scope</t>
        </is>
      </c>
      <c r="D125" s="28" t="inlineStr">
        <is>
          <t>Every stock movement must prevent a product's stock from falling below zero. Reject any outgoing quantity greater than available stock.</t>
        </is>
      </c>
      <c r="E125" s="28" t="inlineStr">
        <is>
          <t>FB-049–FB-056, FB-063–FB-064, FB-068</t>
        </is>
      </c>
      <c r="F125" s="28" t="inlineStr">
        <is>
          <t>Stories!B53</t>
        </is>
      </c>
    </row>
    <row r="126" ht="91" customHeight="1">
      <c r="A126" s="4" t="inlineStr">
        <is>
          <t>REQ-123</t>
        </is>
      </c>
      <c r="B126" s="4" t="inlineStr">
        <is>
          <t>Inventory management — first version, planning complete</t>
        </is>
      </c>
      <c r="C126" s="4" t="inlineStr">
        <is>
          <t>Current scope</t>
        </is>
      </c>
      <c r="D126" s="4" t="inlineStr">
        <is>
          <t>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t>
        </is>
      </c>
      <c r="E126" s="4" t="inlineStr">
        <is>
          <t>FB-032–FB-037, FB-047–FB-053</t>
        </is>
      </c>
      <c r="F126" s="4" t="inlineStr">
        <is>
          <t>Stories!B35</t>
        </is>
      </c>
    </row>
    <row r="127" ht="52" customHeight="1">
      <c r="A127" s="28" t="inlineStr">
        <is>
          <t>REQ-124</t>
        </is>
      </c>
      <c r="B127" s="28" t="inlineStr">
        <is>
          <t>Inventory management — first version, planning complete</t>
        </is>
      </c>
      <c r="C127" s="28" t="inlineStr">
        <is>
          <t>Current scope</t>
        </is>
      </c>
      <c r="D127" s="28" t="inlineStr">
        <is>
          <t>One distribution belongs to one household and can include multiple products. Either all its stock changes succeed or none are saved. Use fictional sample households until household management is built.</t>
        </is>
      </c>
      <c r="E127" s="28" t="inlineStr">
        <is>
          <t>FB-057–FB-064</t>
        </is>
      </c>
      <c r="F127" s="28" t="inlineStr">
        <is>
          <t>Stories!B63</t>
        </is>
      </c>
    </row>
    <row r="128" ht="136" customHeight="1">
      <c r="A128" s="4" t="inlineStr">
        <is>
          <t>REQ-125</t>
        </is>
      </c>
      <c r="B128" s="4" t="inlineStr">
        <is>
          <t>Inventory management — first version, planning complete</t>
        </is>
      </c>
      <c r="C128" s="4" t="inlineStr">
        <is>
          <t>Current scope</t>
        </is>
      </c>
      <c r="D128" s="4" t="inlineStr">
        <is>
          <t>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t>
        </is>
      </c>
      <c r="E128" s="4" t="inlineStr">
        <is>
          <t>FB-057–FB-064</t>
        </is>
      </c>
      <c r="F128" s="4" t="inlineStr">
        <is>
          <t>Stories!B63</t>
        </is>
      </c>
    </row>
    <row r="129" ht="52" customHeight="1">
      <c r="A129" s="28" t="inlineStr">
        <is>
          <t>REQ-126</t>
        </is>
      </c>
      <c r="B129" s="28" t="inlineStr">
        <is>
          <t>Inventory management — first version, planning complete</t>
        </is>
      </c>
      <c r="C129" s="28" t="inlineStr">
        <is>
          <t>Current scope</t>
        </is>
      </c>
      <c r="D129" s="28" t="inlineStr">
        <is>
          <t>One Receive entry can include multiple products. Either all stock changes in that receipt succeed or none are saved.</t>
        </is>
      </c>
      <c r="E129" s="28" t="inlineStr">
        <is>
          <t>FB-049–FB-052</t>
        </is>
      </c>
      <c r="F129" s="28" t="inlineStr">
        <is>
          <t>Stories!B53</t>
        </is>
      </c>
    </row>
    <row r="130" ht="61" customHeight="1">
      <c r="A130" s="4" t="inlineStr">
        <is>
          <t>REQ-127</t>
        </is>
      </c>
      <c r="B130" s="4" t="inlineStr">
        <is>
          <t>Inventory management — first version, planning complete</t>
        </is>
      </c>
      <c r="C130" s="4" t="inlineStr">
        <is>
          <t>Current scope</t>
        </is>
      </c>
      <c r="D130" s="4" t="inlineStr">
        <is>
          <t>Each product may appear only once per Receive or Distribute entry. To change the amount, update its existing row's quantity rather than adding another row. Different products or package sizes may have separate rows.</t>
        </is>
      </c>
      <c r="E130" s="4" t="inlineStr">
        <is>
          <t>FB-050, FB-061</t>
        </is>
      </c>
      <c r="F130" s="4" t="inlineStr">
        <is>
          <t>Stories!B54</t>
        </is>
      </c>
    </row>
    <row r="131" ht="52" customHeight="1">
      <c r="A131" s="28" t="inlineStr">
        <is>
          <t>REQ-128</t>
        </is>
      </c>
      <c r="B131" s="28" t="inlineStr">
        <is>
          <t>Inventory management — first version, planning complete</t>
        </is>
      </c>
      <c r="C131" s="28" t="inlineStr">
        <is>
          <t>Current scope</t>
        </is>
      </c>
      <c r="D131" s="28" t="inlineStr">
        <is>
          <t>Each Receive entry has one optional notes field for the whole entry.</t>
        </is>
      </c>
      <c r="E131" s="28" t="inlineStr">
        <is>
          <t>FB-049–FB-052</t>
        </is>
      </c>
      <c r="F131" s="28" t="inlineStr">
        <is>
          <t>Stories!B53</t>
        </is>
      </c>
    </row>
    <row r="132" ht="61" customHeight="1">
      <c r="A132" s="4" t="inlineStr">
        <is>
          <t>REQ-129</t>
        </is>
      </c>
      <c r="B132" s="4" t="inlineStr">
        <is>
          <t>Inventory management — first version, planning complete</t>
        </is>
      </c>
      <c r="C132" s="4" t="inlineStr">
        <is>
          <t>Current scope</t>
        </is>
      </c>
      <c r="D132" s="4" t="inlineStr">
        <is>
          <t>Receive, Distribute, and Adjust movements automatically record the date and time they are saved. Users cannot change or backdate this timestamp. Stock changes when the entry is saved; the timestamp represents recording time, not necessarily the time food physically arrived or left.</t>
        </is>
      </c>
      <c r="E132" s="4" t="inlineStr">
        <is>
          <t>FB-049–FB-056, FB-063–FB-064, FB-068</t>
        </is>
      </c>
      <c r="F132" s="4" t="inlineStr">
        <is>
          <t>Stories!B53</t>
        </is>
      </c>
    </row>
    <row r="133" ht="52" customHeight="1">
      <c r="A133" s="28" t="inlineStr">
        <is>
          <t>REQ-130</t>
        </is>
      </c>
      <c r="B133" s="28" t="inlineStr">
        <is>
          <t>Inventory management — first version, planning complete</t>
        </is>
      </c>
      <c r="C133" s="28" t="inlineStr">
        <is>
          <t>##FUTURE</t>
        </is>
      </c>
      <c r="D133" s="28" t="inlineStr">
        <is>
          <t>##FUTURE User-entered or backdated stock-movement dates.</t>
        </is>
      </c>
      <c r="E133" s="28" t="inlineStr">
        <is>
          <t>Deferred — no current item</t>
        </is>
      </c>
      <c r="F133" s="28" t="inlineStr">
        <is>
          <t>Deferred</t>
        </is>
      </c>
    </row>
    <row r="134" ht="61" customHeight="1">
      <c r="A134" s="4" t="inlineStr">
        <is>
          <t>REQ-131</t>
        </is>
      </c>
      <c r="B134" s="4" t="inlineStr">
        <is>
          <t>Inventory management — first version, planning complete</t>
        </is>
      </c>
      <c r="C134" s="4" t="inlineStr">
        <is>
          <t>Current scope</t>
        </is>
      </c>
      <c r="D134" s="4" t="inlineStr">
        <is>
          <t>Each Adjust entry handles one product. The user selects Add or Remove, enters a positive whole-number quantity, and provides a required reason. Removing stock must still respect the non-negative balance rule.</t>
        </is>
      </c>
      <c r="E134" s="4" t="inlineStr">
        <is>
          <t>FB-055–FB-056</t>
        </is>
      </c>
      <c r="F134" s="4" t="inlineStr">
        <is>
          <t>Stories!B61</t>
        </is>
      </c>
    </row>
    <row r="135" ht="61" customHeight="1">
      <c r="A135" s="28" t="inlineStr">
        <is>
          <t>REQ-132</t>
        </is>
      </c>
      <c r="B135" s="28" t="inlineStr">
        <is>
          <t>Inventory management — first version, planning complete</t>
        </is>
      </c>
      <c r="C135" s="28" t="inlineStr">
        <is>
          <t>Current scope</t>
        </is>
      </c>
      <c r="D135" s="28" t="inlineStr">
        <is>
          <t>Managers and the Super Admin can view each product's stock-movement history in version one. Show movement type, quantity added or removed, date/time, resulting balance, who recorded it, and relevant details such as the receipt, distribution household, or adjustment reason.</t>
        </is>
      </c>
      <c r="E135" s="28" t="inlineStr">
        <is>
          <t>FB-054, FB-056, FB-063, FB-068</t>
        </is>
      </c>
      <c r="F135" s="28" t="inlineStr">
        <is>
          <t>Stories!B58</t>
        </is>
      </c>
    </row>
    <row r="136" ht="61" customHeight="1">
      <c r="A136" s="4" t="inlineStr">
        <is>
          <t>REQ-133</t>
        </is>
      </c>
      <c r="B136" s="4" t="inlineStr">
        <is>
          <t>Inventory management — first version, planning complete</t>
        </is>
      </c>
      <c r="C136" s="4" t="inlineStr">
        <is>
          <t>Current scope</t>
        </is>
      </c>
      <c r="D136" s="4" t="inlineStr">
        <is>
          <t>Show product stock-movement history on the product details page and combined subcategory totals on the subcategory management screen, for managers and the Super Admin. Volunteers cannot view stock history.</t>
        </is>
      </c>
      <c r="E136" s="4" t="inlineStr">
        <is>
          <t>FB-054, FB-066</t>
        </is>
      </c>
      <c r="F136" s="4" t="inlineStr">
        <is>
          <t>Stories!B58</t>
        </is>
      </c>
    </row>
    <row r="137" ht="52" customHeight="1">
      <c r="A137" s="28" t="inlineStr">
        <is>
          <t>REQ-134</t>
        </is>
      </c>
      <c r="B137" s="28" t="inlineStr">
        <is>
          <t>Inventory management — first version, planning complete</t>
        </is>
      </c>
      <c r="C137" s="28" t="inlineStr">
        <is>
          <t>Current scope</t>
        </is>
      </c>
      <c r="D137" s="28" t="inlineStr">
        <is>
          <t>History entries come from recorded movements automatically; users do not enter them separately. This inventory history is distinct from the broader account activity history deferred to future work.</t>
        </is>
      </c>
      <c r="E137" s="28" t="inlineStr">
        <is>
          <t>FB-054, FB-056, FB-063, FB-068</t>
        </is>
      </c>
      <c r="F137" s="28" t="inlineStr">
        <is>
          <t>Stories!B58</t>
        </is>
      </c>
    </row>
    <row r="138" ht="61" customHeight="1">
      <c r="A138" s="4" t="inlineStr">
        <is>
          <t>REQ-135</t>
        </is>
      </c>
      <c r="B138" s="4" t="inlineStr">
        <is>
          <t>Inventory management — first version, planning complete</t>
        </is>
      </c>
      <c r="C138" s="4" t="inlineStr">
        <is>
          <t>Current scope</t>
        </is>
      </c>
      <c r="D138" s="4" t="inlineStr">
        <is>
          <t>Saved stock movements cannot be edited or deleted in version one. Correct stock quantities through new adjustments with required reasons, preserving both the original movement and its correction in history.</t>
        </is>
      </c>
      <c r="E138" s="4" t="inlineStr">
        <is>
          <t>FB-054, FB-056, FB-063, FB-068</t>
        </is>
      </c>
      <c r="F138" s="4" t="inlineStr">
        <is>
          <t>Stories!B58</t>
        </is>
      </c>
    </row>
    <row r="139" ht="52" customHeight="1">
      <c r="A139" s="28" t="inlineStr">
        <is>
          <t>REQ-136</t>
        </is>
      </c>
      <c r="B139" s="28" t="inlineStr">
        <is>
          <t>Inventory management — first version, planning complete</t>
        </is>
      </c>
      <c r="C139" s="28" t="inlineStr">
        <is>
          <t>Current scope</t>
        </is>
      </c>
      <c r="D139" s="28" t="inlineStr">
        <is>
          <t>New products start with zero stock. Add any existing stock through a Receive entry so every opening quantity has a recorded origin.</t>
        </is>
      </c>
      <c r="E139" s="28" t="inlineStr">
        <is>
          <t>FB-049–FB-052</t>
        </is>
      </c>
      <c r="F139" s="28" t="inlineStr">
        <is>
          <t>Stories!B53</t>
        </is>
      </c>
    </row>
    <row r="140" ht="61" customHeight="1">
      <c r="A140" s="4" t="inlineStr">
        <is>
          <t>REQ-137</t>
        </is>
      </c>
      <c r="B140" s="4" t="inlineStr">
        <is>
          <t>Inventory management — first version, planning complete</t>
        </is>
      </c>
      <c r="C140" s="4" t="inlineStr">
        <is>
          <t>Current scope</t>
        </is>
      </c>
      <c r="D140" s="4" t="inlineStr">
        <is>
          <t>Products use Active/Inactive status instead of deletion in version one. A product can only be deactivated when its stock is zero. Inactive products cannot receive any stock movements until reactivated, but their records and stock-movement history remain available.</t>
        </is>
      </c>
      <c r="E140" s="4" t="inlineStr">
        <is>
          <t>FB-048, FB-053</t>
        </is>
      </c>
      <c r="F140" s="4" t="inlineStr">
        <is>
          <t>Stories!B51</t>
        </is>
      </c>
    </row>
    <row r="141" ht="52" customHeight="1">
      <c r="A141" s="28" t="inlineStr">
        <is>
          <t>REQ-138</t>
        </is>
      </c>
      <c r="B141" s="28" t="inlineStr">
        <is>
          <t>Inventory management — first version, planning complete</t>
        </is>
      </c>
      <c r="C141" s="28" t="inlineStr">
        <is>
          <t>Current scope</t>
        </is>
      </c>
      <c r="D141" s="28" t="inlineStr">
        <is>
          <t>After a product's first stock movement, lock its counting unit, package contents, and subcategory. Names and tags remain editable. Different package sizes require separate product records.</t>
        </is>
      </c>
      <c r="E141" s="28" t="inlineStr">
        <is>
          <t>FB-053</t>
        </is>
      </c>
      <c r="F141" s="28" t="inlineStr">
        <is>
          <t>Stories!B57</t>
        </is>
      </c>
    </row>
    <row r="142" ht="61" customHeight="1">
      <c r="A142" s="4" t="inlineStr">
        <is>
          <t>REQ-139</t>
        </is>
      </c>
      <c r="B142" s="4" t="inlineStr">
        <is>
          <t>Inventory management — first version, planning complete</t>
        </is>
      </c>
      <c r="C142" s="4" t="inlineStr">
        <is>
          <t>Current scope</t>
        </is>
      </c>
      <c r="D142" s="4" t="inlineStr">
        <is>
          <t>Lock a subcategory's summary unit once any product beneath it has a stock movement, preserving the meaning of product contents and totals. Receiving and issuing stock still uses whole packages/items of a specific product; partial-package movements are outside current scope.</t>
        </is>
      </c>
      <c r="E142" s="4" t="inlineStr">
        <is>
          <t>FB-053</t>
        </is>
      </c>
      <c r="F142" s="4" t="inlineStr">
        <is>
          <t>Stories!B57</t>
        </is>
      </c>
    </row>
    <row r="143" ht="52" customHeight="1">
      <c r="A143" s="28" t="inlineStr">
        <is>
          <t>REQ-140</t>
        </is>
      </c>
      <c r="B143" s="28" t="inlineStr">
        <is>
          <t>Inventory management — first version, planning complete</t>
        </is>
      </c>
      <c r="C143" s="28" t="inlineStr">
        <is>
          <t>Current scope</t>
        </is>
      </c>
      <c r="D143" s="28" t="inlineStr">
        <is>
          <t>Consistent units within a subcategory and readable summary formatting are in scope; general unit conversions and loose-weight movements remain future work.</t>
        </is>
      </c>
      <c r="E143" s="28" t="inlineStr">
        <is>
          <t>FB-029, FB-034, FB-053, FB-065–FB-066</t>
        </is>
      </c>
      <c r="F143" s="28" t="inlineStr">
        <is>
          <t>Stories!B32</t>
        </is>
      </c>
    </row>
    <row r="144" ht="52" customHeight="1">
      <c r="A144" s="4" t="inlineStr">
        <is>
          <t>REQ-141</t>
        </is>
      </c>
      <c r="B144" s="4" t="inlineStr">
        <is>
          <t>Inventory management — first version, planning complete</t>
        </is>
      </c>
      <c r="C144" s="4" t="inlineStr">
        <is>
          <t>Current scope</t>
        </is>
      </c>
      <c r="D144" s="4" t="inlineStr">
        <is>
          <t>Managers and the Super Admin can create and edit departments, categories, subcategories, products, and tags.</t>
        </is>
      </c>
      <c r="E144" s="4" t="inlineStr">
        <is>
          <t>FB-031, FB-037, FB-048</t>
        </is>
      </c>
      <c r="F144" s="4" t="inlineStr">
        <is>
          <t>Stories!B34</t>
        </is>
      </c>
    </row>
    <row r="145" ht="61" customHeight="1">
      <c r="A145" s="28" t="inlineStr">
        <is>
          <t>REQ-142</t>
        </is>
      </c>
      <c r="B145" s="28" t="inlineStr">
        <is>
          <t>Inventory management — first version, planning complete</t>
        </is>
      </c>
      <c r="C145" s="28" t="inlineStr">
        <is>
          <t>Current scope</t>
        </is>
      </c>
      <c r="D145" s="28" t="inlineStr">
        <is>
          <t>Include a product list showing product code, product name, category path, package contents, available stock, and status. Managers, the Super Admin, and volunteers can search by product code or product name and filter by department, category, subcategory, tag, and Active/Inactive status.</t>
        </is>
      </c>
      <c r="E145" s="28" t="inlineStr">
        <is>
          <t>FB-037–FB-046</t>
        </is>
      </c>
      <c r="F145" s="28" t="inlineStr">
        <is>
          <t>Stories!B40</t>
        </is>
      </c>
    </row>
    <row r="146" ht="52" customHeight="1">
      <c r="A146" s="4" t="inlineStr">
        <is>
          <t>REQ-143</t>
        </is>
      </c>
      <c r="B146" s="4" t="inlineStr">
        <is>
          <t>Inventory management — first version, planning complete</t>
        </is>
      </c>
      <c r="C146" s="4" t="inlineStr">
        <is>
          <t>Current scope</t>
        </is>
      </c>
      <c r="D146" s="4" t="inlineStr">
        <is>
          <t>Show 10 products per page. Search and filters apply across the full catalogue before results are divided into pages.</t>
        </is>
      </c>
      <c r="E146" s="4" t="inlineStr">
        <is>
          <t>FB-037–FB-046</t>
        </is>
      </c>
      <c r="F146" s="4" t="inlineStr">
        <is>
          <t>Stories!B40</t>
        </is>
      </c>
    </row>
    <row r="147" ht="52" customHeight="1">
      <c r="A147" s="28" t="inlineStr">
        <is>
          <t>REQ-144</t>
        </is>
      </c>
      <c r="B147" s="28" t="inlineStr">
        <is>
          <t>Inventory management — first version, planning complete</t>
        </is>
      </c>
      <c r="C147" s="28" t="inlineStr">
        <is>
          <t>Verification</t>
        </is>
      </c>
      <c r="D147" s="28" t="inlineStr">
        <is>
          <t>Inventory planning and the following verification checklist are approved. These are future checks; no implementation or successful tests are claimed.</t>
        </is>
      </c>
      <c r="E147" s="28" t="inlineStr">
        <is>
          <t>FB-067–FB-069</t>
        </is>
      </c>
      <c r="F147" s="28" t="inlineStr">
        <is>
          <t>Stories!B52</t>
        </is>
      </c>
    </row>
    <row r="148" ht="52" customHeight="1">
      <c r="A148" s="4" t="inlineStr">
        <is>
          <t>REQ-145</t>
        </is>
      </c>
      <c r="B148" s="4" t="inlineStr">
        <is>
          <t>Inventory management — first version, planning complete</t>
        </is>
      </c>
      <c r="C148" s="4" t="inlineStr">
        <is>
          <t>Verification</t>
        </is>
      </c>
      <c r="D148" s="4" t="inlineStr">
        <is>
          <t>Verify permanent codes, duplicate prevention, required fields, and units.</t>
        </is>
      </c>
      <c r="E148" s="4" t="inlineStr">
        <is>
          <t>FB-067, FB-069</t>
        </is>
      </c>
      <c r="F148" s="4" t="inlineStr">
        <is>
          <t>Stories!B52</t>
        </is>
      </c>
    </row>
    <row r="149" ht="52" customHeight="1">
      <c r="A149" s="28" t="inlineStr">
        <is>
          <t>REQ-146</t>
        </is>
      </c>
      <c r="B149" s="28" t="inlineStr">
        <is>
          <t>Inventory management — first version, planning complete</t>
        </is>
      </c>
      <c r="C149" s="28" t="inlineStr">
        <is>
          <t>Verification</t>
        </is>
      </c>
      <c r="D149" s="28" t="inlineStr">
        <is>
          <t>Verify Receive, Distribute, and Adjust balances; prevent negative stock, including when multiple users save simultaneously.</t>
        </is>
      </c>
      <c r="E149" s="28" t="inlineStr">
        <is>
          <t>FB-051, FB-052, FB-056, FB-063, FB-068, FB-069</t>
        </is>
      </c>
      <c r="F149" s="28" t="inlineStr">
        <is>
          <t>Stories!B55</t>
        </is>
      </c>
    </row>
    <row r="150" ht="52" customHeight="1">
      <c r="A150" s="4" t="inlineStr">
        <is>
          <t>REQ-147</t>
        </is>
      </c>
      <c r="B150" s="4" t="inlineStr">
        <is>
          <t>Inventory management — first version, planning complete</t>
        </is>
      </c>
      <c r="C150" s="4" t="inlineStr">
        <is>
          <t>Verification</t>
        </is>
      </c>
      <c r="D150" s="4" t="inlineStr">
        <is>
          <t>Verify multi-product entries save all movements together or none.</t>
        </is>
      </c>
      <c r="E150" s="4" t="inlineStr">
        <is>
          <t>FB-051, FB-063, FB-068, FB-069</t>
        </is>
      </c>
      <c r="F150" s="4" t="inlineStr">
        <is>
          <t>Stories!B55</t>
        </is>
      </c>
    </row>
    <row r="151" ht="52" customHeight="1">
      <c r="A151" s="28" t="inlineStr">
        <is>
          <t>REQ-148</t>
        </is>
      </c>
      <c r="B151" s="28" t="inlineStr">
        <is>
          <t>Inventory management — first version, planning complete</t>
        </is>
      </c>
      <c r="C151" s="28" t="inlineStr">
        <is>
          <t>Verification</t>
        </is>
      </c>
      <c r="D151" s="28" t="inlineStr">
        <is>
          <t>Verify whole-package movements, one row per product, and correct unit conversion and summary calculations/display.</t>
        </is>
      </c>
      <c r="E151" s="28" t="inlineStr">
        <is>
          <t>FB-050, FB-061, FB-065, FB-066, FB-068, FB-069</t>
        </is>
      </c>
      <c r="F151" s="28" t="inlineStr">
        <is>
          <t>Stories!B54</t>
        </is>
      </c>
    </row>
    <row r="152" ht="52" customHeight="1">
      <c r="A152" s="4" t="inlineStr">
        <is>
          <t>REQ-149</t>
        </is>
      </c>
      <c r="B152" s="4" t="inlineStr">
        <is>
          <t>Inventory management — first version, planning complete</t>
        </is>
      </c>
      <c r="C152" s="4" t="inlineStr">
        <is>
          <t>Verification</t>
        </is>
      </c>
      <c r="D152" s="4" t="inlineStr">
        <is>
          <t>Verify inactive-product restrictions, zero stock before deactivation, and protected contents/units after movements.</t>
        </is>
      </c>
      <c r="E152" s="4" t="inlineStr">
        <is>
          <t>FB-048, FB-053, FB-068, FB-069</t>
        </is>
      </c>
      <c r="F152" s="4" t="inlineStr">
        <is>
          <t>Stories!B51</t>
        </is>
      </c>
    </row>
    <row r="153" ht="52" customHeight="1">
      <c r="A153" s="28" t="inlineStr">
        <is>
          <t>REQ-150</t>
        </is>
      </c>
      <c r="B153" s="28" t="inlineStr">
        <is>
          <t>Inventory management — first version, planning complete</t>
        </is>
      </c>
      <c r="C153" s="28" t="inlineStr">
        <is>
          <t>Verification</t>
        </is>
      </c>
      <c r="D153" s="28" t="inlineStr">
        <is>
          <t>Verify role permissions on the server, including direct requests: volunteers may record movements and view balances, but cannot edit the catalogue or view history.</t>
        </is>
      </c>
      <c r="E153" s="28" t="inlineStr">
        <is>
          <t>FB-067, FB-051, FB-054, FB-056, FB-063, FB-066, FB-068, FB-069</t>
        </is>
      </c>
      <c r="F153" s="28" t="inlineStr">
        <is>
          <t>Stories!B52</t>
        </is>
      </c>
    </row>
    <row r="154" ht="52" customHeight="1">
      <c r="A154" s="4" t="inlineStr">
        <is>
          <t>REQ-151</t>
        </is>
      </c>
      <c r="B154" s="4" t="inlineStr">
        <is>
          <t>Inventory management — first version, planning complete</t>
        </is>
      </c>
      <c r="C154" s="4" t="inlineStr">
        <is>
          <t>Verification</t>
        </is>
      </c>
      <c r="D154" s="4" t="inlineStr">
        <is>
          <t>Verify search, filters, pagination, household selection, confirmation, errors, retained input, and success feedback.</t>
        </is>
      </c>
      <c r="E154" s="4" t="inlineStr">
        <is>
          <t>FB-067, FB-052, FB-058, FB-060, FB-062, FB-064, FB-068, FB-069</t>
        </is>
      </c>
      <c r="F154" s="4" t="inlineStr">
        <is>
          <t>Stories!B52</t>
        </is>
      </c>
    </row>
    <row r="155" ht="52" customHeight="1">
      <c r="A155" s="28" t="inlineStr">
        <is>
          <t>REQ-152</t>
        </is>
      </c>
      <c r="B155" s="28" t="inlineStr">
        <is>
          <t>##FUTURE — Confirmed future direction</t>
        </is>
      </c>
      <c r="C155" s="28" t="inlineStr">
        <is>
          <t>##FUTURE</t>
        </is>
      </c>
      <c r="D155" s="28" t="inlineStr">
        <is>
          <t>##FUTURE Batch and expiry tracking, including separate expiry dates for different deliveries of the same product. Version one tracks stock at product level without batch or expiry balances.</t>
        </is>
      </c>
      <c r="E155" s="28" t="inlineStr">
        <is>
          <t>Deferred — no current item</t>
        </is>
      </c>
      <c r="F155" s="28" t="inlineStr">
        <is>
          <t>Deferred</t>
        </is>
      </c>
    </row>
    <row r="156" ht="52" customHeight="1">
      <c r="A156" s="4" t="inlineStr">
        <is>
          <t>REQ-153</t>
        </is>
      </c>
      <c r="B156" s="4" t="inlineStr">
        <is>
          <t>##FUTURE — Confirmed future direction</t>
        </is>
      </c>
      <c r="C156" s="4" t="inlineStr">
        <is>
          <t>##FUTURE</t>
        </is>
      </c>
      <c r="D156" s="4" t="inlineStr">
        <is>
          <t>##FUTURE Donation management module; detailed requirements remain undecided.</t>
        </is>
      </c>
      <c r="E156" s="4" t="inlineStr">
        <is>
          <t>Deferred — no current item</t>
        </is>
      </c>
      <c r="F156" s="4" t="inlineStr">
        <is>
          <t>Deferred</t>
        </is>
      </c>
    </row>
    <row r="157" ht="52" customHeight="1">
      <c r="A157" s="28" t="inlineStr">
        <is>
          <t>REQ-154</t>
        </is>
      </c>
      <c r="B157" s="28" t="inlineStr">
        <is>
          <t>##FUTURE — Confirmed future direction</t>
        </is>
      </c>
      <c r="C157" s="28" t="inlineStr">
        <is>
          <t>##FUTURE</t>
        </is>
      </c>
      <c r="D157" s="28" t="inlineStr">
        <is>
          <t>##FUTURE Purchase management module; detailed requirements remain undecided.</t>
        </is>
      </c>
      <c r="E157" s="28" t="inlineStr">
        <is>
          <t>Deferred — no current item</t>
        </is>
      </c>
      <c r="F157" s="28" t="inlineStr">
        <is>
          <t>Deferred</t>
        </is>
      </c>
    </row>
    <row r="158" ht="52" customHeight="1">
      <c r="A158" s="4" t="inlineStr">
        <is>
          <t>REQ-155</t>
        </is>
      </c>
      <c r="B158" s="4" t="inlineStr">
        <is>
          <t>##FUTURE — Confirmed future direction</t>
        </is>
      </c>
      <c r="C158" s="4" t="inlineStr">
        <is>
          <t>##FUTURE</t>
        </is>
      </c>
      <c r="D158" s="4" t="inlineStr">
        <is>
          <t>##FUTURE Stock tracking by location.</t>
        </is>
      </c>
      <c r="E158" s="4" t="inlineStr">
        <is>
          <t>Deferred — no current item</t>
        </is>
      </c>
      <c r="F158" s="4" t="inlineStr">
        <is>
          <t>Deferred</t>
        </is>
      </c>
    </row>
    <row r="159" ht="52" customHeight="1">
      <c r="A159" s="28" t="inlineStr">
        <is>
          <t>REQ-156</t>
        </is>
      </c>
      <c r="B159" s="28" t="inlineStr">
        <is>
          <t>##FUTURE — Confirmed future direction</t>
        </is>
      </c>
      <c r="C159" s="28" t="inlineStr">
        <is>
          <t>##FUTURE</t>
        </is>
      </c>
      <c r="D159" s="28" t="inlineStr">
        <is>
          <t>##FUTURE Inventory quantities measured by loose weight and conversions between units. Detailed requirements remain undecided.</t>
        </is>
      </c>
      <c r="E159" s="28" t="inlineStr">
        <is>
          <t>Deferred — no current item</t>
        </is>
      </c>
      <c r="F159" s="28" t="inlineStr">
        <is>
          <t>Deferred</t>
        </is>
      </c>
    </row>
    <row r="160" ht="52" customHeight="1">
      <c r="A160" s="4" t="inlineStr">
        <is>
          <t>REQ-157</t>
        </is>
      </c>
      <c r="B160" s="4" t="inlineStr">
        <is>
          <t>##FUTURE — Confirmed future direction</t>
        </is>
      </c>
      <c r="C160" s="4" t="inlineStr">
        <is>
          <t>##FUTURE</t>
        </is>
      </c>
      <c r="D160" s="4" t="inlineStr">
        <is>
          <t>##FUTURE Activity history recording who created, edited, activated, deactivated, or reset an account. Detailed requirements remain undecided.</t>
        </is>
      </c>
      <c r="E160" s="4" t="inlineStr">
        <is>
          <t>Deferred — no current item</t>
        </is>
      </c>
      <c r="F160" s="4" t="inlineStr">
        <is>
          <t>Deferred</t>
        </is>
      </c>
    </row>
    <row r="161" ht="52" customHeight="1">
      <c r="A161" s="28" t="inlineStr">
        <is>
          <t>REQ-158</t>
        </is>
      </c>
      <c r="B161" s="28" t="inlineStr">
        <is>
          <t>##FUTURE — Confirmed future direction</t>
        </is>
      </c>
      <c r="C161" s="28" t="inlineStr">
        <is>
          <t>##FUTURE</t>
        </is>
      </c>
      <c r="D161" s="28" t="inlineStr">
        <is>
          <t>##FUTURE Household registration and management.</t>
        </is>
      </c>
      <c r="E161" s="28" t="inlineStr">
        <is>
          <t>Deferred — no current item</t>
        </is>
      </c>
      <c r="F161" s="28" t="inlineStr">
        <is>
          <t>Deferred</t>
        </is>
      </c>
    </row>
    <row r="162" ht="52" customHeight="1">
      <c r="A162" s="4" t="inlineStr">
        <is>
          <t>REQ-159</t>
        </is>
      </c>
      <c r="B162" s="4" t="inlineStr">
        <is>
          <t>##FUTURE — Confirmed future direction</t>
        </is>
      </c>
      <c r="C162" s="4" t="inlineStr">
        <is>
          <t>##FUTURE</t>
        </is>
      </c>
      <c r="D162" s="4" t="inlineStr">
        <is>
          <t>##FUTURE Appointment management.</t>
        </is>
      </c>
      <c r="E162" s="4" t="inlineStr">
        <is>
          <t>Deferred — no current item</t>
        </is>
      </c>
      <c r="F162" s="4" t="inlineStr">
        <is>
          <t>Deferred</t>
        </is>
      </c>
    </row>
    <row r="163" ht="52" customHeight="1">
      <c r="A163" s="28" t="inlineStr">
        <is>
          <t>REQ-160</t>
        </is>
      </c>
      <c r="B163" s="28" t="inlineStr">
        <is>
          <t>##FUTURE — Confirmed future direction</t>
        </is>
      </c>
      <c r="C163" s="28" t="inlineStr">
        <is>
          <t>##FUTURE</t>
        </is>
      </c>
      <c r="D163" s="28" t="inlineStr">
        <is>
          <t>##FUTURE Email-based initial password setup links.</t>
        </is>
      </c>
      <c r="E163" s="28" t="inlineStr">
        <is>
          <t>Deferred — no current item</t>
        </is>
      </c>
      <c r="F163" s="28" t="inlineStr">
        <is>
          <t>Deferred</t>
        </is>
      </c>
    </row>
    <row r="164" ht="52" customHeight="1">
      <c r="A164" s="4" t="inlineStr">
        <is>
          <t>REQ-161</t>
        </is>
      </c>
      <c r="B164" s="4" t="inlineStr">
        <is>
          <t>##FUTURE — Confirmed future direction</t>
        </is>
      </c>
      <c r="C164" s="4" t="inlineStr">
        <is>
          <t>##FUTURE</t>
        </is>
      </c>
      <c r="D164" s="4"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64" s="4" t="inlineStr">
        <is>
          <t>Deferred — no current item</t>
        </is>
      </c>
      <c r="F164" s="4" t="inlineStr">
        <is>
          <t>Deferred</t>
        </is>
      </c>
    </row>
    <row r="165" ht="52" customHeight="1">
      <c r="A165" s="28" t="inlineStr">
        <is>
          <t>REQ-162</t>
        </is>
      </c>
      <c r="B165" s="28" t="inlineStr">
        <is>
          <t>##FUTURE — Confirmed future direction</t>
        </is>
      </c>
      <c r="C165" s="28" t="inlineStr">
        <is>
          <t>##FUTURE</t>
        </is>
      </c>
      <c r="D165" s="28" t="inlineStr">
        <is>
          <t>##FUTURE Self-service profile editing (name, email, and phone).</t>
        </is>
      </c>
      <c r="E165" s="28" t="inlineStr">
        <is>
          <t>Deferred — no current item</t>
        </is>
      </c>
      <c r="F165" s="28" t="inlineStr">
        <is>
          <t>Deferred</t>
        </is>
      </c>
    </row>
    <row r="166" ht="52" customHeight="1">
      <c r="A166" s="4" t="inlineStr">
        <is>
          <t>REQ-163</t>
        </is>
      </c>
      <c r="B166" s="4" t="inlineStr">
        <is>
          <t>##FUTURE — Confirmed future direction</t>
        </is>
      </c>
      <c r="C166" s="4" t="inlineStr">
        <is>
          <t>##FUTURE</t>
        </is>
      </c>
      <c r="D166" s="4" t="inlineStr">
        <is>
          <t>##FUTURE Volunteer deletion; deletion and record-retention rules remain undecided.</t>
        </is>
      </c>
      <c r="E166" s="4" t="inlineStr">
        <is>
          <t>Deferred — no current item</t>
        </is>
      </c>
      <c r="F166" s="4" t="inlineStr">
        <is>
          <t>Deferred</t>
        </is>
      </c>
    </row>
    <row r="167" ht="52" customHeight="1">
      <c r="A167" s="28" t="inlineStr">
        <is>
          <t>REQ-164</t>
        </is>
      </c>
      <c r="B167" s="28" t="inlineStr">
        <is>
          <t>##FUTURE — Confirmed future direction</t>
        </is>
      </c>
      <c r="C167" s="28" t="inlineStr">
        <is>
          <t>##FUTURE</t>
        </is>
      </c>
      <c r="D167" s="28" t="inlineStr">
        <is>
          <t>##FUTURE Broader volunteer module, beyond basic data management; specific capabilities still need discussion.</t>
        </is>
      </c>
      <c r="E167" s="28" t="inlineStr">
        <is>
          <t>Deferred — no current item</t>
        </is>
      </c>
      <c r="F167" s="28" t="inlineStr">
        <is>
          <t>Deferred</t>
        </is>
      </c>
    </row>
    <row r="168" ht="52" customHeight="1">
      <c r="A168" s="4" t="inlineStr">
        <is>
          <t>REQ-165</t>
        </is>
      </c>
      <c r="B168" s="4" t="inlineStr">
        <is>
          <t>##FUTURE — Confirmed future direction</t>
        </is>
      </c>
      <c r="C168" s="4" t="inlineStr">
        <is>
          <t>##FUTURE</t>
        </is>
      </c>
      <c r="D168" s="4" t="inlineStr">
        <is>
          <t>##FUTURE Additional roles, to be defined later.</t>
        </is>
      </c>
      <c r="E168" s="4" t="inlineStr">
        <is>
          <t>Deferred — no current item</t>
        </is>
      </c>
      <c r="F168" s="4" t="inlineStr">
        <is>
          <t>Deferred</t>
        </is>
      </c>
    </row>
    <row r="169" ht="52" customHeight="1">
      <c r="A169" s="28" t="inlineStr">
        <is>
          <t>REQ-166</t>
        </is>
      </c>
      <c r="B169" s="28" t="inlineStr">
        <is>
          <t>1. Roles and account creation</t>
        </is>
      </c>
      <c r="C169" s="28" t="inlineStr">
        <is>
          <t>Current scope</t>
        </is>
      </c>
      <c r="D169" s="28"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169" s="28" t="inlineStr">
        <is>
          <t>FB-021</t>
        </is>
      </c>
      <c r="F169" s="28" t="inlineStr">
        <is>
          <t>Stories!B25</t>
        </is>
      </c>
    </row>
    <row r="170" ht="76" customHeight="1">
      <c r="A170" s="4" t="inlineStr">
        <is>
          <t>REQ-167</t>
        </is>
      </c>
      <c r="B170" s="4" t="inlineStr">
        <is>
          <t>Business context</t>
        </is>
      </c>
      <c r="C170" s="4" t="inlineStr">
        <is>
          <t>Current scope</t>
        </is>
      </c>
      <c r="D170" s="4" t="inlineStr">
        <is>
          <t>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t>
        </is>
      </c>
      <c r="E170" s="4" t="inlineStr">
        <is>
          <t>FB-057</t>
        </is>
      </c>
      <c r="F170" s="4" t="inlineStr">
        <is>
          <t>Stories!B63</t>
        </is>
      </c>
    </row>
    <row r="171" ht="52" customHeight="1">
      <c r="A171" s="28" t="inlineStr">
        <is>
          <t>REQ-168</t>
        </is>
      </c>
      <c r="B171" s="28" t="inlineStr">
        <is>
          <t>Business context</t>
        </is>
      </c>
      <c r="C171" s="28" t="inlineStr">
        <is>
          <t>Current scope</t>
        </is>
      </c>
      <c r="D171" s="28" t="inlineStr">
        <is>
          <t>Food recipients belong to registered households.</t>
        </is>
      </c>
      <c r="E171" s="28" t="inlineStr">
        <is>
          <t>FB-057–FB-064</t>
        </is>
      </c>
      <c r="F171" s="28" t="inlineStr">
        <is>
          <t>Stories!B63</t>
        </is>
      </c>
    </row>
    <row r="172" ht="52" customHeight="1">
      <c r="A172" s="4" t="inlineStr">
        <is>
          <t>REQ-169</t>
        </is>
      </c>
      <c r="B172" s="4" t="inlineStr">
        <is>
          <t>Business context</t>
        </is>
      </c>
      <c r="C172" s="4" t="inlineStr">
        <is>
          <t>Current scope</t>
        </is>
      </c>
      <c r="D172" s="4" t="inlineStr">
        <is>
          <t>Assume households have appointments when they arrive to receive food.</t>
        </is>
      </c>
      <c r="E172" s="4" t="inlineStr">
        <is>
          <t>FB-057–FB-064</t>
        </is>
      </c>
      <c r="F172" s="4" t="inlineStr">
        <is>
          <t>Stories!B63</t>
        </is>
      </c>
    </row>
    <row r="173" ht="61" customHeight="1">
      <c r="A173" s="28" t="inlineStr">
        <is>
          <t>REQ-170</t>
        </is>
      </c>
      <c r="B173" s="28" t="inlineStr">
        <is>
          <t>Business context</t>
        </is>
      </c>
      <c r="C173" s="28" t="inlineStr">
        <is>
          <t>Current scope</t>
        </is>
      </c>
      <c r="D173" s="28" t="inlineStr">
        <is>
          <t>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t>
        </is>
      </c>
      <c r="E173" s="28" t="inlineStr">
        <is>
          <t>FB-057–FB-064</t>
        </is>
      </c>
      <c r="F173" s="28" t="inlineStr">
        <is>
          <t>Stories!B63</t>
        </is>
      </c>
    </row>
    <row r="174" ht="61" customHeight="1">
      <c r="A174" s="4" t="inlineStr">
        <is>
          <t>REQ-171</t>
        </is>
      </c>
      <c r="B174" s="4" t="inlineStr">
        <is>
          <t>Business context</t>
        </is>
      </c>
      <c r="C174" s="4" t="inlineStr">
        <is>
          <t>Current scope</t>
        </is>
      </c>
      <c r="D174" s="4" t="inlineStr">
        <is>
          <t>Inventory management and household distribution are approved for the first version as detailed above. Donation and purchase management remain future modules. Additional reporting beyond agreed subcategory totals and stock history has not been approved.</t>
        </is>
      </c>
      <c r="E174" s="4" t="inlineStr">
        <is>
          <t>FB-057–FB-064</t>
        </is>
      </c>
      <c r="F174" s="4" t="inlineStr">
        <is>
          <t>Stories!B63</t>
        </is>
      </c>
    </row>
    <row r="175" ht="61" customHeight="1">
      <c r="A175" s="28" t="inlineStr">
        <is>
          <t>REQ-172</t>
        </is>
      </c>
      <c r="B175" s="28" t="inlineStr">
        <is>
          <t>Build order</t>
        </is>
      </c>
      <c r="C175" s="28" t="inlineStr">
        <is>
          <t>Project context</t>
        </is>
      </c>
      <c r="D175" s="28" t="inlineStr">
        <is>
          <t>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E175" s="28" t="inlineStr">
        <is>
          <t>All current items</t>
        </is>
      </c>
      <c r="F175" s="28" t="inlineStr">
        <is>
          <t>Stories!B4</t>
        </is>
      </c>
    </row>
    <row r="176" ht="52" customHeight="1">
      <c r="A176" s="4" t="inlineStr">
        <is>
          <t>REQ-173</t>
        </is>
      </c>
      <c r="B176" s="4" t="inlineStr">
        <is>
          <t>Build order</t>
        </is>
      </c>
      <c r="C176" s="4" t="inlineStr">
        <is>
          <t>Project context</t>
        </is>
      </c>
      <c r="D176" s="4" t="inlineStr">
        <is>
          <t>Ask the developer to test first; test on their behalf only if delegated. A done response to test instructions confirms the developer tested it.</t>
        </is>
      </c>
      <c r="E176" s="4" t="inlineStr">
        <is>
          <t>All current items</t>
        </is>
      </c>
      <c r="F176" s="4" t="inlineStr">
        <is>
          <t>Stories!B4</t>
        </is>
      </c>
    </row>
    <row r="177" ht="100" customHeight="1">
      <c r="A177" s="28" t="inlineStr">
        <is>
          <t>REQ-174</t>
        </is>
      </c>
      <c r="B177" s="28" t="inlineStr">
        <is>
          <t>Build order</t>
        </is>
      </c>
      <c r="C177" s="28" t="inlineStr">
        <is>
          <t>Project context</t>
        </is>
      </c>
      <c r="D177" s="28" t="inlineStr">
        <is>
          <t>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t>
        </is>
      </c>
      <c r="E177" s="28" t="inlineStr">
        <is>
          <t>All current items</t>
        </is>
      </c>
      <c r="F177" s="28" t="inlineStr">
        <is>
          <t>Stories!B4</t>
        </is>
      </c>
    </row>
    <row r="178" ht="52" customHeight="1">
      <c r="A178" s="4" t="inlineStr">
        <is>
          <t>REQ-175</t>
        </is>
      </c>
      <c r="B178" s="4" t="inlineStr">
        <is>
          <t>Build order</t>
        </is>
      </c>
      <c r="C178" s="4" t="inlineStr">
        <is>
          <t>Project context</t>
        </is>
      </c>
      <c r="D178" s="4" t="inlineStr">
        <is>
          <t>Fixed ordering constraint: implement Super Admin recovery last.</t>
        </is>
      </c>
      <c r="E178" s="4" t="inlineStr">
        <is>
          <t>All current items</t>
        </is>
      </c>
      <c r="F178" s="4" t="inlineStr">
        <is>
          <t>Stories!B4</t>
        </is>
      </c>
    </row>
    <row r="179" ht="110" customHeight="1">
      <c r="A179" s="9" t="inlineStr">
        <is>
          <t>REQ-176</t>
        </is>
      </c>
      <c r="B179" s="9" t="inlineStr">
        <is>
          <t>Login design</t>
        </is>
      </c>
      <c r="C179" s="9" t="inlineStr">
        <is>
          <t>Current scope</t>
        </is>
      </c>
      <c r="D179" s="9" t="inlineStr">
        <is>
          <t>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t>
        </is>
      </c>
      <c r="E179" s="9" t="inlineStr">
        <is>
          <t>FB-002</t>
        </is>
      </c>
      <c r="F179" s="9" t="inlineStr">
        <is>
          <t>Stories!B5</t>
        </is>
      </c>
    </row>
    <row r="180" ht="110" customHeight="1">
      <c r="A180" s="4" t="inlineStr">
        <is>
          <t>REQ-177</t>
        </is>
      </c>
      <c r="B180" s="4" t="inlineStr">
        <is>
          <t>Login redesign task</t>
        </is>
      </c>
      <c r="C180" s="4" t="inlineStr">
        <is>
          <t>##FUTURE</t>
        </is>
      </c>
      <c r="D180" s="4" t="inlineStr">
        <is>
          <t>##FUTURE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t>
        </is>
      </c>
      <c r="E180" s="4" t="inlineStr">
        <is>
          <t>FB-002–FB-008 (prerequisites)</t>
        </is>
      </c>
      <c r="F180" s="4" t="inlineStr">
        <is>
          <t>Stories!B5</t>
        </is>
      </c>
    </row>
    <row r="181" ht="100" customHeight="1">
      <c r="A181" s="9" t="inlineStr">
        <is>
          <t>REQ-178</t>
        </is>
      </c>
      <c r="B181" s="9" t="inlineStr">
        <is>
          <t>Shared login: Remember me</t>
        </is>
      </c>
      <c r="C181" s="9" t="inlineStr">
        <is>
          <t>Current scope</t>
        </is>
      </c>
      <c r="D181" s="9" t="inlineStr">
        <is>
          <t>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81" s="9" t="inlineStr">
        <is>
          <t>FB-002, FB-003, FB-005</t>
        </is>
      </c>
      <c r="F181" s="9" t="inlineStr">
        <is>
          <t>Stories!B5</t>
        </is>
      </c>
    </row>
    <row r="182" ht="100" customHeight="1">
      <c r="A182" s="9" t="inlineStr">
        <is>
          <t>REQ-179</t>
        </is>
      </c>
      <c r="B182" s="9" t="inlineStr">
        <is>
          <t>Login keyboard order</t>
        </is>
      </c>
      <c r="C182" s="9" t="inlineStr">
        <is>
          <t>Current scope</t>
        </is>
      </c>
      <c r="D182" s="9" t="inlineStr">
        <is>
          <t>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t>
        </is>
      </c>
      <c r="E182" s="9" t="inlineStr">
        <is>
          <t>FB-003</t>
        </is>
      </c>
      <c r="F182" s="9" t="inlineStr">
        <is>
          <t>Stories!B6</t>
        </is>
      </c>
    </row>
    <row r="183">
      <c r="A183" t="inlineStr">
        <is>
          <t>REQ-180</t>
        </is>
      </c>
      <c r="B183" t="inlineStr">
        <is>
          <t>User details and navigation</t>
        </is>
      </c>
      <c r="C183" t="inlineStr">
        <is>
          <t>Current scope</t>
        </is>
      </c>
      <c r="D183" t="inlineStr">
        <is>
          <t>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t>
        </is>
      </c>
      <c r="E183" t="inlineStr">
        <is>
          <t>FB-020</t>
        </is>
      </c>
      <c r="F183" t="inlineStr">
        <is>
          <t>Stories!B12</t>
        </is>
      </c>
    </row>
  </sheetData>
  <mergeCells count="2">
    <mergeCell ref="A2:F2"/>
    <mergeCell ref="A1:F1"/>
  </mergeCells>
  <conditionalFormatting sqref="C4:C178">
    <cfRule type="containsText" priority="1" operator="containsText" dxfId="1" text="##FUTUR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2026-10-29T10:25:18Z</dcterms:created>
  <dcterms:modified xmlns:dcterms="http://purl.org/dc/terms/" xmlns:xsi="http://www.w3.org/2001/XMLSchema-instance" xsi:type="dcterms:W3CDTF">2026-10-29T11:31:51Z</dcterms:modified>
</cp:coreProperties>
</file>