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6e96eb8de03481d" /></Relationships>
</file>

<file path=xl/workbook.xml><?xml version="1.0" encoding="utf-8"?>
<x:workbook xmlns:x="http://schemas.openxmlformats.org/spreadsheetml/2006/main">
  <x:sheets>
    <x:sheet xmlns:r="http://schemas.openxmlformats.org/officeDocument/2006/relationships" name="Start Here" sheetId="1" r:id="Re245fdc2573040f3"/>
    <x:sheet xmlns:r="http://schemas.openxmlformats.org/officeDocument/2006/relationships" name="Stories" sheetId="2" r:id="R8cd2ddd66bcc41a0"/>
    <x:sheet xmlns:r="http://schemas.openxmlformats.org/officeDocument/2006/relationships" name="Requirements" sheetId="3" r:id="R18608a34070b456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5d6d80241b1462c" /><Relationship Type="http://schemas.openxmlformats.org/officeDocument/2006/relationships/theme" Target="/xl/theme/theme1.xml" Id="Rc295380b14e14070" /><Relationship Type="http://schemas.openxmlformats.org/officeDocument/2006/relationships/sharedStrings" Target="/xl/sharedStrings.xml" Id="R24e1e090dd5041d6" /><Relationship Type="http://schemas.openxmlformats.org/officeDocument/2006/relationships/worksheet" Target="/xl/worksheets/sheet1.xml" Id="Re245fdc2573040f3" /><Relationship Type="http://schemas.openxmlformats.org/officeDocument/2006/relationships/worksheet" Target="/xl/worksheets/sheet2.xml" Id="R8cd2ddd66bcc41a0" /><Relationship Type="http://schemas.openxmlformats.org/officeDocument/2006/relationships/worksheet" Target="/xl/worksheets/sheet3.xml" Id="R18608a34070b4562"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32c600a867d40af" /></Relationships>
</file>

<file path=xl/worksheets/_rels/sheet3.xml.rels>&#65279;<?xml version="1.0" encoding="utf-8"?><Relationships xmlns="http://schemas.openxmlformats.org/package/2006/relationships"><Relationship Type="http://schemas.openxmlformats.org/officeDocument/2006/relationships/table" Target="/xl/tables/table2.xml" Id="Rae31d309126f4f54"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4</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10</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FB-009</x:v>
      </x:c>
      <x:c r="C10" s="15" t="n"/>
      <x:c r="D10" s="18" t="inlineStr">
        <x:is>
          <x:t xml:space="preserve">Only test application behaviour yourself after the developer delegates it.</x:t>
        </x:is>
      </x:c>
    </x:row>
    <x:row r="11" ht="24" customHeight="1">
      <x:c r="A11" s="15" t="inlineStr">
        <x:is>
          <x:t xml:space="preserve">Verified progress</x:t>
        </x:is>
      </x:c>
      <x:c r="B11" s="29" t="str">
        <x:v>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x:v>
      </x:c>
      <x:c r="C11" s="15" t="n"/>
    </x:row>
    <x:row r="12">
      <x:c r="A12" s="15" t="n"/>
      <x:c r="B12" s="15" t="str">
        <x:v>Before starting/resuming this item or feature: reread AGENTS.md from disk; apply teaching/testing rules. Await developer creating resources/js/pages/users/Index.vue with only template, main class p-4 and h1 Users. This shell is not yet routed and displays no records. Next connect UserController::index Inertia response and GET /users in small lessons using existing inspected response conventions; local fictional-only scaffold until viewAny authorization and actor-specific query are enforced. Teach props/v-for/stable keys, then layout and each filter/pagination separately. Review whole list feature at checkpoint; developer-first tests unless explicitly delegated. Preserve all deferred phone/password/concurrency work and prior evidence; no creation/list completion inferred.</x:v>
      </x:c>
      <x:c r="C12" s="15" t="n"/>
      <x:c r="D12" s="15" t="n"/>
      <x:c r="E12" s="15" t="n"/>
      <x:c r="F12" s="15" t="n"/>
      <x:c r="G12" s="15" t="n"/>
      <x:c r="H12" s="15" t="n"/>
    </x:row>
    <x:row r="13" ht="40" customHeight="1">
      <x:c r="A13" s="21" t="inlineStr">
        <x:is>
          <x:t xml:space="preserve">Current item ID</x:t>
        </x:is>
      </x:c>
      <x:c r="B13" s="22" t="str">
        <x:v>FB-009</x:v>
      </x:c>
    </x:row>
    <x:row r="14" ht="100" customHeight="1">
      <x:c r="A14" s="21" t="inlineStr">
        <x:is>
          <x:t xml:space="preserve">Current lesson</x:t>
        </x:is>
      </x:c>
      <x:c r="B14" s="22" t="str">
        <x:v>Start user-list page shell: developer creates users/Index.vue with a Users heading and existing p-4 spacing. Route and data follow in separate lessons.</x:v>
      </x:c>
    </x:row>
    <x:row r="15" ht="100" customHeight="1">
      <x:c r="A15" s="21" t="inlineStr">
        <x:is>
          <x:t xml:space="preserve">Next action</x:t>
        </x:is>
      </x:c>
      <x:c r="B15" s="22" t="str">
        <x:v>Before starting/resuming this item or feature: reread AGENTS.md from disk; apply teaching/testing rules. Await developer creating resources/js/pages/users/Index.vue with only template, main class p-4 and h1 Users. This shell is not yet routed and displays no records. Next connect UserController::index Inertia response and GET /users in small lessons using existing inspected response conventions; local fictional-only scaffold until viewAny authorization and actor-specific query are enforced. Teach props/v-for/stable keys, then layout and each filter/pagination separately. Review whole list feature at checkpoint; developer-first tests unless explicitly delegated. Preserve all deferred phone/password/concurrency work and prior evidence; no creation/list completion inferred.</x:v>
      </x:c>
    </x:row>
    <x:row r="16" ht="65" customHeight="1">
      <x:c r="A16" s="21" t="inlineStr">
        <x:is>
          <x:t xml:space="preserve">Waiting on</x:t>
        </x:is>
      </x:c>
      <x:c r="B16" s="22" t="str">
        <x:v>Waiting for developer to create the minimal users/Index.vue page file. No browser test requested for the unrouted shell.</x:v>
      </x:c>
    </x:row>
    <x:row r="17" ht="65" customHeight="1">
      <x:c r="A17" s="21" t="inlineStr">
        <x:is>
          <x:t xml:space="preserve">Last reviewed revision</x:t>
        </x:is>
      </x:c>
      <x:c r="B17" s="22" t="str">
        <x:v>2026-10-28 review at HEAD fca09f784ede715423dc167d1a6ab966c7431451 plus working Create.vue/settings route changes. SHA256 and reviewed paths in Stories. Browser evidence /tmp/foodbank-browser-checks/. Phone finding prevents passed creation review.</x:v>
      </x:c>
    </x:row>
    <x:row r="18" ht="40" customHeight="1">
      <x:c r="A18" s="21" t="inlineStr">
        <x:is>
          <x:t xml:space="preserve">Current item status</x:t>
        </x:is>
      </x:c>
      <x:c r="B18" s="18" t="str">
        <x:v>In progress</x:v>
      </x:c>
    </x:row>
    <x:row r="19">
      <x:c r="A19" s="15" t="n"/>
      <x:c r="B19" s="15" t="inlineStr">
        <x:is>
          <x:t xml:space="preserve">Working tree at 2d45afc; review evidence in Stories FB-020. Reviewed controller, details page, protected route/policy, role model/enum, and flash toast wiring on 2026-10-28.</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x:t>
        </x:is>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inlineStr">
        <x:is>
          <x:t xml:space="preserve">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str">
        <x:v>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R8" s="10" t="str">
        <x:v>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v>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str">
        <x:v>Changes needed</x:v>
      </x:c>
      <x:c r="K9" s="11" t="str">
        <x:v>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v>
      </x:c>
      <x:c r="L9" s="31" t="d">
        <x:v>2026-10-28T12:00:00.000Z</x:v>
      </x:c>
      <x:c r="M9" s="11" t="str">
        <x:v>Assistant (explicitly delegated; prior developer evidence retained)</x:v>
      </x:c>
      <x:c r="N9" s="11" t="str">
        <x:v>Failed</x:v>
      </x:c>
      <x:c r="O9" s="11" t="str">
        <x:v>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v>
      </x:c>
      <x:c r="P9" s="31" t="d">
        <x:v>2026-10-28T12:00:00.000Z</x:v>
      </x:c>
      <x:c r="Q9" s="11" t="str">
        <x:v>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v>
      </x:c>
      <x:c r="R9" s="11" t="str">
        <x:v>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v>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str">
        <x:v>Changes needed</x:v>
      </x:c>
      <x:c r="K10" s="10" t="str">
        <x:v>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v>
      </x:c>
      <x:c r="L10" s="30" t="d">
        <x:v>2026-10-28T12:00:00.000Z</x:v>
      </x:c>
      <x:c r="M10" s="10" t="str">
        <x:v>Assistant (explicitly delegated; prior developer evidence retained)</x:v>
      </x:c>
      <x:c r="N10" s="10" t="str">
        <x:v>Failed</x:v>
      </x:c>
      <x:c r="O10" s="10" t="str">
        <x:v>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v>
      </x:c>
      <x:c r="P10" s="30" t="d">
        <x:v>2026-10-28T12:00:00.000Z</x:v>
      </x:c>
      <x:c r="Q10" s="10" t="str">
        <x:v>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v>
      </x:c>
      <x:c r="R10" s="10" t="str">
        <x:v>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v>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str">
        <x:v>Changes needed</x:v>
      </x:c>
      <x:c r="K11" s="11" t="str">
        <x:v>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v>
      </x:c>
      <x:c r="L11" s="31" t="d">
        <x:v>2026-10-28T12:00:00.000Z</x:v>
      </x:c>
      <x:c r="M11" s="11" t="str">
        <x:v>Assistant (delegated browser checks)</x:v>
      </x:c>
      <x:c r="N11" s="11" t="inlineStr">
        <x:is>
          <x:t xml:space="preserve">Not tested</x:t>
        </x:is>
      </x:c>
      <x:c r="O11" s="11" t="str">
        <x:v>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x:v>
      </x:c>
      <x:c r="P11" s="31" t="d">
        <x:v>2026-10-28T12:00:00.000Z</x:v>
      </x:c>
      <x:c r="Q11" s="11" t="str">
        <x:v>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v>
      </x:c>
      <x:c r="R11" s="11" t="str">
        <x:v>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v>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str">
        <x:v>Changes needed</x:v>
      </x:c>
      <x:c r="K13" s="11" t="str">
        <x:v>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v>
      </x:c>
      <x:c r="L13" s="31" t="d">
        <x:v>2026-10-28T12:00:00.000Z</x:v>
      </x:c>
      <x:c r="M13" s="11" t="str">
        <x:v>Assistant (explicitly delegated; prior developer evidence retained)</x:v>
      </x:c>
      <x:c r="N13" s="11" t="str">
        <x:v>Failed</x:v>
      </x:c>
      <x:c r="O13" s="11" t="str">
        <x:v>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v>
      </x:c>
      <x:c r="P13" s="31" t="d">
        <x:v>2026-10-28T12:00:00.000Z</x:v>
      </x:c>
      <x:c r="Q13" s="11" t="str">
        <x:v>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v>
      </x:c>
      <x:c r="R13" s="11" t="str">
        <x:v>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v>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str">
        <x:v>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v>
      </x:c>
      <x:c r="R14" s="10" t="str">
        <x:v>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v>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str">
        <x:v>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v>
      </x:c>
      <x:c r="R15" s="11" t="str">
        <x:v>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v>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str">
        <x:v>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v>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str">
        <x:v>In progress</x:v>
      </x:c>
      <x:c r="J16" s="10" t="inlineStr">
        <x:is>
          <x:t xml:space="preserve">Not reviewed</x:t>
        </x:is>
      </x:c>
      <x:c r="K16" s="10" t="n"/>
      <x:c r="L16" s="30" t="n"/>
      <x:c r="M16" s="10" t="n"/>
      <x:c r="N16" s="10" t="inlineStr">
        <x:is>
          <x:t xml:space="preserve">Not tested</x:t>
        </x:is>
      </x:c>
      <x:c r="O16" s="10" t="n"/>
      <x:c r="P16" s="30" t="n"/>
      <x:c r="Q16" s="10" t="str">
        <x:v>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R16" s="10" t="str">
        <x:v>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v>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Manager sees volunteers; Super Admin sees managers and volunteers. Render fictional records first and explain props/loops/stable keys. No volunteer access to others’ account records.</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str">
        <x:v>In progress</x:v>
      </x:c>
      <x:c r="J17" s="11" t="inlineStr">
        <x:is>
          <x:t xml:space="preserve">Not reviewed</x:t>
        </x:is>
      </x:c>
      <x:c r="K17" s="11" t="n"/>
      <x:c r="L17" s="31" t="n"/>
      <x:c r="M17" s="11" t="n"/>
      <x:c r="N17" s="11" t="inlineStr">
        <x:is>
          <x:t xml:space="preserve">Not tested</x:t>
        </x:is>
      </x:c>
      <x:c r="O17" s="11" t="n"/>
      <x:c r="P17" s="31" t="n"/>
      <x:c r="Q17" s="11" t="str">
        <x:v>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x:v>
      </x:c>
      <x:c r="R17" s="11" t="str">
        <x:v>Before starting/resuming this item or feature: reread AGENTS.md from disk; apply teaching/testing rules. Await developer creating resources/js/pages/users/Index.vue with only template, main class p-4 and h1 Users. This shell is not yet routed and displays no records. Next connect UserController::index Inertia response and GET /users in small lessons using existing inspected response conventions; local fictional-only scaffold until viewAny authorization and actor-specific query are enforced. Teach props/v-for/stable keys, then layout and each filter/pagination separately. Review whole list feature at checkpoint; developer-first tests unless explicitly delegated. Preserve all deferred phone/password/concurrency work and prior evidence; no creation/list completion inferred.</x:v>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Teach list/table overflow and parent layout. Toolbar and rows remain usable at narrow and wide widths; reuse colours and typography.</x:t>
        </x:is>
      </x:c>
      <x:c r="F18" s="4" t="inlineStr">
        <x:is>
          <x:t xml:space="preserve">FB-009</x:t>
        </x:is>
      </x:c>
      <x:c r="G18" s="4" t="str">
        <x:f>IF(H18="Complete","Complete",IF(I18="Blocked","Blocked",IF(I18="In progress","Ready",IF(F18="","Ready",IF(COUNTIFS($B$4:$B$73,F18,$H$4:$H$73,"Complete")=1,"Ready","Waiting")))))</x:f>
        <x:v>Waiting</x:v>
      </x:c>
      <x:c r="H18" s="4" t="str">
        <x:f>IF(I18="Not started","Not started",IF(I18="Blocked","Blocked",IF(I18="In progress","In progress",IF(J18&lt;&gt;"Passed","Awaiting code review",IF(OR(K18="",NOT(ISNUMBER(L18))),"Awaiting review evidence",IF(N18&lt;&gt;"Passed","Awaiting test",IF(OR(M18="",O18="",NOT(ISNUMBER(P18))),"Awaiting test evidence","Complete")))))))</x:f>
        <x:v>Not started</x:v>
      </x:c>
      <x:c r="I18" s="10" t="inlineStr">
        <x:is>
          <x:t xml:space="preserve">Not started</x:t>
        </x:is>
      </x:c>
      <x:c r="J18" s="10" t="inlineStr">
        <x:is>
          <x:t xml:space="preserve">Not reviewed</x:t>
        </x:is>
      </x:c>
      <x:c r="K18" s="10" t="n"/>
      <x:c r="L18" s="30" t="n"/>
      <x:c r="M18" s="10" t="n"/>
      <x:c r="N18" s="10" t="inlineStr">
        <x:is>
          <x:t xml:space="preserve">Not tested</x:t>
        </x:is>
      </x:c>
      <x:c r="O18" s="10" t="n"/>
      <x:c r="P18" s="30" t="n"/>
      <x:c r="Q18" s="10" t="n"/>
      <x:c r="R18" s="10" t="inlineStr">
        <x:is>
          <x:t xml:space="preserve">Before starting this item or feature: reread AGENTS.md from disk; apply its teaching and testing rules.
Next: Start this item after the previous item is complete.</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Search by name, username or email across the full permitted dataset. Explain one input-to-request-to-results cycle and empty results.</x:t>
        </x:is>
      </x:c>
      <x:c r="F19" s="9" t="inlineStr">
        <x:is>
          <x:t xml:space="preserve">FB-010</x:t>
        </x:is>
      </x:c>
      <x:c r="G19" s="9" t="str">
        <x:f>IF(H19="Complete","Complete",IF(I19="Blocked","Blocked",IF(I19="In progress","Ready",IF(F19="","Ready",IF(COUNTIFS($B$4:$B$73,F19,$H$4:$H$73,"Complete")=1,"Ready","Waiting")))))</x:f>
        <x:v>Waiting</x:v>
      </x:c>
      <x:c r="H19" s="9" t="str">
        <x:f>IF(I19="Not started","Not started",IF(I19="Blocked","Blocked",IF(I19="In progress","In progress",IF(J19&lt;&gt;"Passed","Awaiting code review",IF(OR(K19="",NOT(ISNUMBER(L19))),"Awaiting review evidence",IF(N19&lt;&gt;"Passed","Awaiting test",IF(OR(M19="",O19="",NOT(ISNUMBER(P19))),"Awaiting test evidence","Complete")))))))</x:f>
        <x:v>Not started</x:v>
      </x:c>
      <x:c r="I19" s="11" t="inlineStr">
        <x:is>
          <x:t xml:space="preserve">Not started</x:t>
        </x:is>
      </x:c>
      <x:c r="J19" s="11" t="inlineStr">
        <x:is>
          <x:t xml:space="preserve">Not reviewed</x:t>
        </x:is>
      </x:c>
      <x:c r="K19" s="11" t="n"/>
      <x:c r="L19" s="31" t="n"/>
      <x:c r="M19" s="11" t="n"/>
      <x:c r="N19" s="11" t="inlineStr">
        <x:is>
          <x:t xml:space="preserve">Not tested</x:t>
        </x:is>
      </x:c>
      <x:c r="O19" s="11" t="n"/>
      <x:c r="P19" s="31" t="n"/>
      <x:c r="Q19" s="11" t="n"/>
      <x:c r="R19" s="11" t="inlineStr">
        <x:is>
          <x:t xml:space="preserve">Before starting this item or feature: reread AGENTS.md from disk; apply its teaching and testing rules.
Next: Start this item after the previous item is complete.</x:t>
        </x:is>
      </x:c>
      <x:c r="S19" s="11" t="n"/>
    </x:row>
    <x:row r="20" ht="105" customHeight="1">
      <x:c r="A20" s="4" t="n">
        <x:v>17</x:v>
      </x:c>
      <x:c r="B20" s="4" t="inlineStr">
        <x:is>
          <x:t xml:space="preserve">FB-012</x:t>
        </x:is>
      </x:c>
      <x:c r="C20" s="4" t="inlineStr">
        <x:is>
          <x:t xml:space="preserve">Accounts</x:t>
        </x:is>
      </x:c>
      <x:c r="D20" s="4" t="inlineStr">
        <x:is>
          <x:t xml:space="preserve">Add the account status filter</x:t>
        </x:is>
      </x:c>
      <x:c r="E20" s="4" t="inlineStr">
        <x:is>
          <x:t xml:space="preserve">All/Active/Inactive works alone and with search on the full dataset. Add only this filter in this lesson.</x:t>
        </x:is>
      </x:c>
      <x:c r="F20" s="4" t="inlineStr">
        <x:is>
          <x:t xml:space="preserve">FB-011</x:t>
        </x:is>
      </x:c>
      <x:c r="G20" s="4" t="str">
        <x:f>IF(H20="Complete","Complete",IF(I20="Blocked","Blocked",IF(I20="In progress","Ready",IF(F20="","Ready",IF(COUNTIFS($B$4:$B$73,F20,$H$4:$H$73,"Complete")=1,"Ready","Waiting")))))</x:f>
        <x:v>Waiting</x:v>
      </x:c>
      <x:c r="H20" s="4" t="str">
        <x:f>IF(I20="Not started","Not started",IF(I20="Blocked","Blocked",IF(I20="In progress","In progress",IF(J20&lt;&gt;"Passed","Awaiting code review",IF(OR(K20="",NOT(ISNUMBER(L20))),"Awaiting review evidence",IF(N20&lt;&gt;"Passed","Awaiting test",IF(OR(M20="",O20="",NOT(ISNUMBER(P20))),"Awaiting test evidence","Complete")))))))</x:f>
        <x:v>Not started</x:v>
      </x:c>
      <x:c r="I20" s="10" t="inlineStr">
        <x:is>
          <x:t xml:space="preserve">Not started</x:t>
        </x:is>
      </x:c>
      <x:c r="J20" s="10" t="inlineStr">
        <x:is>
          <x:t xml:space="preserve">Not reviewed</x:t>
        </x:is>
      </x:c>
      <x:c r="K20" s="10" t="n"/>
      <x:c r="L20" s="30" t="n"/>
      <x:c r="M20" s="10" t="n"/>
      <x:c r="N20" s="10" t="inlineStr">
        <x:is>
          <x:t xml:space="preserve">Not tested</x:t>
        </x:is>
      </x:c>
      <x:c r="O20" s="10" t="n"/>
      <x:c r="P20" s="30" t="n"/>
      <x:c r="Q20" s="10" t="n"/>
      <x:c r="R20" s="10" t="inlineStr">
        <x:is>
          <x:t xml:space="preserve">Before starting this item or feature: reread AGENTS.md from disk; apply its teaching and testing rules.
Next: Start this item after the previous item is complete.</x:t>
        </x:is>
      </x:c>
      <x:c r="S20" s="10" t="n"/>
    </x:row>
    <x:row r="21" ht="105" customHeight="1">
      <x:c r="A21" s="9" t="n">
        <x:v>18</x:v>
      </x:c>
      <x:c r="B21" s="9" t="inlineStr">
        <x:is>
          <x:t xml:space="preserve">FB-013</x:t>
        </x:is>
      </x:c>
      <x:c r="C21" s="9" t="inlineStr">
        <x:is>
          <x:t xml:space="preserve">Accounts</x:t>
        </x:is>
      </x:c>
      <x:c r="D21" s="9" t="inlineStr">
        <x:is>
          <x:t xml:space="preserve">Add the Super Admin role filter</x:t>
        </x:is>
      </x:c>
      <x:c r="E21" s="9" t="inlineStr">
        <x:is>
          <x:t xml:space="preserve">All/Managers/Volunteers works with search and status. Managers remain restricted to volunteers.</x:t>
        </x:is>
      </x:c>
      <x:c r="F21" s="9" t="inlineStr">
        <x:is>
          <x:t xml:space="preserve">FB-012</x:t>
        </x:is>
      </x:c>
      <x:c r="G21" s="9" t="str">
        <x:f>IF(H21="Complete","Complete",IF(I21="Blocked","Blocked",IF(I21="In progress","Ready",IF(F21="","Ready",IF(COUNTIFS($B$4:$B$73,F21,$H$4:$H$73,"Complete")=1,"Ready","Waiting")))))</x:f>
        <x:v>Waiting</x:v>
      </x:c>
      <x:c r="H21" s="9" t="str">
        <x:f>IF(I21="Not started","Not started",IF(I21="Blocked","Blocked",IF(I21="In progress","In progress",IF(J21&lt;&gt;"Passed","Awaiting code review",IF(OR(K21="",NOT(ISNUMBER(L21))),"Awaiting review evidence",IF(N21&lt;&gt;"Passed","Awaiting test",IF(OR(M21="",O21="",NOT(ISNUMBER(P21))),"Awaiting test evidence","Complete")))))))</x:f>
        <x:v>Not started</x:v>
      </x:c>
      <x:c r="I21" s="11" t="inlineStr">
        <x:is>
          <x:t xml:space="preserve">Not started</x:t>
        </x:is>
      </x:c>
      <x:c r="J21" s="11" t="inlineStr">
        <x:is>
          <x:t xml:space="preserve">Not reviewed</x:t>
        </x:is>
      </x:c>
      <x:c r="K21" s="11" t="n"/>
      <x:c r="L21" s="31" t="n"/>
      <x:c r="M21" s="11" t="n"/>
      <x:c r="N21" s="11" t="inlineStr">
        <x:is>
          <x:t xml:space="preserve">Not tested</x:t>
        </x:is>
      </x:c>
      <x:c r="O21" s="11" t="n"/>
      <x:c r="P21" s="31" t="n"/>
      <x:c r="Q21" s="11" t="n"/>
      <x:c r="R21" s="11" t="inlineStr">
        <x:is>
          <x:t xml:space="preserve">Before starting this item or feature: reread AGENTS.md from disk; apply its teaching and testing rules.
Next: Start this item after the previous item is complete.</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10 records per page with Previous/Next. Apply search and filters before pagination; preserve selections across pages.</x:t>
        </x:is>
      </x:c>
      <x:c r="F22" s="4" t="inlineStr">
        <x:is>
          <x:t xml:space="preserve">FB-013</x:t>
        </x:is>
      </x:c>
      <x:c r="G22" s="4" t="str">
        <x:f>IF(H22="Complete","Complete",IF(I22="Blocked","Blocked",IF(I22="In progress","Ready",IF(F22="","Ready",IF(COUNTIFS($B$4:$B$73,F22,$H$4:$H$73,"Complete")=1,"Ready","Waiting")))))</x:f>
        <x:v>Waiting</x:v>
      </x:c>
      <x:c r="H22" s="4" t="str">
        <x:f>IF(I22="Not started","Not started",IF(I22="Blocked","Blocked",IF(I22="In progress","In progress",IF(J22&lt;&gt;"Passed","Awaiting code review",IF(OR(K22="",NOT(ISNUMBER(L22))),"Awaiting review evidence",IF(N22&lt;&gt;"Passed","Awaiting test",IF(OR(M22="",O22="",NOT(ISNUMBER(P22))),"Awaiting test evidence","Complete")))))))</x:f>
        <x:v>Not started</x:v>
      </x:c>
      <x:c r="I22" s="10" t="inlineStr">
        <x:is>
          <x:t xml:space="preserve">Not started</x:t>
        </x:is>
      </x:c>
      <x:c r="J22" s="10" t="inlineStr">
        <x:is>
          <x:t xml:space="preserve">Not reviewed</x:t>
        </x:is>
      </x:c>
      <x:c r="K22" s="10" t="n"/>
      <x:c r="L22" s="30" t="n"/>
      <x:c r="M22" s="10" t="n"/>
      <x:c r="N22" s="10" t="inlineStr">
        <x:is>
          <x:t xml:space="preserve">Not tested</x:t>
        </x:is>
      </x:c>
      <x:c r="O22" s="10" t="n"/>
      <x:c r="P22" s="30" t="n"/>
      <x:c r="Q22" s="10" t="n"/>
      <x:c r="R22" s="10" t="inlineStr">
        <x:is>
          <x:t xml:space="preserve">Before starting this item or feature: reread AGENTS.md from disk; apply its teaching and testing rules.
Next: Start this item after the previous item is complete.</x:t>
        </x:is>
      </x:c>
      <x:c r="S22" s="10" t="n"/>
    </x:row>
    <x:row r="23" ht="105" customHeight="1">
      <x:c r="A23" s="9" t="n">
        <x:v>20</x:v>
      </x:c>
      <x:c r="B23" s="9" t="inlineStr">
        <x:is>
          <x:t xml:space="preserve">FB-015</x:t>
        </x:is>
      </x:c>
      <x:c r="C23" s="9" t="inlineStr">
        <x:is>
          <x:t xml:space="preserve">Accounts</x:t>
        </x:is>
      </x:c>
      <x:c r="D23" s="9" t="inlineStr">
        <x:is>
          <x:t xml:space="preserve">Verify list access on the server</x:t>
        </x:is>
      </x:c>
      <x:c r="E23" s="9" t="inlineStr">
        <x:is>
          <x:t xml:space="preserve">Super Admin lists managers/volunteers; managers list all volunteers regardless of creator; volunteers cannot access user lists by direct URL. Attach real data only after checks are enforced.</x:t>
        </x:is>
      </x:c>
      <x:c r="F23" s="9" t="inlineStr">
        <x:is>
          <x:t xml:space="preserve">FB-014</x:t>
        </x:is>
      </x:c>
      <x:c r="G23" s="9" t="str">
        <x:f>IF(H23="Complete","Complete",IF(I23="Blocked","Blocked",IF(I23="In progress","Ready",IF(F23="","Ready",IF(COUNTIFS($B$4:$B$73,F23,$H$4:$H$73,"Complete")=1,"Ready","Waiting")))))</x:f>
        <x:v>Waiting</x:v>
      </x:c>
      <x:c r="H23" s="9" t="str">
        <x:f>IF(I23="Not started","Not started",IF(I23="Blocked","Blocked",IF(I23="In progress","In progress",IF(J23&lt;&gt;"Passed","Awaiting code review",IF(OR(K23="",NOT(ISNUMBER(L23))),"Awaiting review evidence",IF(N23&lt;&gt;"Passed","Awaiting test",IF(OR(M23="",O23="",NOT(ISNUMBER(P23))),"Awaiting test evidence","Complete")))))))</x:f>
        <x:v>Not started</x:v>
      </x:c>
      <x:c r="I23" s="11" t="inlineStr">
        <x:is>
          <x:t xml:space="preserve">Not started</x:t>
        </x:is>
      </x:c>
      <x:c r="J23" s="11" t="inlineStr">
        <x:is>
          <x:t xml:space="preserve">Not reviewed</x:t>
        </x:is>
      </x:c>
      <x:c r="K23" s="11" t="n"/>
      <x:c r="L23" s="31" t="n"/>
      <x:c r="M23" s="11" t="n"/>
      <x:c r="N23" s="11" t="inlineStr">
        <x:is>
          <x:t xml:space="preserve">Not tested</x:t>
        </x:is>
      </x:c>
      <x:c r="O23" s="11" t="n"/>
      <x:c r="P23" s="31" t="n"/>
      <x:c r="Q23" s="11" t="n"/>
      <x:c r="R23" s="11" t="inlineStr">
        <x:is>
          <x:t xml:space="preserve">Before starting this item or feature: reread AGENTS.md from disk; apply its teaching and testing rules.
Next: Start this item after the previous item is complete.</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FB-015</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n"/>
      <x:c r="R24" s="10" t="inlineStr">
        <x:is>
          <x:t xml:space="preserve">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 stay fixed. Same validation and cross-role email uniqueness. Name change regenerates unique username and success message includes it. Redirect to details; reject unauthorized display and submit.</x:t>
        </x:is>
      </x:c>
      <x:c r="F25" s="9" t="inlineStr">
        <x:is>
          <x:t xml:space="preserve">FB-008</x:t>
        </x:is>
      </x:c>
      <x:c r="G25" s="9" t="str">
        <x:f>IF(H25="Complete","Complete",IF(I25="Blocked","Blocked",IF(I25="In progress","Ready",IF(F25="","Ready",IF(COUNTIFS($B$4:$B$73,F25,$H$4:$H$73,"Complete")=1,"Ready","Waiting")))))</x:f>
        <x:v>Waiting</x:v>
      </x:c>
      <x:c r="H25" s="9" t="str">
        <x:f>IF(I25="Not started","Not started",IF(I25="Blocked","Blocked",IF(I25="In progress","In progress",IF(J25&lt;&gt;"Passed","Awaiting code review",IF(OR(K25="",NOT(ISNUMBER(L25))),"Awaiting review evidence",IF(N25&lt;&gt;"Passed","Awaiting test",IF(OR(M25="",O25="",NOT(ISNUMBER(P25))),"Awaiting test evidence","Complete")))))))</x:f>
        <x:v>Not started</x:v>
      </x:c>
      <x:c r="I25" s="11" t="inlineStr">
        <x:is>
          <x:t xml:space="preserve">Not started</x:t>
        </x:is>
      </x:c>
      <x:c r="J25" s="11" t="inlineStr">
        <x:is>
          <x:t xml:space="preserve">Not reviewed</x:t>
        </x:is>
      </x:c>
      <x:c r="K25" s="11" t="n"/>
      <x:c r="L25" s="31" t="n"/>
      <x:c r="M25" s="11" t="n"/>
      <x:c r="N25" s="11" t="inlineStr">
        <x:is>
          <x:t xml:space="preserve">Not tested</x:t>
        </x:is>
      </x:c>
      <x:c r="O25" s="11" t="n"/>
      <x:c r="P25" s="31" t="n"/>
      <x:c r="Q25" s="11" t="n"/>
      <x:c r="R25" s="11" t="inlineStr">
        <x:is>
          <x:t xml:space="preserve">Before starting this item or feature: reread AGENTS.md from disk; apply its teaching and testing rules.
Next: Start this item after the previous item is complete.</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Waiting</x:v>
      </x:c>
      <x:c r="H26" s="4" t="str">
        <x:f>IF(I26="Not started","Not started",IF(I26="Blocked","Blocked",IF(I26="In progress","In progress",IF(J26&lt;&gt;"Passed","Awaiting code review",IF(OR(K26="",NOT(ISNUMBER(L26))),"Awaiting review evidence",IF(N26&lt;&gt;"Passed","Awaiting test",IF(OR(M26="",O26="",NOT(ISNUMBER(P26))),"Awaiting test evidence","Complete")))))))</x:f>
        <x:v>Not started</x:v>
      </x:c>
      <x:c r="I26" s="10" t="inlineStr">
        <x:is>
          <x:t xml:space="preserve">Not started</x:t>
        </x:is>
      </x:c>
      <x:c r="J26" s="10" t="inlineStr">
        <x:is>
          <x:t xml:space="preserve">Not reviewed</x:t>
        </x:is>
      </x:c>
      <x:c r="K26" s="10" t="n"/>
      <x:c r="L26" s="30" t="n"/>
      <x:c r="M26" s="10" t="n"/>
      <x:c r="N26" s="10" t="inlineStr">
        <x:is>
          <x:t xml:space="preserve">Not tested</x:t>
        </x:is>
      </x:c>
      <x:c r="O26" s="10" t="n"/>
      <x:c r="P26" s="30" t="n"/>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R26" s="10" t="inlineStr">
        <x:is>
          <x:t xml:space="preserve">Before starting this item or feature: reread AGENTS.md from disk; apply its teaching and testing rules. Build account deactivation/reactivation after prerequisites. Include deferred FB-005 session enforcement: Vue confirmation, authorized server operation, block existing and remembered sessions, reject new logins while inactive, and verify reactivation. Super Admin manages manager/volunteer accounts; managers retain agreed volunteer permissions. Developer writes code.</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FB-022</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x:t>
        </x:is>
      </x:c>
      <x:c r="R27" s="11" t="inlineStr">
        <x:is>
          <x:t xml:space="preserve">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FB-023</x:t>
        </x:is>
      </x:c>
      <x:c r="G28" s="4" t="str">
        <x:f>IF(H28="Complete","Complete",IF(I28="Blocked","Blocked",IF(I28="In progress","Ready",IF(F28="","Ready",IF(COUNTIFS($B$4:$B$73,F28,$H$4:$H$73,"Complete")=1,"Ready","Waiting")))))</x:f>
        <x:v>Waiting</x:v>
      </x:c>
      <x:c r="H28" s="4" t="str">
        <x:f>IF(I28="Not started","Not started",IF(I28="Blocked","Blocked",IF(I28="In progress","In progress",IF(J28&lt;&gt;"Passed","Awaiting code review",IF(OR(K28="",NOT(ISNUMBER(L28))),"Awaiting review evidence",IF(N28&lt;&gt;"Passed","Awaiting test",IF(OR(M28="",O28="",NOT(ISNUMBER(P28))),"Awaiting test evidence","Complete")))))))</x:f>
        <x:v>Not started</x:v>
      </x:c>
      <x:c r="I28" s="10" t="inlineStr">
        <x:is>
          <x:t xml:space="preserve">Not started</x:t>
        </x:is>
      </x:c>
      <x:c r="J28" s="10" t="inlineStr">
        <x:is>
          <x:t xml:space="preserve">Not reviewed</x:t>
        </x:is>
      </x:c>
      <x:c r="K28" s="10" t="n"/>
      <x:c r="L28" s="30" t="n"/>
      <x:c r="M28" s="10" t="n"/>
      <x:c r="N28" s="10" t="inlineStr">
        <x:is>
          <x:t xml:space="preserve">Not tested</x:t>
        </x:is>
      </x:c>
      <x:c r="O28" s="10" t="n"/>
      <x:c r="P28" s="30" t="n"/>
      <x:c r="Q28" s="10" t="n"/>
      <x:c r="R28" s="10" t="inlineStr">
        <x:is>
          <x:t xml:space="preserve">Before starting this item or feature: reread AGENTS.md from disk; apply its teaching and testing rules.
Next: Start this item after the previous item is complete.</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Waiting</x:v>
      </x:c>
      <x:c r="H29" s="9" t="str">
        <x:f>IF(I29="Not started","Not started",IF(I29="Blocked","Blocked",IF(I29="In progress","In progress",IF(J29&lt;&gt;"Passed","Awaiting code review",IF(OR(K29="",NOT(ISNUMBER(L29))),"Awaiting review evidence",IF(N29&lt;&gt;"Passed","Awaiting test",IF(OR(M29="",O29="",NOT(ISNUMBER(P29))),"Awaiting test evidence","Complete")))))))</x:f>
        <x:v>Not started</x:v>
      </x:c>
      <x:c r="I29" s="11" t="inlineStr">
        <x:is>
          <x:t xml:space="preserve">Not started</x:t>
        </x:is>
      </x:c>
      <x:c r="J29" s="11" t="inlineStr">
        <x:is>
          <x:t xml:space="preserve">Not reviewed</x:t>
        </x:is>
      </x:c>
      <x:c r="K29" s="11" t="n"/>
      <x:c r="L29" s="31" t="n"/>
      <x:c r="M29" s="11" t="n"/>
      <x:c r="N29" s="11" t="inlineStr">
        <x:is>
          <x:t xml:space="preserve">Not tested</x:t>
        </x:is>
      </x:c>
      <x:c r="O29" s="11" t="n"/>
      <x:c r="P29" s="31" t="n"/>
      <x:c r="Q29" s="11" t="n"/>
      <x:c r="R29" s="11" t="inlineStr">
        <x:is>
          <x:t xml:space="preserve">Before starting this item or feature: reread AGENTS.md from disk; apply its teaching and testing rules.
Next: Build Department model/storage, then complete and verify creation before its list at FB-027.</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x:t>
        </x:is>
      </x:c>
      <x:c r="F30" s="4" t="inlineStr">
        <x:is>
          <x:t xml:space="preserve">FB-026</x:t>
        </x:is>
      </x:c>
      <x:c r="G30" s="4" t="str">
        <x:f>IF(H30="Complete","Complete",IF(I30="Blocked","Blocked",IF(I30="In progress","Ready",IF(F30="","Ready",IF(COUNTIFS($B$4:$B$73,F30,$H$4:$H$73,"Complete")=1,"Ready","Waiting")))))</x:f>
        <x:v>Waiting</x:v>
      </x:c>
      <x:c r="H30" s="4" t="str">
        <x:f>IF(I30="Not started","Not started",IF(I30="Blocked","Blocked",IF(I30="In progress","In progress",IF(J30&lt;&gt;"Passed","Awaiting code review",IF(OR(K30="",NOT(ISNUMBER(L30))),"Awaiting review evidence",IF(N30&lt;&gt;"Passed","Awaiting test",IF(OR(M30="",O30="",NOT(ISNUMBER(P30))),"Awaiting test evidence","Complete")))))))</x:f>
        <x:v>Not started</x:v>
      </x:c>
      <x:c r="I30" s="10" t="inlineStr">
        <x:is>
          <x:t xml:space="preserve">Not started</x:t>
        </x:is>
      </x:c>
      <x:c r="J30" s="10" t="inlineStr">
        <x:is>
          <x:t xml:space="preserve">Not reviewed</x:t>
        </x:is>
      </x:c>
      <x:c r="K30" s="10" t="n"/>
      <x:c r="L30" s="30" t="n"/>
      <x:c r="M30" s="10" t="n"/>
      <x:c r="N30" s="10" t="inlineStr">
        <x:is>
          <x:t xml:space="preserve">Not tested</x:t>
        </x:is>
      </x:c>
      <x:c r="O30" s="10" t="n"/>
      <x:c r="P30" s="30" t="n"/>
      <x:c r="Q30" s="10" t="n"/>
      <x:c r="R30" s="10" t="inlineStr">
        <x:is>
          <x:t xml:space="preserve">Before starting this item or feature: reread AGENTS.md from disk; apply its teaching and testing rules.
Next: After verified Department creation, display its list and then teach rename. Complete and verify the module before Category.</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x:t>
        </x:is>
      </x:c>
      <x:c r="F31" s="9" t="inlineStr">
        <x:is>
          <x:t xml:space="preserve">FB-027</x:t>
        </x:is>
      </x:c>
      <x:c r="G31" s="9" t="str">
        <x:f>IF(H31="Complete","Complete",IF(I31="Blocked","Blocked",IF(I31="In progress","Ready",IF(F31="","Ready",IF(COUNTIFS($B$4:$B$73,F31,$H$4:$H$73,"Complete")=1,"Ready","Waiting")))))</x:f>
        <x:v>Waiting</x:v>
      </x:c>
      <x:c r="H31" s="9" t="str">
        <x:f>IF(I31="Not started","Not started",IF(I31="Blocked","Blocked",IF(I31="In progress","In progress",IF(J31&lt;&gt;"Passed","Awaiting code review",IF(OR(K31="",NOT(ISNUMBER(L31))),"Awaiting review evidence",IF(N31&lt;&gt;"Passed","Awaiting test",IF(OR(M31="",O31="",NOT(ISNUMBER(P31))),"Awaiting test evidence","Complete")))))))</x:f>
        <x:v>Not started</x:v>
      </x:c>
      <x:c r="I31" s="11" t="inlineStr">
        <x:is>
          <x:t xml:space="preserve">Not started</x:t>
        </x:is>
      </x:c>
      <x:c r="J31" s="11" t="inlineStr">
        <x:is>
          <x:t xml:space="preserve">Not reviewed</x:t>
        </x:is>
      </x:c>
      <x:c r="K31" s="11" t="n"/>
      <x:c r="L31" s="31" t="n"/>
      <x:c r="M31" s="11" t="n"/>
      <x:c r="N31" s="11" t="inlineStr">
        <x:is>
          <x:t xml:space="preserve">Not tested</x:t>
        </x:is>
      </x:c>
      <x:c r="O31" s="11" t="n"/>
      <x:c r="P31" s="31" t="n"/>
      <x:c r="Q31" s="11" t="n"/>
      <x:c r="R31" s="11" t="inlineStr">
        <x:is>
          <x:t xml:space="preserve">Before starting this item or feature: reread AGENTS.md from disk; apply its teaching and testing rules.
Next: Build Category storage and Department connection, complete and verify creation, then list and rename.</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x:t>
        </x:is>
      </x:c>
      <x:c r="F32" s="4" t="inlineStr">
        <x:is>
          <x:t xml:space="preserve">FB-028</x:t>
        </x:is>
      </x:c>
      <x:c r="G32" s="4" t="str">
        <x:f>IF(H32="Complete","Complete",IF(I32="Blocked","Blocked",IF(I32="In progress","Ready",IF(F32="","Ready",IF(COUNTIFS($B$4:$B$73,F32,$H$4:$H$73,"Complete")=1,"Ready","Waiting")))))</x:f>
        <x:v>Waiting</x:v>
      </x:c>
      <x:c r="H32" s="4" t="str">
        <x:f>IF(I32="Not started","Not started",IF(I32="Blocked","Blocked",IF(I32="In progress","In progress",IF(J32&lt;&gt;"Passed","Awaiting code review",IF(OR(K32="",NOT(ISNUMBER(L32))),"Awaiting review evidence",IF(N32&lt;&gt;"Passed","Awaiting test",IF(OR(M32="",O32="",NOT(ISNUMBER(P32))),"Awaiting test evidence","Complete")))))))</x:f>
        <x:v>Not started</x:v>
      </x:c>
      <x:c r="I32" s="10" t="inlineStr">
        <x:is>
          <x:t xml:space="preserve">Not started</x:t>
        </x:is>
      </x:c>
      <x:c r="J32" s="10" t="inlineStr">
        <x:is>
          <x:t xml:space="preserve">Not reviewed</x:t>
        </x:is>
      </x:c>
      <x:c r="K32" s="10" t="n"/>
      <x:c r="L32" s="30" t="n"/>
      <x:c r="M32" s="10" t="n"/>
      <x:c r="N32" s="10" t="inlineStr">
        <x:is>
          <x:t xml:space="preserve">Not tested</x:t>
        </x:is>
      </x:c>
      <x:c r="O32" s="10" t="n"/>
      <x:c r="P32" s="30" t="n"/>
      <x:c r="Q32" s="10" t="n"/>
      <x:c r="R32" s="10" t="inlineStr">
        <x:is>
          <x:t xml:space="preserve">Before starting this item or feature: reread AGENTS.md from disk; apply its teaching and testing rules.
Next: Build required storage/relationship and complete creation with review and developer-first checks; then display the subcategory list.</x:t>
        </x:is>
      </x:c>
      <x:c r="S32" s="10" t="n"/>
    </x:row>
    <x:row r="33" ht="105" customHeight="1">
      <x:c r="A33" s="9" t="n">
        <x:v>30</x:v>
      </x:c>
      <x:c r="B33" s="9" t="inlineStr">
        <x:is>
          <x:t xml:space="preserve">FB-030</x:t>
        </x:is>
      </x:c>
      <x:c r="C33" s="9" t="inlineStr">
        <x:is>
          <x:t xml:space="preserve">Subcategories</x:t>
        </x:is>
      </x:c>
      <x:c r="D33" s="9" t="inlineStr">
        <x:is>
          <x:t xml:space="preserve">Rename subcategories and verify catalogue permissions</x:t>
        </x:is>
      </x:c>
      <x:c r="E33" s="9" t="inlineStr">
        <x:is>
          <x:t xml:space="preserve">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x:t>
        </x:is>
      </x:c>
      <x:c r="F33" s="9" t="inlineStr">
        <x:is>
          <x:t xml:space="preserve">FB-029</x:t>
        </x:is>
      </x:c>
      <x:c r="G33" s="9" t="str">
        <x:f>IF(H33="Complete","Complete",IF(I33="Blocked","Blocked",IF(I33="In progress","Ready",IF(F33="","Ready",IF(COUNTIFS($B$4:$B$73,F33,$H$4:$H$73,"Complete")=1,"Ready","Waiting")))))</x:f>
        <x:v>Waiting</x:v>
      </x:c>
      <x:c r="H33" s="9" t="str">
        <x:f>IF(I33="Not started","Not started",IF(I33="Blocked","Blocked",IF(I33="In progress","In progress",IF(J33&lt;&gt;"Passed","Awaiting code review",IF(OR(K33="",NOT(ISNUMBER(L33))),"Awaiting review evidence",IF(N33&lt;&gt;"Passed","Awaiting test",IF(OR(M33="",O33="",NOT(ISNUMBER(P33))),"Awaiting test evidence","Complete")))))))</x:f>
        <x:v>Not started</x:v>
      </x:c>
      <x:c r="I33" s="11" t="inlineStr">
        <x:is>
          <x:t xml:space="preserve">Not started</x:t>
        </x:is>
      </x:c>
      <x:c r="J33" s="11" t="inlineStr">
        <x:is>
          <x:t xml:space="preserve">Not reviewed</x:t>
        </x:is>
      </x:c>
      <x:c r="K33" s="11" t="n"/>
      <x:c r="L33" s="31" t="n"/>
      <x:c r="M33" s="11" t="n"/>
      <x:c r="N33" s="11" t="inlineStr">
        <x:is>
          <x:t xml:space="preserve">Not tested</x:t>
        </x:is>
      </x:c>
      <x:c r="O33" s="11" t="n"/>
      <x:c r="P33" s="31" t="n"/>
      <x:c r="Q33" s="11" t="n"/>
      <x:c r="R33" s="11" t="inlineStr">
        <x:is>
          <x:t xml:space="preserve">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x:t>
        </x:is>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Waiting</x:v>
      </x:c>
      <x:c r="H34" s="4" t="str">
        <x:f>IF(I34="Not started","Not started",IF(I34="Blocked","Blocked",IF(I34="In progress","In progress",IF(J34&lt;&gt;"Passed","Awaiting code review",IF(OR(K34="",NOT(ISNUMBER(L34))),"Awaiting review evidence",IF(N34&lt;&gt;"Passed","Awaiting test",IF(OR(M34="",O34="",NOT(ISNUMBER(P34))),"Awaiting test evidence","Complete")))))))</x:f>
        <x:v>Not started</x:v>
      </x:c>
      <x:c r="I34" s="10" t="inlineStr">
        <x:is>
          <x:t xml:space="preserve">Not started</x:t>
        </x:is>
      </x:c>
      <x:c r="J34" s="10" t="inlineStr">
        <x:is>
          <x:t xml:space="preserve">Not reviewed</x:t>
        </x:is>
      </x:c>
      <x:c r="K34" s="10" t="n"/>
      <x:c r="L34" s="30" t="n"/>
      <x:c r="M34" s="10" t="n"/>
      <x:c r="N34" s="10" t="inlineStr">
        <x:is>
          <x:t xml:space="preserve">Not tested</x:t>
        </x:is>
      </x:c>
      <x:c r="O34" s="10" t="n"/>
      <x:c r="P34" s="30" t="n"/>
      <x:c r="Q34" s="10" t="n"/>
      <x:c r="R34" s="10" t="inlineStr">
        <x:is>
          <x:t xml:space="preserve">Before starting this item or feature: reread AGENTS.md from disk; apply its teaching and testing rules.
Next: Complete and verify tag creation before displaying its list; then teach rename.</x:t>
        </x:is>
      </x:c>
      <x:c r="S34" s="10" t="n"/>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inlineStr">
        <x:is>
          <x:t xml:space="preserve">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x:t>
        </x:is>
      </x:c>
      <x:c r="F35" s="9" t="inlineStr">
        <x:is>
          <x:t xml:space="preserve">FB-031</x:t>
        </x:is>
      </x:c>
      <x:c r="G35" s="9" t="str">
        <x:f>IF(H35="Complete","Complete",IF(I35="Blocked","Blocked",IF(I35="In progress","Ready",IF(F35="","Ready",IF(COUNTIFS($B$4:$B$73,F35,$H$4:$H$73,"Complete")=1,"Ready","Waiting")))))</x:f>
        <x:v>Waiting</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inlineStr">
        <x:is>
          <x:t xml:space="preserve">Not started</x:t>
        </x:is>
      </x:c>
      <x:c r="J35" s="11" t="inlineStr">
        <x:is>
          <x:t xml:space="preserve">Not reviewed</x:t>
        </x:is>
      </x:c>
      <x:c r="K35" s="11" t="n"/>
      <x:c r="L35" s="31" t="n"/>
      <x:c r="M35" s="11" t="n"/>
      <x:c r="N35" s="11" t="inlineStr">
        <x:is>
          <x:t xml:space="preserve">Not tested</x:t>
        </x:is>
      </x:c>
      <x:c r="O35" s="11" t="n"/>
      <x:c r="P35" s="31" t="n"/>
      <x:c r="Q35" s="11" t="n"/>
      <x:c r="R35" s="11" t="inlineStr">
        <x:is>
          <x:t xml:space="preserve">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x:t>
        </x:is>
      </x:c>
      <x:c r="S35" s="11" t="n"/>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Explain parent grid/flex, spacing, width and phone-to-desktop arrangement. Introduce local form state gradually; package preview reflects entered values before saving.</x:t>
        </x:is>
      </x:c>
      <x:c r="F36" s="4" t="inlineStr">
        <x:is>
          <x:t xml:space="preserve">FB-032</x:t>
        </x:is>
      </x:c>
      <x:c r="G36" s="4" t="str">
        <x:f>IF(H36="Complete","Complete",IF(I36="Blocked","Blocked",IF(I36="In progress","Ready",IF(F36="","Ready",IF(COUNTIFS($B$4:$B$73,F36,$H$4:$H$73,"Complete")=1,"Ready","Waiting")))))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inlineStr">
        <x:is>
          <x:t xml:space="preserve">Not started</x:t>
        </x:is>
      </x:c>
      <x:c r="J36" s="10" t="inlineStr">
        <x:is>
          <x:t xml:space="preserve">Not reviewed</x:t>
        </x:is>
      </x:c>
      <x:c r="K36" s="10" t="n"/>
      <x:c r="L36" s="30" t="n"/>
      <x:c r="M36" s="10" t="n"/>
      <x:c r="N36" s="10" t="inlineStr">
        <x:is>
          <x:t xml:space="preserve">Not tested</x:t>
        </x:is>
      </x:c>
      <x:c r="O36" s="10" t="n"/>
      <x:c r="P36" s="30" t="n"/>
      <x:c r="Q36" s="10" t="n"/>
      <x:c r="R36" s="10" t="inlineStr">
        <x:is>
          <x:t xml:space="preserve">Before starting this item or feature: reread AGENTS.md from disk; apply its teaching and testing rules.
Next: Start this item after the previous item is complete.</x:t>
        </x:is>
      </x:c>
      <x:c r="S36" s="10" t="n"/>
    </x:row>
    <x:row r="37" ht="105" customHeight="1">
      <x:c r="A37" s="9" t="n">
        <x:v>34</x:v>
      </x:c>
      <x:c r="B37" s="9" t="inlineStr">
        <x:is>
          <x:t xml:space="preserve">FB-034</x:t>
        </x:is>
      </x:c>
      <x:c r="C37" s="9" t="inlineStr">
        <x:is>
          <x:t xml:space="preserve">Products</x:t>
        </x:is>
      </x:c>
      <x:c r="D37" s="9" t="inlineStr">
        <x:is>
          <x:t xml:space="preserve">Choose package units and validate contents</x:t>
        </x:is>
      </x:c>
      <x:c r="E37" s="9" t="inlineStr">
        <x:is>
          <x:t xml:space="preserve">Counting units: bag, box, can, bottle, carton, jar, packet, individual item. Choose kg/g or litres/ml matching subcategory measure. Positive contents allow up to 3 decimals with fewer allowed; item counts are positive integers.</x:t>
        </x:is>
      </x:c>
      <x:c r="F37" s="9" t="inlineStr">
        <x:is>
          <x:t xml:space="preserve">FB-033</x:t>
        </x:is>
      </x:c>
      <x:c r="G37" s="9" t="str">
        <x:f>IF(H37="Complete","Complete",IF(I37="Blocked","Blocked",IF(I37="In progress","Ready",IF(F37="","Ready",IF(COUNTIFS($B$4:$B$73,F37,$H$4:$H$73,"Complete")=1,"Ready","Waiting")))))</x:f>
        <x:v>Waiting</x:v>
      </x:c>
      <x:c r="H37" s="9" t="str">
        <x:f>IF(I37="Not started","Not started",IF(I37="Blocked","Blocked",IF(I37="In progress","In progress",IF(J37&lt;&gt;"Passed","Awaiting code review",IF(OR(K37="",NOT(ISNUMBER(L37))),"Awaiting review evidence",IF(N37&lt;&gt;"Passed","Awaiting test",IF(OR(M37="",O37="",NOT(ISNUMBER(P37))),"Awaiting test evidence","Complete")))))))</x:f>
        <x:v>Not started</x:v>
      </x:c>
      <x:c r="I37" s="11" t="inlineStr">
        <x:is>
          <x:t xml:space="preserve">Not started</x:t>
        </x:is>
      </x:c>
      <x:c r="J37" s="11" t="inlineStr">
        <x:is>
          <x:t xml:space="preserve">Not reviewed</x:t>
        </x:is>
      </x:c>
      <x:c r="K37" s="11" t="n"/>
      <x:c r="L37" s="31" t="n"/>
      <x:c r="M37" s="11" t="n"/>
      <x:c r="N37" s="11" t="inlineStr">
        <x:is>
          <x:t xml:space="preserve">Not tested</x:t>
        </x:is>
      </x:c>
      <x:c r="O37" s="11" t="n"/>
      <x:c r="P37" s="31" t="n"/>
      <x:c r="Q37" s="11" t="n"/>
      <x:c r="R37" s="11" t="inlineStr">
        <x:is>
          <x:t xml:space="preserve">Before starting this item or feature: reread AGENTS.md from disk; apply its teaching and testing rules.
Next: Start this item after the previous item is complete.</x:t>
        </x:is>
      </x:c>
      <x:c r="S37" s="11" t="n"/>
    </x:row>
    <x:row r="38" ht="105" customHeight="1">
      <x:c r="A38" s="4" t="n">
        <x:v>35</x:v>
      </x:c>
      <x:c r="B38" s="4" t="inlineStr">
        <x:is>
          <x:t xml:space="preserve">FB-035</x:t>
        </x:is>
      </x:c>
      <x:c r="C38" s="4" t="inlineStr">
        <x:is>
          <x:t xml:space="preserve">Products</x:t>
        </x:is>
      </x:c>
      <x:c r="D38" s="4" t="inlineStr">
        <x:is>
          <x:t xml:space="preserve">Generate permanent product codes</x:t>
        </x:is>
      </x:c>
      <x:c r="E38" s="4" t="inlineStr">
        <x:is>
          <x:t xml:space="preserve">Automatically assign unique PRD-000001 onward, at least six digits with growth beyond 999999. Never edit/reuse codes or derive from categories. Each brand/size is a separate product; review collision handling.</x:t>
        </x:is>
      </x:c>
      <x:c r="F38" s="4" t="inlineStr">
        <x:is>
          <x:t xml:space="preserve">FB-034</x:t>
        </x:is>
      </x:c>
      <x:c r="G38" s="4" t="str">
        <x:f>IF(H38="Complete","Complete",IF(I38="Blocked","Blocked",IF(I38="In progress","Ready",IF(F38="","Ready",IF(COUNTIFS($B$4:$B$73,F38,$H$4:$H$73,"Complete")=1,"Ready","Waiting")))))</x:f>
        <x:v>Waiting</x:v>
      </x:c>
      <x:c r="H38" s="4" t="str">
        <x:f>IF(I38="Not started","Not started",IF(I38="Blocked","Blocked",IF(I38="In progress","In progress",IF(J38&lt;&gt;"Passed","Awaiting code review",IF(OR(K38="",NOT(ISNUMBER(L38))),"Awaiting review evidence",IF(N38&lt;&gt;"Passed","Awaiting test",IF(OR(M38="",O38="",NOT(ISNUMBER(P38))),"Awaiting test evidence","Complete")))))))</x:f>
        <x:v>Not started</x:v>
      </x:c>
      <x:c r="I38" s="10" t="inlineStr">
        <x:is>
          <x:t xml:space="preserve">Not started</x:t>
        </x:is>
      </x:c>
      <x:c r="J38" s="10" t="inlineStr">
        <x:is>
          <x:t xml:space="preserve">Not reviewed</x:t>
        </x:is>
      </x:c>
      <x:c r="K38" s="10" t="n"/>
      <x:c r="L38" s="30" t="n"/>
      <x:c r="M38" s="10" t="n"/>
      <x:c r="N38" s="10" t="inlineStr">
        <x:is>
          <x:t xml:space="preserve">Not tested</x:t>
        </x:is>
      </x:c>
      <x:c r="O38" s="10" t="n"/>
      <x:c r="P38" s="30" t="n"/>
      <x:c r="Q38" s="10" t="n"/>
      <x:c r="R38" s="10" t="inlineStr">
        <x:is>
          <x:t xml:space="preserve">Before starting this item or feature: reread AGENTS.md from disk; apply its teaching and testing rules.
Next: Start this item after the previous item is complete.</x:t>
        </x:is>
      </x:c>
      <x:c r="S38" s="10" t="n"/>
    </x:row>
    <x:row r="39" ht="105" customHeight="1">
      <x:c r="A39" s="9" t="n">
        <x:v>36</x:v>
      </x:c>
      <x:c r="B39" s="9" t="inlineStr">
        <x:is>
          <x:t xml:space="preserve">FB-036</x:t>
        </x:is>
      </x:c>
      <x:c r="C39" s="9" t="inlineStr">
        <x:is>
          <x:t xml:space="preserve">Products</x:t>
        </x:is>
      </x:c>
      <x:c r="D39" s="9" t="inlineStr">
        <x:is>
          <x:t xml:space="preserve">Prevent duplicate products</x:t>
        </x:is>
      </x:c>
      <x:c r="E39" s="9" t="inlineStr">
        <x:is>
          <x:t xml:space="preserve">Match name, brand, subcategory, counting unit and equivalent contents. Ignore case/outer spaces; 500g=0.5kg and 500ml=0.5litres. Include inactive products; retain name/brand distinctions and reject duplicates.</x:t>
        </x:is>
      </x:c>
      <x:c r="F39" s="9" t="inlineStr">
        <x:is>
          <x:t xml:space="preserve">FB-035</x:t>
        </x:is>
      </x:c>
      <x:c r="G39" s="9" t="str">
        <x:f>IF(H39="Complete","Complete",IF(I39="Blocked","Blocked",IF(I39="In progress","Ready",IF(F39="","Ready",IF(COUNTIFS($B$4:$B$73,F39,$H$4:$H$73,"Complete")=1,"Ready","Waiting")))))</x:f>
        <x:v>Waiting</x:v>
      </x:c>
      <x:c r="H39" s="9" t="str">
        <x:f>IF(I39="Not started","Not started",IF(I39="Blocked","Blocked",IF(I39="In progress","In progress",IF(J39&lt;&gt;"Passed","Awaiting code review",IF(OR(K39="",NOT(ISNUMBER(L39))),"Awaiting review evidence",IF(N39&lt;&gt;"Passed","Awaiting test",IF(OR(M39="",O39="",NOT(ISNUMBER(P39))),"Awaiting test evidence","Complete")))))))</x:f>
        <x:v>Not started</x:v>
      </x:c>
      <x:c r="I39" s="11" t="inlineStr">
        <x:is>
          <x:t xml:space="preserve">Not started</x:t>
        </x:is>
      </x:c>
      <x:c r="J39" s="11" t="inlineStr">
        <x:is>
          <x:t xml:space="preserve">Not reviewed</x:t>
        </x:is>
      </x:c>
      <x:c r="K39" s="11" t="n"/>
      <x:c r="L39" s="31" t="n"/>
      <x:c r="M39" s="11" t="n"/>
      <x:c r="N39" s="11" t="inlineStr">
        <x:is>
          <x:t xml:space="preserve">Not tested</x:t>
        </x:is>
      </x:c>
      <x:c r="O39" s="11" t="n"/>
      <x:c r="P39" s="31" t="n"/>
      <x:c r="Q39" s="11" t="n"/>
      <x:c r="R39" s="11" t="inlineStr">
        <x:is>
          <x:t xml:space="preserve">Before starting this item or feature: reread AGENTS.md from disk; apply its teaching and testing rules.
Next: Start this item after the previous item is complete.</x:t>
        </x:is>
      </x:c>
      <x:c r="S39" s="11" t="n"/>
    </x:row>
    <x:row r="40" ht="105" customHeight="1">
      <x:c r="A40" s="4" t="n">
        <x:v>37</x:v>
      </x:c>
      <x:c r="B40" s="4" t="inlineStr">
        <x:is>
          <x:t xml:space="preserve">FB-037</x:t>
        </x:is>
      </x:c>
      <x:c r="C40" s="4" t="inlineStr">
        <x:is>
          <x:t xml:space="preserve">Products</x:t>
        </x:is>
      </x:c>
      <x:c r="D40" s="4" t="inlineStr">
        <x:is>
          <x:t xml:space="preserve">Save products and attach optional tags</x:t>
        </x:is>
      </x:c>
      <x:c r="E40" s="4" t="inlineStr">
        <x:is>
          <x:t xml:space="preserve">Managers/Super Admin can create; volunteers denied display/write. New stock is zero. Shared tags can be none/multiple. Validate errors, retained input, processing state and successful persisted record.</x:t>
        </x:is>
      </x:c>
      <x:c r="F40" s="4" t="inlineStr">
        <x:is>
          <x:t xml:space="preserve">FB-036</x:t>
        </x:is>
      </x:c>
      <x:c r="G40" s="4" t="str">
        <x:f>IF(H40="Complete","Complete",IF(I40="Blocked","Blocked",IF(I40="In progress","Ready",IF(F40="","Ready",IF(COUNTIFS($B$4:$B$73,F40,$H$4:$H$73,"Complete")=1,"Ready","Waiting")))))</x:f>
        <x:v>Waiting</x:v>
      </x:c>
      <x:c r="H40" s="4" t="str">
        <x:f>IF(I40="Not started","Not started",IF(I40="Blocked","Blocked",IF(I40="In progress","In progress",IF(J40&lt;&gt;"Passed","Awaiting code review",IF(OR(K40="",NOT(ISNUMBER(L40))),"Awaiting review evidence",IF(N40&lt;&gt;"Passed","Awaiting test",IF(OR(M40="",O40="",NOT(ISNUMBER(P40))),"Awaiting test evidence","Complete")))))))</x:f>
        <x:v>Not started</x:v>
      </x:c>
      <x:c r="I40" s="10" t="inlineStr">
        <x:is>
          <x:t xml:space="preserve">Not started</x:t>
        </x:is>
      </x:c>
      <x:c r="J40" s="10" t="inlineStr">
        <x:is>
          <x:t xml:space="preserve">Not reviewed</x:t>
        </x:is>
      </x:c>
      <x:c r="K40" s="10" t="n"/>
      <x:c r="L40" s="30" t="n"/>
      <x:c r="M40" s="10" t="n"/>
      <x:c r="N40" s="10" t="inlineStr">
        <x:is>
          <x:t xml:space="preserve">Not tested</x:t>
        </x:is>
      </x:c>
      <x:c r="O40" s="10" t="n"/>
      <x:c r="P40" s="30" t="n"/>
      <x:c r="Q40" s="10" t="n"/>
      <x:c r="R40" s="10" t="inlineStr">
        <x:is>
          <x:t xml:space="preserve">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x:t>
        </x:is>
      </x:c>
      <x:c r="S40" s="10" t="n"/>
    </x:row>
    <x:row r="41" ht="105" customHeight="1">
      <x:c r="A41" s="9" t="n">
        <x:v>38</x:v>
      </x:c>
      <x:c r="B41" s="9" t="inlineStr">
        <x:is>
          <x:t xml:space="preserve">FB-038</x:t>
        </x:is>
      </x:c>
      <x:c r="C41" s="9" t="inlineStr">
        <x:is>
          <x:t xml:space="preserve">Products</x:t>
        </x:is>
      </x:c>
      <x:c r="D41" s="9" t="inlineStr">
        <x:is>
          <x:t xml:space="preserve">Display the unfiltered product list</x:t>
        </x:is>
      </x:c>
      <x:c r="E41" s="9" t="inlineStr">
        <x:is>
          <x:t xml:space="preserve">All roles see code, name, category path, package contents in saved units, available stock and status. Use visible baseline before filters; verify list access server-side.</x:t>
        </x:is>
      </x:c>
      <x:c r="F41" s="9" t="inlineStr">
        <x:is>
          <x:t xml:space="preserve">FB-037</x:t>
        </x:is>
      </x:c>
      <x:c r="G41" s="9" t="str">
        <x:f>IF(H41="Complete","Complete",IF(I41="Blocked","Blocked",IF(I41="In progress","Ready",IF(F41="","Ready",IF(COUNTIFS($B$4:$B$73,F41,$H$4:$H$73,"Complete")=1,"Ready","Waiting")))))</x:f>
        <x:v>Waiting</x:v>
      </x:c>
      <x:c r="H41" s="9" t="str">
        <x:f>IF(I41="Not started","Not started",IF(I41="Blocked","Blocked",IF(I41="In progress","In progress",IF(J41&lt;&gt;"Passed","Awaiting code review",IF(OR(K41="",NOT(ISNUMBER(L41))),"Awaiting review evidence",IF(N41&lt;&gt;"Passed","Awaiting test",IF(OR(M41="",O41="",NOT(ISNUMBER(P41))),"Awaiting test evidence","Complete")))))))</x:f>
        <x:v>Not started</x:v>
      </x:c>
      <x:c r="I41" s="11" t="inlineStr">
        <x:is>
          <x:t xml:space="preserve">Not started</x:t>
        </x:is>
      </x:c>
      <x:c r="J41" s="11" t="inlineStr">
        <x:is>
          <x:t xml:space="preserve">Not reviewed</x:t>
        </x:is>
      </x:c>
      <x:c r="K41" s="11" t="n"/>
      <x:c r="L41" s="31" t="n"/>
      <x:c r="M41" s="11" t="n"/>
      <x:c r="N41" s="11" t="inlineStr">
        <x:is>
          <x:t xml:space="preserve">Not tested</x:t>
        </x:is>
      </x:c>
      <x:c r="O41" s="11" t="n"/>
      <x:c r="P41" s="31" t="n"/>
      <x:c r="Q41" s="11" t="n"/>
      <x:c r="R41" s="11" t="inlineStr">
        <x:is>
          <x:t xml:space="preserve">Before starting this item or feature: reread AGENTS.md from disk; apply its teaching and testing rules.
Next: Start this item after the previous item is complete.</x:t>
        </x:is>
      </x:c>
      <x:c r="S41" s="11" t="n"/>
    </x:row>
    <x:row r="42" ht="105" customHeight="1">
      <x:c r="A42" s="4" t="n">
        <x:v>39</x:v>
      </x:c>
      <x:c r="B42" s="4" t="inlineStr">
        <x:is>
          <x:t xml:space="preserve">FB-039</x:t>
        </x:is>
      </x:c>
      <x:c r="C42" s="4" t="inlineStr">
        <x:is>
          <x:t xml:space="preserve">Products</x:t>
        </x:is>
      </x:c>
      <x:c r="D42" s="4" t="inlineStr">
        <x:is>
          <x:t xml:space="preserve">Arrange product rows and the filter toolbar</x:t>
        </x:is>
      </x:c>
      <x:c r="E42" s="4" t="inlineStr">
        <x:is>
          <x:t xml:space="preserve">Teach readable widths, wrapping, table overflow and stacked toolbar on small screens. Keep code and available stock understandable without typography/colour lessons.</x:t>
        </x:is>
      </x:c>
      <x:c r="F42" s="4" t="inlineStr">
        <x:is>
          <x:t xml:space="preserve">FB-038</x:t>
        </x:is>
      </x:c>
      <x:c r="G42" s="4" t="str">
        <x:f>IF(H42="Complete","Complete",IF(I42="Blocked","Blocked",IF(I42="In progress","Ready",IF(F42="","Ready",IF(COUNTIFS($B$4:$B$73,F42,$H$4:$H$73,"Complete")=1,"Ready","Waiting")))))</x:f>
        <x:v>Waiting</x:v>
      </x:c>
      <x:c r="H42" s="4" t="str">
        <x:f>IF(I42="Not started","Not started",IF(I42="Blocked","Blocked",IF(I42="In progress","In progress",IF(J42&lt;&gt;"Passed","Awaiting code review",IF(OR(K42="",NOT(ISNUMBER(L42))),"Awaiting review evidence",IF(N42&lt;&gt;"Passed","Awaiting test",IF(OR(M42="",O42="",NOT(ISNUMBER(P42))),"Awaiting test evidence","Complete")))))))</x:f>
        <x:v>Not started</x:v>
      </x:c>
      <x:c r="I42" s="10" t="inlineStr">
        <x:is>
          <x:t xml:space="preserve">Not started</x:t>
        </x:is>
      </x:c>
      <x:c r="J42" s="10" t="inlineStr">
        <x:is>
          <x:t xml:space="preserve">Not reviewed</x:t>
        </x:is>
      </x:c>
      <x:c r="K42" s="10" t="n"/>
      <x:c r="L42" s="30" t="n"/>
      <x:c r="M42" s="10" t="n"/>
      <x:c r="N42" s="10" t="inlineStr">
        <x:is>
          <x:t xml:space="preserve">Not tested</x:t>
        </x:is>
      </x:c>
      <x:c r="O42" s="10" t="n"/>
      <x:c r="P42" s="30" t="n"/>
      <x:c r="Q42" s="10" t="n"/>
      <x:c r="R42" s="10" t="inlineStr">
        <x:is>
          <x:t xml:space="preserve">Before starting this item or feature: reread AGENTS.md from disk; apply its teaching and testing rules.
Next: Start this item after the previous item is complete.</x:t>
        </x:is>
      </x:c>
      <x:c r="S42" s="10" t="n"/>
    </x:row>
    <x:row r="43" ht="105" customHeight="1">
      <x:c r="A43" s="9" t="n">
        <x:v>40</x:v>
      </x:c>
      <x:c r="B43" s="9" t="inlineStr">
        <x:is>
          <x:t xml:space="preserve">FB-040</x:t>
        </x:is>
      </x:c>
      <x:c r="C43" s="9" t="inlineStr">
        <x:is>
          <x:t xml:space="preserve">Products</x:t>
        </x:is>
      </x:c>
      <x:c r="D43" s="9" t="inlineStr">
        <x:is>
          <x:t xml:space="preserve">Add search by product code or name</x:t>
        </x:is>
      </x:c>
      <x:c r="E43" s="9" t="inlineStr">
        <x:is>
          <x:t xml:space="preserve">Search the full catalogue before pagination. Verify both code and name, clear search and no results.</x:t>
        </x:is>
      </x:c>
      <x:c r="F43" s="9" t="inlineStr">
        <x:is>
          <x:t xml:space="preserve">FB-039</x:t>
        </x:is>
      </x:c>
      <x:c r="G43" s="9" t="str">
        <x:f>IF(H43="Complete","Complete",IF(I43="Blocked","Blocked",IF(I43="In progress","Ready",IF(F43="","Ready",IF(COUNTIFS($B$4:$B$73,F43,$H$4:$H$73,"Complete")=1,"Ready","Waiting")))))</x:f>
        <x:v>Waiting</x:v>
      </x:c>
      <x:c r="H43" s="9" t="str">
        <x:f>IF(I43="Not started","Not started",IF(I43="Blocked","Blocked",IF(I43="In progress","In progress",IF(J43&lt;&gt;"Passed","Awaiting code review",IF(OR(K43="",NOT(ISNUMBER(L43))),"Awaiting review evidence",IF(N43&lt;&gt;"Passed","Awaiting test",IF(OR(M43="",O43="",NOT(ISNUMBER(P43))),"Awaiting test evidence","Complete")))))))</x:f>
        <x:v>Not started</x:v>
      </x:c>
      <x:c r="I43" s="11" t="inlineStr">
        <x:is>
          <x:t xml:space="preserve">Not started</x:t>
        </x:is>
      </x:c>
      <x:c r="J43" s="11" t="inlineStr">
        <x:is>
          <x:t xml:space="preserve">Not reviewed</x:t>
        </x:is>
      </x:c>
      <x:c r="K43" s="11" t="n"/>
      <x:c r="L43" s="31" t="n"/>
      <x:c r="M43" s="11" t="n"/>
      <x:c r="N43" s="11" t="inlineStr">
        <x:is>
          <x:t xml:space="preserve">Not tested</x:t>
        </x:is>
      </x:c>
      <x:c r="O43" s="11" t="n"/>
      <x:c r="P43" s="31" t="n"/>
      <x:c r="Q43" s="11" t="n"/>
      <x:c r="R43" s="11" t="inlineStr">
        <x:is>
          <x:t xml:space="preserve">Before starting this item or feature: reread AGENTS.md from disk; apply its teaching and testing rules.
Next: Start this item after the previous item is complete.</x:t>
        </x:is>
      </x:c>
      <x:c r="S43" s="11" t="n"/>
    </x:row>
    <x:row r="44" ht="105" customHeight="1">
      <x:c r="A44" s="4" t="n">
        <x:v>41</x:v>
      </x:c>
      <x:c r="B44" s="4" t="inlineStr">
        <x:is>
          <x:t xml:space="preserve">FB-041</x:t>
        </x:is>
      </x:c>
      <x:c r="C44" s="4" t="inlineStr">
        <x:is>
          <x:t xml:space="preserve">Products</x:t>
        </x:is>
      </x:c>
      <x:c r="D44" s="4" t="inlineStr">
        <x:is>
          <x:t xml:space="preserve">Add the department filter</x:t>
        </x:is>
      </x:c>
      <x:c r="E44" s="4" t="inlineStr">
        <x:is>
          <x:t xml:space="preserve">Filter by department alone and with search. Explain selected state and request values; do not introduce remaining filters yet.</x:t>
        </x:is>
      </x:c>
      <x:c r="F44" s="4" t="inlineStr">
        <x:is>
          <x:t xml:space="preserve">FB-040</x:t>
        </x:is>
      </x:c>
      <x:c r="G44" s="4" t="str">
        <x:f>IF(H44="Complete","Complete",IF(I44="Blocked","Blocked",IF(I44="In progress","Ready",IF(F44="","Ready",IF(COUNTIFS($B$4:$B$73,F44,$H$4:$H$73,"Complete")=1,"Ready","Waiting")))))</x:f>
        <x:v>Waiting</x:v>
      </x:c>
      <x:c r="H44" s="4" t="str">
        <x:f>IF(I44="Not started","Not started",IF(I44="Blocked","Blocked",IF(I44="In progress","In progress",IF(J44&lt;&gt;"Passed","Awaiting code review",IF(OR(K44="",NOT(ISNUMBER(L44))),"Awaiting review evidence",IF(N44&lt;&gt;"Passed","Awaiting test",IF(OR(M44="",O44="",NOT(ISNUMBER(P44))),"Awaiting test evidence","Complete")))))))</x:f>
        <x:v>Not started</x:v>
      </x:c>
      <x:c r="I44" s="10" t="inlineStr">
        <x:is>
          <x:t xml:space="preserve">Not started</x:t>
        </x:is>
      </x:c>
      <x:c r="J44" s="10" t="inlineStr">
        <x:is>
          <x:t xml:space="preserve">Not reviewed</x:t>
        </x:is>
      </x:c>
      <x:c r="K44" s="10" t="n"/>
      <x:c r="L44" s="30" t="n"/>
      <x:c r="M44" s="10" t="n"/>
      <x:c r="N44" s="10" t="inlineStr">
        <x:is>
          <x:t xml:space="preserve">Not tested</x:t>
        </x:is>
      </x:c>
      <x:c r="O44" s="10" t="n"/>
      <x:c r="P44" s="30" t="n"/>
      <x:c r="Q44" s="10" t="n"/>
      <x:c r="R44" s="10" t="inlineStr">
        <x:is>
          <x:t xml:space="preserve">Before starting this item or feature: reread AGENTS.md from disk; apply its teaching and testing rules.
Next: Start this item after the previous item is complete.</x:t>
        </x:is>
      </x:c>
      <x:c r="S44" s="10" t="n"/>
    </x:row>
    <x:row r="45" ht="105" customHeight="1">
      <x:c r="A45" s="9" t="n">
        <x:v>42</x:v>
      </x:c>
      <x:c r="B45" s="9" t="inlineStr">
        <x:is>
          <x:t xml:space="preserve">FB-042</x:t>
        </x:is>
      </x:c>
      <x:c r="C45" s="9" t="inlineStr">
        <x:is>
          <x:t xml:space="preserve">Products</x:t>
        </x:is>
      </x:c>
      <x:c r="D45" s="9" t="inlineStr">
        <x:is>
          <x:t xml:space="preserve">Add the category filter</x:t>
        </x:is>
      </x:c>
      <x:c r="E45" s="9" t="inlineStr">
        <x:is>
          <x:t xml:space="preserve">Filter by category and combine with department/search; changing parent must not leave incompatible selections.</x:t>
        </x:is>
      </x:c>
      <x:c r="F45" s="9" t="inlineStr">
        <x:is>
          <x:t xml:space="preserve">FB-041</x:t>
        </x:is>
      </x:c>
      <x:c r="G45" s="9" t="str">
        <x:f>IF(H45="Complete","Complete",IF(I45="Blocked","Blocked",IF(I45="In progress","Ready",IF(F45="","Ready",IF(COUNTIFS($B$4:$B$73,F45,$H$4:$H$73,"Complete")=1,"Ready","Waiting")))))</x:f>
        <x:v>Waiting</x:v>
      </x:c>
      <x:c r="H45" s="9" t="str">
        <x:f>IF(I45="Not started","Not started",IF(I45="Blocked","Blocked",IF(I45="In progress","In progress",IF(J45&lt;&gt;"Passed","Awaiting code review",IF(OR(K45="",NOT(ISNUMBER(L45))),"Awaiting review evidence",IF(N45&lt;&gt;"Passed","Awaiting test",IF(OR(M45="",O45="",NOT(ISNUMBER(P45))),"Awaiting test evidence","Complete")))))))</x:f>
        <x:v>Not started</x:v>
      </x:c>
      <x:c r="I45" s="11" t="inlineStr">
        <x:is>
          <x:t xml:space="preserve">Not started</x:t>
        </x:is>
      </x:c>
      <x:c r="J45" s="11" t="inlineStr">
        <x:is>
          <x:t xml:space="preserve">Not reviewed</x:t>
        </x:is>
      </x:c>
      <x:c r="K45" s="11" t="n"/>
      <x:c r="L45" s="31" t="n"/>
      <x:c r="M45" s="11" t="n"/>
      <x:c r="N45" s="11" t="inlineStr">
        <x:is>
          <x:t xml:space="preserve">Not tested</x:t>
        </x:is>
      </x:c>
      <x:c r="O45" s="11" t="n"/>
      <x:c r="P45" s="31" t="n"/>
      <x:c r="Q45" s="11" t="n"/>
      <x:c r="R45" s="11" t="inlineStr">
        <x:is>
          <x:t xml:space="preserve">Before starting this item or feature: reread AGENTS.md from disk; apply its teaching and testing rules.
Next: Start this item after the previous item is complete.</x:t>
        </x:is>
      </x:c>
      <x:c r="S45" s="11" t="n"/>
    </x:row>
    <x:row r="46" ht="105" customHeight="1">
      <x:c r="A46" s="4" t="n">
        <x:v>43</x:v>
      </x:c>
      <x:c r="B46" s="4" t="inlineStr">
        <x:is>
          <x:t xml:space="preserve">FB-043</x:t>
        </x:is>
      </x:c>
      <x:c r="C46" s="4" t="inlineStr">
        <x:is>
          <x:t xml:space="preserve">Products</x:t>
        </x:is>
      </x:c>
      <x:c r="D46" s="4" t="inlineStr">
        <x:is>
          <x:t xml:space="preserve">Add the subcategory filter</x:t>
        </x:is>
      </x:c>
      <x:c r="E46" s="4" t="inlineStr">
        <x:is>
          <x:t xml:space="preserve">Filter by subcategory alongside existing selections; verify full path and no skipped/contradictory parent selection.</x:t>
        </x:is>
      </x:c>
      <x:c r="F46" s="4" t="inlineStr">
        <x:is>
          <x:t xml:space="preserve">FB-042</x:t>
        </x:is>
      </x:c>
      <x:c r="G46" s="4" t="str">
        <x:f>IF(H46="Complete","Complete",IF(I46="Blocked","Blocked",IF(I46="In progress","Ready",IF(F46="","Ready",IF(COUNTIFS($B$4:$B$73,F46,$H$4:$H$73,"Complete")=1,"Ready","Waiting")))))</x:f>
        <x:v>Waiting</x:v>
      </x:c>
      <x:c r="H46" s="4" t="str">
        <x:f>IF(I46="Not started","Not started",IF(I46="Blocked","Blocked",IF(I46="In progress","In progress",IF(J46&lt;&gt;"Passed","Awaiting code review",IF(OR(K46="",NOT(ISNUMBER(L46))),"Awaiting review evidence",IF(N46&lt;&gt;"Passed","Awaiting test",IF(OR(M46="",O46="",NOT(ISNUMBER(P46))),"Awaiting test evidence","Complete")))))))</x:f>
        <x:v>Not started</x:v>
      </x:c>
      <x:c r="I46" s="10" t="inlineStr">
        <x:is>
          <x:t xml:space="preserve">Not started</x:t>
        </x:is>
      </x:c>
      <x:c r="J46" s="10" t="inlineStr">
        <x:is>
          <x:t xml:space="preserve">Not reviewed</x:t>
        </x:is>
      </x:c>
      <x:c r="K46" s="10" t="n"/>
      <x:c r="L46" s="30" t="n"/>
      <x:c r="M46" s="10" t="n"/>
      <x:c r="N46" s="10" t="inlineStr">
        <x:is>
          <x:t xml:space="preserve">Not tested</x:t>
        </x:is>
      </x:c>
      <x:c r="O46" s="10" t="n"/>
      <x:c r="P46" s="30" t="n"/>
      <x:c r="Q46" s="10" t="n"/>
      <x:c r="R46" s="10" t="inlineStr">
        <x:is>
          <x:t xml:space="preserve">Before starting this item or feature: reread AGENTS.md from disk; apply its teaching and testing rules.
Next: Start this item after the previous item is complete.</x:t>
        </x:is>
      </x:c>
      <x:c r="S46" s="10" t="n"/>
    </x:row>
    <x:row r="47" ht="105" customHeight="1">
      <x:c r="A47" s="9" t="n">
        <x:v>44</x:v>
      </x:c>
      <x:c r="B47" s="9" t="inlineStr">
        <x:is>
          <x:t xml:space="preserve">FB-044</x:t>
        </x:is>
      </x:c>
      <x:c r="C47" s="9" t="inlineStr">
        <x:is>
          <x:t xml:space="preserve">Products</x:t>
        </x:is>
      </x:c>
      <x:c r="D47" s="9" t="inlineStr">
        <x:is>
          <x:t xml:space="preserve">Add the tag filter</x:t>
        </x:is>
      </x:c>
      <x:c r="E47" s="9" t="inlineStr">
        <x:is>
          <x:t xml:space="preserve">Show products with the selected shared tag; combine with prior filters and search. Untagged products remain visible when tag filter is cleared.</x:t>
        </x:is>
      </x:c>
      <x:c r="F47" s="9" t="inlineStr">
        <x:is>
          <x:t xml:space="preserve">FB-043</x:t>
        </x:is>
      </x:c>
      <x:c r="G47" s="9" t="str">
        <x:f>IF(H47="Complete","Complete",IF(I47="Blocked","Blocked",IF(I47="In progress","Ready",IF(F47="","Ready",IF(COUNTIFS($B$4:$B$73,F47,$H$4:$H$73,"Complete")=1,"Ready","Waiting")))))</x:f>
        <x:v>Waiting</x:v>
      </x:c>
      <x:c r="H47" s="9" t="str">
        <x:f>IF(I47="Not started","Not started",IF(I47="Blocked","Blocked",IF(I47="In progress","In progress",IF(J47&lt;&gt;"Passed","Awaiting code review",IF(OR(K47="",NOT(ISNUMBER(L47))),"Awaiting review evidence",IF(N47&lt;&gt;"Passed","Awaiting test",IF(OR(M47="",O47="",NOT(ISNUMBER(P47))),"Awaiting test evidence","Complete")))))))</x:f>
        <x:v>Not started</x:v>
      </x:c>
      <x:c r="I47" s="11" t="inlineStr">
        <x:is>
          <x:t xml:space="preserve">Not started</x:t>
        </x:is>
      </x:c>
      <x:c r="J47" s="11" t="inlineStr">
        <x:is>
          <x:t xml:space="preserve">Not reviewed</x:t>
        </x:is>
      </x:c>
      <x:c r="K47" s="11" t="n"/>
      <x:c r="L47" s="31" t="n"/>
      <x:c r="M47" s="11" t="n"/>
      <x:c r="N47" s="11" t="inlineStr">
        <x:is>
          <x:t xml:space="preserve">Not tested</x:t>
        </x:is>
      </x:c>
      <x:c r="O47" s="11" t="n"/>
      <x:c r="P47" s="31" t="n"/>
      <x:c r="Q47" s="11" t="n"/>
      <x:c r="R47" s="11" t="inlineStr">
        <x:is>
          <x:t xml:space="preserve">Before starting this item or feature: reread AGENTS.md from disk; apply its teaching and testing rules.
Next: Start this item after the previous item is complete.</x:t>
        </x:is>
      </x:c>
      <x:c r="S47" s="11" t="n"/>
    </x:row>
    <x:row r="48" ht="105" customHeight="1">
      <x:c r="A48" s="4" t="n">
        <x:v>45</x:v>
      </x:c>
      <x:c r="B48" s="4" t="inlineStr">
        <x:is>
          <x:t xml:space="preserve">FB-045</x:t>
        </x:is>
      </x:c>
      <x:c r="C48" s="4" t="inlineStr">
        <x:is>
          <x:t xml:space="preserve">Products</x:t>
        </x:is>
      </x:c>
      <x:c r="D48" s="4" t="inlineStr">
        <x:is>
          <x:t xml:space="preserve">Add the product status filter</x:t>
        </x:is>
      </x:c>
      <x:c r="E48" s="4" t="inlineStr">
        <x:is>
          <x:t xml:space="preserve">All/Active/Inactive works with existing filters. General product list may show inactive/zero-stock products; distribution picker later has stricter rules.</x:t>
        </x:is>
      </x:c>
      <x:c r="F48" s="4" t="inlineStr">
        <x:is>
          <x:t xml:space="preserve">FB-044</x:t>
        </x:is>
      </x:c>
      <x:c r="G48" s="4" t="str">
        <x:f>IF(H48="Complete","Complete",IF(I48="Blocked","Blocked",IF(I48="In progress","Ready",IF(F48="","Ready",IF(COUNTIFS($B$4:$B$73,F48,$H$4:$H$73,"Complete")=1,"Ready","Waiting")))))</x:f>
        <x:v>Waiting</x:v>
      </x:c>
      <x:c r="H48" s="4" t="str">
        <x:f>IF(I48="Not started","Not started",IF(I48="Blocked","Blocked",IF(I48="In progress","In progress",IF(J48&lt;&gt;"Passed","Awaiting code review",IF(OR(K48="",NOT(ISNUMBER(L48))),"Awaiting review evidence",IF(N48&lt;&gt;"Passed","Awaiting test",IF(OR(M48="",O48="",NOT(ISNUMBER(P48))),"Awaiting test evidence","Complete")))))))</x:f>
        <x:v>Not started</x:v>
      </x:c>
      <x:c r="I48" s="10" t="inlineStr">
        <x:is>
          <x:t xml:space="preserve">Not started</x:t>
        </x:is>
      </x:c>
      <x:c r="J48" s="10" t="inlineStr">
        <x:is>
          <x:t xml:space="preserve">Not reviewed</x:t>
        </x:is>
      </x:c>
      <x:c r="K48" s="10" t="n"/>
      <x:c r="L48" s="30" t="n"/>
      <x:c r="M48" s="10" t="n"/>
      <x:c r="N48" s="10" t="inlineStr">
        <x:is>
          <x:t xml:space="preserve">Not tested</x:t>
        </x:is>
      </x:c>
      <x:c r="O48" s="10" t="n"/>
      <x:c r="P48" s="30" t="n"/>
      <x:c r="Q48" s="10" t="n"/>
      <x:c r="R48" s="10" t="inlineStr">
        <x:is>
          <x:t xml:space="preserve">Before starting this item or feature: reread AGENTS.md from disk; apply its teaching and testing rules.
Next: Start this item after the previous item is complete.</x:t>
        </x:is>
      </x:c>
      <x:c r="S48" s="10" t="n"/>
    </x:row>
    <x:row r="49" ht="105" customHeight="1">
      <x:c r="A49" s="9" t="n">
        <x:v>46</x:v>
      </x:c>
      <x:c r="B49" s="9" t="inlineStr">
        <x:is>
          <x:t xml:space="preserve">FB-046</x:t>
        </x:is>
      </x:c>
      <x:c r="C49" s="9" t="inlineStr">
        <x:is>
          <x:t xml:space="preserve">Products</x:t>
        </x:is>
      </x:c>
      <x:c r="D49" s="9" t="inlineStr">
        <x:is>
          <x:t xml:space="preserve">Paginate and verify the full product list</x:t>
        </x:is>
      </x:c>
      <x:c r="E49" s="9" t="inlineStr">
        <x:is>
          <x:t xml:space="preserve">10 products per page after all search/filters. Preserve selections across pages; all roles may list/search/filter. Verify combinations and boundary/empty pages.</x:t>
        </x:is>
      </x:c>
      <x:c r="F49" s="9" t="inlineStr">
        <x:is>
          <x:t xml:space="preserve">FB-045</x:t>
        </x:is>
      </x:c>
      <x:c r="G49" s="9" t="str">
        <x:f>IF(H49="Complete","Complete",IF(I49="Blocked","Blocked",IF(I49="In progress","Ready",IF(F49="","Ready",IF(COUNTIFS($B$4:$B$73,F49,$H$4:$H$73,"Complete")=1,"Ready","Waiting")))))</x:f>
        <x:v>Waiting</x:v>
      </x:c>
      <x:c r="H49" s="9" t="str">
        <x:f>IF(I49="Not started","Not started",IF(I49="Blocked","Blocked",IF(I49="In progress","In progress",IF(J49&lt;&gt;"Passed","Awaiting code review",IF(OR(K49="",NOT(ISNUMBER(L49))),"Awaiting review evidence",IF(N49&lt;&gt;"Passed","Awaiting test",IF(OR(M49="",O49="",NOT(ISNUMBER(P49))),"Awaiting test evidence","Complete")))))))</x:f>
        <x:v>Not started</x:v>
      </x:c>
      <x:c r="I49" s="11" t="inlineStr">
        <x:is>
          <x:t xml:space="preserve">Not started</x:t>
        </x:is>
      </x:c>
      <x:c r="J49" s="11" t="inlineStr">
        <x:is>
          <x:t xml:space="preserve">Not reviewed</x:t>
        </x:is>
      </x:c>
      <x:c r="K49" s="11" t="n"/>
      <x:c r="L49" s="31" t="n"/>
      <x:c r="M49" s="11" t="n"/>
      <x:c r="N49" s="11" t="inlineStr">
        <x:is>
          <x:t xml:space="preserve">Not tested</x:t>
        </x:is>
      </x:c>
      <x:c r="O49" s="11" t="n"/>
      <x:c r="P49" s="31" t="n"/>
      <x:c r="Q49" s="11" t="n"/>
      <x:c r="R49" s="11" t="inlineStr">
        <x:is>
          <x:t xml:space="preserve">Before starting this item or feature: reread AGENTS.md from disk; apply its teaching and testing rules.
Next: Start this item after the previous item is complete.</x:t>
        </x:is>
      </x:c>
      <x:c r="S49" s="11" t="n"/>
    </x:row>
    <x:row r="50" ht="105" customHeight="1">
      <x:c r="A50" s="4" t="n">
        <x:v>47</x:v>
      </x:c>
      <x:c r="B50" s="4" t="inlineStr">
        <x:is>
          <x:t xml:space="preserve">FB-047</x:t>
        </x:is>
      </x:c>
      <x:c r="C50" s="4" t="inlineStr">
        <x:is>
          <x:t xml:space="preserve">Products</x:t>
        </x:is>
      </x:c>
      <x:c r="D50" s="4" t="inlineStr">
        <x:is>
          <x:t xml:space="preserve">Edit product details before movements</x:t>
        </x:is>
      </x:c>
      <x:c r="E50" s="4" t="inlineStr">
        <x:is>
          <x:t xml:space="preserve">Managers/Super Admin may edit catalogue fields subject to validation and duplicates; codes permanent. Explain changes with local zero-stock products. Post-movement locks are added and verified with Receive.</x:t>
        </x:is>
      </x:c>
      <x:c r="F50" s="4" t="inlineStr">
        <x:is>
          <x:t xml:space="preserve">FB-046</x:t>
        </x:is>
      </x:c>
      <x:c r="G50" s="4" t="str">
        <x:f>IF(H50="Complete","Complete",IF(I50="Blocked","Blocked",IF(I50="In progress","Ready",IF(F50="","Ready",IF(COUNTIFS($B$4:$B$73,F50,$H$4:$H$73,"Complete")=1,"Ready","Waiting")))))</x:f>
        <x:v>Waiting</x:v>
      </x:c>
      <x:c r="H50" s="4" t="str">
        <x:f>IF(I50="Not started","Not started",IF(I50="Blocked","Blocked",IF(I50="In progress","In progress",IF(J50&lt;&gt;"Passed","Awaiting code review",IF(OR(K50="",NOT(ISNUMBER(L50))),"Awaiting review evidence",IF(N50&lt;&gt;"Passed","Awaiting test",IF(OR(M50="",O50="",NOT(ISNUMBER(P50))),"Awaiting test evidence","Complete")))))))</x:f>
        <x:v>Not started</x:v>
      </x:c>
      <x:c r="I50" s="10" t="inlineStr">
        <x:is>
          <x:t xml:space="preserve">Not started</x:t>
        </x:is>
      </x:c>
      <x:c r="J50" s="10" t="inlineStr">
        <x:is>
          <x:t xml:space="preserve">Not reviewed</x:t>
        </x:is>
      </x:c>
      <x:c r="K50" s="10" t="n"/>
      <x:c r="L50" s="30" t="n"/>
      <x:c r="M50" s="10" t="n"/>
      <x:c r="N50" s="10" t="inlineStr">
        <x:is>
          <x:t xml:space="preserve">Not tested</x:t>
        </x:is>
      </x:c>
      <x:c r="O50" s="10" t="n"/>
      <x:c r="P50" s="30" t="n"/>
      <x:c r="Q50" s="10" t="n"/>
      <x:c r="R50" s="10" t="inlineStr">
        <x:is>
          <x:t xml:space="preserve">Before starting this item or feature: reread AGENTS.md from disk; apply its teaching and testing rules.
Next: Start this item after the previous item is complete.</x:t>
        </x:is>
      </x:c>
      <x:c r="S50" s="10" t="n"/>
    </x:row>
    <x:row r="51" ht="105" customHeight="1">
      <x:c r="A51" s="9" t="n">
        <x:v>48</x:v>
      </x:c>
      <x:c r="B51" s="9" t="inlineStr">
        <x:is>
          <x:t xml:space="preserve">FB-048</x:t>
        </x:is>
      </x:c>
      <x:c r="C51" s="9" t="inlineStr">
        <x:is>
          <x:t xml:space="preserve">Products</x:t>
        </x:is>
      </x:c>
      <x:c r="D51" s="9" t="inlineStr">
        <x:is>
          <x:t xml:space="preserve">Activate/deactivate products and manage tag removal</x:t>
        </x:is>
      </x:c>
      <x:c r="E51" s="9" t="inlineStr">
        <x:is>
          <x:t xml:space="preserve">Deactivate only at zero stock, retain records instead of deleting. Reactivate later. Remove tags from a product without deleting shared tag; delete shared tag only if unused by active AND inactive products.</x:t>
        </x:is>
      </x:c>
      <x:c r="F51" s="9" t="inlineStr">
        <x:is>
          <x:t xml:space="preserve">FB-047</x:t>
        </x:is>
      </x:c>
      <x:c r="G51" s="9" t="str">
        <x:f>IF(H51="Complete","Complete",IF(I51="Blocked","Blocked",IF(I51="In progress","Ready",IF(F51="","Ready",IF(COUNTIFS($B$4:$B$73,F51,$H$4:$H$73,"Complete")=1,"Ready","Waiting")))))</x:f>
        <x:v>Waiting</x:v>
      </x:c>
      <x:c r="H51" s="9" t="str">
        <x:f>IF(I51="Not started","Not started",IF(I51="Blocked","Blocked",IF(I51="In progress","In progress",IF(J51&lt;&gt;"Passed","Awaiting code review",IF(OR(K51="",NOT(ISNUMBER(L51))),"Awaiting review evidence",IF(N51&lt;&gt;"Passed","Awaiting test",IF(OR(M51="",O51="",NOT(ISNUMBER(P51))),"Awaiting test evidence","Complete")))))))</x:f>
        <x:v>Not started</x:v>
      </x:c>
      <x:c r="I51" s="11" t="inlineStr">
        <x:is>
          <x:t xml:space="preserve">Not started</x:t>
        </x:is>
      </x:c>
      <x:c r="J51" s="11" t="inlineStr">
        <x:is>
          <x:t xml:space="preserve">Not reviewed</x:t>
        </x:is>
      </x:c>
      <x:c r="K51" s="11" t="n"/>
      <x:c r="L51" s="31" t="n"/>
      <x:c r="M51" s="11" t="n"/>
      <x:c r="N51" s="11" t="inlineStr">
        <x:is>
          <x:t xml:space="preserve">Not tested</x:t>
        </x:is>
      </x:c>
      <x:c r="O51" s="11" t="n"/>
      <x:c r="P51" s="31" t="n"/>
      <x:c r="Q51" s="11" t="n"/>
      <x:c r="R51" s="11" t="inlineStr">
        <x:is>
          <x:t xml:space="preserve">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x:t>
        </x:is>
      </x:c>
      <x:c r="S51" s="11" t="n"/>
    </x:row>
    <x:row r="52" ht="105" customHeight="1">
      <x:c r="A52" s="4" t="n">
        <x:v>49</x:v>
      </x:c>
      <x:c r="B52" s="4" t="inlineStr">
        <x:is>
          <x:t xml:space="preserve">FB-067</x:t>
        </x:is>
      </x:c>
      <x:c r="C52" s="4" t="inlineStr">
        <x:is>
          <x:t xml:space="preserve">Verification</x:t>
        </x:is>
      </x:c>
      <x:c r="D52" s="4" t="inlineStr">
        <x:is>
          <x:t xml:space="preserve">Verify the completed catalogue before stock movements</x:t>
        </x:is>
      </x:c>
      <x:c r="E52" s="4" t="inlineStr">
        <x:is>
          <x:t xml:space="preserve">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x:t>
        </x:is>
      </x:c>
      <x:c r="F52" s="4" t="inlineStr">
        <x:is>
          <x:t xml:space="preserve">FB-048</x:t>
        </x:is>
      </x:c>
      <x:c r="G52" s="4" t="str">
        <x:f>IF(H52="Complete","Complete",IF(I52="Blocked","Blocked",IF(I52="In progress","Ready",IF(F52="","Ready",IF(COUNTIFS($B$4:$B$73,F52,$H$4:$H$73,"Complete")=1,"Ready","Waiting")))))</x:f>
        <x:v>Waiting</x:v>
      </x:c>
      <x:c r="H52" s="4" t="str">
        <x:f>IF(I52="Not started","Not started",IF(I52="Blocked","Blocked",IF(I52="In progress","In progress",IF(J52&lt;&gt;"Passed","Awaiting code review",IF(OR(K52="",NOT(ISNUMBER(L52))),"Awaiting review evidence",IF(N52&lt;&gt;"Passed","Awaiting test",IF(OR(M52="",O52="",NOT(ISNUMBER(P52))),"Awaiting test evidence","Complete")))))))</x:f>
        <x:v>Not started</x:v>
      </x:c>
      <x:c r="I52" s="10" t="inlineStr">
        <x:is>
          <x:t xml:space="preserve">Not started</x:t>
        </x:is>
      </x:c>
      <x:c r="J52" s="10" t="inlineStr">
        <x:is>
          <x:t xml:space="preserve">Not reviewed</x:t>
        </x:is>
      </x:c>
      <x:c r="K52" s="10" t="n"/>
      <x:c r="L52" s="30" t="n"/>
      <x:c r="M52" s="10" t="n"/>
      <x:c r="N52" s="10" t="inlineStr">
        <x:is>
          <x:t xml:space="preserve">Not tested</x:t>
        </x:is>
      </x:c>
      <x:c r="O52" s="10" t="n"/>
      <x:c r="P52" s="30" t="n"/>
      <x:c r="Q52" s="10" t="n"/>
      <x:c r="R52" s="10" t="inlineStr">
        <x:is>
          <x:t xml:space="preserve">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x:t>
        </x:is>
      </x:c>
      <x:c r="S52" s="10"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x:t>
        </x:is>
      </x:c>
      <x:c r="F53" s="9" t="inlineStr">
        <x:is>
          <x:t xml:space="preserve">FB-067</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 this item or feature: reread AGENTS.md from disk; apply its teaching and testing rules.
Next: Start this item after the previous item is complete.</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x:t>
        </x:is>
      </x:c>
      <x:c r="S56" s="10" t="n"/>
    </x:row>
    <x:row r="57" ht="105" customHeight="1">
      <x:c r="A57" s="9" t="n">
        <x:v>54</x:v>
      </x:c>
      <x:c r="B57" s="9" t="inlineStr">
        <x:is>
          <x:t xml:space="preserve">FB-053</x:t>
        </x:is>
      </x:c>
      <x:c r="C57" s="9" t="inlineStr">
        <x:is>
          <x:t xml:space="preserve">Receive</x:t>
        </x:is>
      </x:c>
      <x:c r="D57" s="9" t="inlineStr">
        <x:is>
          <x:t xml:space="preserve">Lock product and summary units after first movement</x:t>
        </x:is>
      </x:c>
      <x:c r="E57" s="9" t="inlineStr">
        <x:is>
          <x:t xml:space="preserve">After first movement lock product counting unit, contents/value/unit and subcategory. Lock subcategory summary unit once any child moved. Names/tags remain editable; nonzero products cannot deactivate. Direct writes cannot bypass locks.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x:t>
        </x:is>
      </x:c>
      <x:c r="S57" s="11" t="n"/>
    </x:row>
    <x:row r="58" ht="105" customHeight="1">
      <x:c r="A58" s="4" t="n">
        <x:v>55</x:v>
      </x:c>
      <x:c r="B58" s="4" t="inlineStr">
        <x:is>
          <x:t xml:space="preserve">FB-054</x:t>
        </x:is>
      </x:c>
      <x:c r="C58" s="4" t="inlineStr">
        <x:is>
          <x:t xml:space="preserve">History</x:t>
        </x:is>
      </x:c>
      <x:c r="D58" s="4" t="inlineStr">
        <x:is>
          <x:t xml:space="preserve">Show product stock history to permitted roles</x:t>
        </x:is>
      </x:c>
      <x:c r="E58" s="4" t="inlineStr">
        <x:is>
          <x:t xml:space="preserve">On product details, show type, +/- quantity, timestamp, resulting balance, recorder and receipt/household/reason details. History comes automatically from movements. Managers/Super Admin only; volunteers denied even direct requests.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x:t>
        </x:is>
      </x:c>
      <x:c r="S58" s="10" t="n"/>
    </x:row>
    <x:row r="59" ht="105" customHeight="1">
      <x:c r="A59" s="9" t="n">
        <x:v>56</x:v>
      </x:c>
      <x:c r="B59" s="9" t="inlineStr">
        <x:is>
          <x:t xml:space="preserve">FB-065</x:t>
        </x:is>
      </x:c>
      <x:c r="C59" s="9" t="inlineStr">
        <x:is>
          <x:t xml:space="preserve">Totals</x:t>
        </x:is>
      </x:c>
      <x:c r="D59" s="9" t="inlineStr">
        <x:is>
          <x:t xml:space="preserve">Calculate subcategory totals accurately</x:t>
        </x:is>
      </x:c>
      <x:c r="E59" s="9" t="inlineStr">
        <x:is>
          <x:t xml:space="preserve">Multiply stock by contents, converting g to kg and ml to litres before summing; count eggs as individual items. Example 4x500g+3x1kg+2x5kg=15kg. Keep exact values until display; never replace product counts.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x:t>
        </x:is>
      </x:c>
      <x:c r="S59" s="11" t="n"/>
    </x:row>
    <x:row r="60" ht="105" customHeight="1">
      <x:c r="A60" s="4" t="n">
        <x:v>57</x:v>
      </x:c>
      <x:c r="B60" s="4" t="inlineStr">
        <x:is>
          <x:t xml:space="preserve">FB-066</x:t>
        </x:is>
      </x:c>
      <x:c r="C60" s="4" t="inlineStr">
        <x:is>
          <x:t xml:space="preserve">Totals</x:t>
        </x:is>
      </x:c>
      <x:c r="D60" s="4" t="inlineStr">
        <x:is>
          <x:t xml:space="preserve">Display combined totals on subcategory management</x:t>
        </x:is>
      </x:c>
      <x:c r="E60" s="4" t="inlineStr">
        <x:is>
          <x:t xml:space="preserve">Managers/Super Admin see totals in kg/litres/items with up to 3 decimals, fewer allowed; round display only. Individual product sizes keep saved units. Volunteer cannot access management/history screens.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 this item or feature: reread AGENTS.md from disk; apply its teaching and testing rules.
Next: Start this item after the previous item is complete.</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n"/>
      <x:c r="R65" s="11" t="inlineStr">
        <x:is>
          <x:t xml:space="preserve">Before starting this item or feature: reread AGENTS.md from disk; apply its teaching and testing rules.
Next: Start this item after the previous item is complete.</x:t>
        </x:is>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n"/>
      <x:c r="R66" s="10" t="inlineStr">
        <x:is>
          <x:t xml:space="preserve">Before starting this item or feature: reread AGENTS.md from disk; apply its teaching and testing rules.
Next: Start this item after the previous item is complete.</x:t>
        </x:is>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 this item or feature: reread AGENTS.md from disk; apply its teaching and testing rules.
Next: Start this item after the previous item is complete.</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 this item or feature: reread AGENTS.md from disk; apply its teaching and testing rules.
Next: Start this item after the previous item is complete.</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 this item or feature: reread AGENTS.md from disk; apply its teaching and testing rules.
Next: Start this item after the previous item is complete.</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 this item or feature: reread AGENTS.md from disk; apply its teaching and testing rules.
Next: Start this item after the previous item is complete.</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FB-068</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str">
        <x:v>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R72" s="10" t="str">
        <x:v>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v>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d32c600a867d40af"/>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Roles are fixed after account creation in the current version.</x:t>
        </x:is>
      </x:c>
      <x:c r="E23" s="28" t="inlineStr">
        <x:is>
          <x:t xml:space="preserve">FB-004, FB-019</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##FUTURE</x:t>
        </x:is>
      </x:c>
      <x:c r="D24" s="4" t="inlineStr">
        <x:is>
          <x:t xml:space="preserve">##FUTURE Changing an existing user's role, such as promoting a volunteer to manager.</x:t>
        </x:is>
      </x:c>
      <x:c r="E24" s="4" t="inlineStr">
        <x:is>
          <x:t xml:space="preserve">Deferred — no current item</x:t>
        </x:is>
      </x:c>
      <x:c r="F24" s="4" t="inlineStr">
        <x:is>
          <x:t xml:space="preserve">Deferred</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Stories!B14</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x:t>
        </x:is>
      </x:c>
      <x:c r="E32" s="4" t="inlineStr">
        <x:is>
          <x:t xml:space="preserve">FB-019, FB-020, FB-021, FB-025</x:t>
        </x:is>
      </x:c>
      <x:c r="F32" s="4" t="inlineStr">
        <x:is>
          <x:t xml:space="preserve">Stories!B12</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str">
        <x:v>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v>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Stories!B16</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Stories!B16</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str">
        <x:v>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v>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Stories!B16</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Stories!B16</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Stories!B16</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Stories!B16</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x:t>
        </x:is>
      </x:c>
      <x:c r="E73" s="28" t="inlineStr">
        <x:is>
          <x:t xml:space="preserve">FB-008, FB-024</x:t>
        </x:is>
      </x:c>
      <x:c r="F73" s="28" t="inlineStr">
        <x:is>
          <x:t xml:space="preserve">Stories!B16</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Stories!B23</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Stories!B23</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str">
        <x:v>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str">
        <x:v>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str">
        <x:v>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str">
        <x:v>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str">
        <x:v>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v>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inlineStr">
        <x:is>
          <x:t xml:space="preserve">Current scope</x:t>
        </x:is>
      </x:c>
      <x:c r="D100" s="4" t="inlineStr">
        <x:is>
          <x:t xml:space="preserve">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x:t>
        </x:is>
      </x:c>
      <x:c r="E100" s="4" t="inlineStr">
        <x:is>
          <x:t xml:space="preserve">FB-035</x:t>
        </x:is>
      </x:c>
      <x:c r="F100" s="4" t="inlineStr">
        <x:is>
          <x:t xml:space="preserve">Stories!B38</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Moving categories or subcategories between parents, and deleting departments, categories, or subcategories. Version one supports renaming only for maintenance of existing hierarchy records.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x:t>
        </x:is>
      </x:c>
      <x:c r="E107" s="28" t="inlineStr">
        <x:is>
          <x:t xml:space="preserve">FB-031, FB-037, FB-048</x:t>
        </x:is>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Different brands and package sizes are separate product records with their own stock counts, even when they share the same subcategory.</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inlineStr">
        <x:is>
          <x:t xml:space="preserve">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x:t>
        </x:is>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x:t>
        </x:is>
      </x:c>
      <x:c r="E112" s="4" t="inlineStr">
        <x:is>
          <x:t xml:space="preserve">FB-036</x:t>
        </x:is>
      </x:c>
      <x:c r="F112" s="4" t="inlineStr">
        <x:is>
          <x:t xml:space="preserve">Stories!B39</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First-version stock quantities are whole-number counts of packages or individual items. Each product has one counting unit, such as can, bag, or box. Package size describes the product; stock counts packages/items.</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Package contents measured in individual items must be a positive whole number (for example, 6 or 12 eggs per carton, never 6.5). Weight and volume contents may use up to three decimal places. Movement quantities remain whole packages/items regardless of how package contents are measured.</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Use fixed dropdown choices for counting units: bag, box, can, bottle, carton, jar, packet, and individual item.</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Each subcategory has one summary unit, such as kilograms or individual items. Every product specifies how much one package/item contains in a compatible unit; reconcile that unit with the summary unit for totals.</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Calculate subcategory totals by multiplying each product's whole-number stock count by its package contents and summing the results. For example, rice bags contribute kilograms and egg cartons contribute eggs.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These calculated summaries do not replace individual product balances.</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inlineStr">
        <x:is>
          <x:t xml:space="preserve">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x:t>
        </x:is>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product may appear only once per Receive or Distribute entry. To change the amount, update its existing row's quantity rather than adding another row. Different products or package sizes may have separate rows.</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product. The user selects Add or Remove, enters a positive whole-number quantity, and provides a required reason. Removing stock must still respect the non-negative balance rule.</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Managers and the Super Admin can view each product's stock-movement history in version one. Show movement type, quantity added or removed, date/time, resulting balance, who recorded it, and relevant details such as the receipt, distribution household, or adjustment reason.</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Show product stock-movement history on the product details page and combined subcategory totals on the subcategory management screen, for managers and the Super Admin. Volunteers cannot view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New products start with zero stock. Add any existing stock through a Receive entry so every opening quantity has a recorded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Products use Active/Inactive status instead of deletion in version one. A product can only be deactivated when its stock is zero. Inactive products cannot receive any stock movements until reactivated, but their records and stock-movement history remain available.</x:t>
        </x:is>
      </x:c>
      <x:c r="E140" s="4" t="inlineStr">
        <x:is>
          <x:t xml:space="preserve">FB-048, FB-053</x:t>
        </x:is>
      </x:c>
      <x:c r="F140" s="4" t="inlineStr">
        <x:is>
          <x:t xml:space="preserve">Stories!B51</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After a product's first stock movement, lock its counting unit, package contents, and subcategory. Names and tags remain editable. Different package sizes require separate product records.</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Lock a subcategory's summary unit once any product beneath it has a stock movement, preserving the meaning of product contents and totals. Receiving and issuing stock still uses whole packages/items of a specific product; partial-package movements are outside current scope.</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Consistent units within a subcategory and readable summary formatting are in scope; general unit conversions and loose-weight movements remain future work.</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Include a product list showing product code, product name, category path, package contents, available stock, and status. Managers, the Super Admin, and volunteers can search by product code or product name and filter by department, category, subcategory, tag, and Active/Inactive status.</x:t>
        </x:is>
      </x:c>
      <x:c r="E145" s="28" t="inlineStr">
        <x:is>
          <x:t xml:space="preserve">FB-037–FB-046</x:t>
        </x:is>
      </x:c>
      <x:c r="F145" s="28" t="inlineStr">
        <x:is>
          <x:t xml:space="preserve">Stories!B40</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Stories!B40</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Stories!B52</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Stories!B52</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Stories!B51</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Stories!B52</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Stories!B52</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##FUTURE — Confirmed future direction</x:t>
        </x:is>
      </x:c>
      <x:c r="C169" s="28" t="inlineStr">
        <x:is>
          <x:t xml:space="preserve">##FUTURE</x:t>
        </x:is>
      </x:c>
      <x:c r="D169" s="28" t="inlineStr">
        <x:is>
          <x:t xml:space="preserve">##FUTURE Changes to existing users' roles; permissions and behaviour will be defined later.</x:t>
        </x:is>
      </x:c>
      <x:c r="E169" s="28" t="inlineStr">
        <x:is>
          <x:t xml:space="preserve">Deferred — no current item</x:t>
        </x:is>
      </x:c>
      <x:c r="F169" s="28" t="inlineStr">
        <x:is>
          <x:t xml:space="preserve">Deferred</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str">
        <x: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v>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ae31d309126f4f54"/>
  </x:tableParts>
</x:worksheet>
</file>