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1a428b64b84ea9" /></Relationships>
</file>

<file path=xl/workbook.xml><?xml version="1.0" encoding="utf-8"?>
<x:workbook xmlns:x="http://schemas.openxmlformats.org/spreadsheetml/2006/main">
  <x:sheets>
    <x:sheet xmlns:r="http://schemas.openxmlformats.org/officeDocument/2006/relationships" name="Start Here" sheetId="1" r:id="R736468c541374ea0"/>
    <x:sheet xmlns:r="http://schemas.openxmlformats.org/officeDocument/2006/relationships" name="Stories" sheetId="2" r:id="R7806b91ff2fa40be"/>
    <x:sheet xmlns:r="http://schemas.openxmlformats.org/officeDocument/2006/relationships" name="Requirements" sheetId="3" r:id="Rd966852c4b0e45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534c3f1dc384d92" /><Relationship Type="http://schemas.openxmlformats.org/officeDocument/2006/relationships/theme" Target="/xl/theme/theme1.xml" Id="R4d2e7dd1da114514" /><Relationship Type="http://schemas.openxmlformats.org/officeDocument/2006/relationships/sharedStrings" Target="/xl/sharedStrings.xml" Id="Rdf128992a4bf484e" /><Relationship Type="http://schemas.openxmlformats.org/officeDocument/2006/relationships/worksheet" Target="/xl/worksheets/sheet1.xml" Id="R736468c541374ea0" /><Relationship Type="http://schemas.openxmlformats.org/officeDocument/2006/relationships/worksheet" Target="/xl/worksheets/sheet2.xml" Id="R7806b91ff2fa40be" /><Relationship Type="http://schemas.openxmlformats.org/officeDocument/2006/relationships/worksheet" Target="/xl/worksheets/sheet3.xml" Id="Rd966852c4b0e4580"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d9b8b46002643f8" /></Relationships>
</file>

<file path=xl/worksheets/_rels/sheet3.xml.rels>&#65279;<?xml version="1.0" encoding="utf-8"?><Relationships xmlns="http://schemas.openxmlformats.org/package/2006/relationships"><Relationship Type="http://schemas.openxmlformats.org/officeDocument/2006/relationships/table" Target="/xl/tables/table2.xml" Id="R040b1ade40b8441f"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14</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19</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FB-038</x:v>
      </x:c>
      <x:c r="C10" s="15" t="n"/>
      <x:c r="D10" s="18" t="inlineStr">
        <x:is>
          <x:t xml:space="preserve">Only test application behaviour yourself after the developer delegates it.</x:t>
        </x:is>
      </x:c>
    </x:row>
    <x:row r="11" ht="24" customHeight="1">
      <x:c r="A11" s="15" t="inlineStr">
        <x:is>
          <x:t xml:space="preserve">Verified progress</x:t>
        </x:is>
      </x:c>
      <x:c r="B11" s="29" t="str">
        <x:v>2026-10-30 hierarchy/Tags modules and Product creation verified. Product form saves catalogue fields and shared tags in both directions, with permissions/duplicate safeguards. Product list not started; account deferrals and baseline test failures preserved.</x:v>
      </x:c>
      <x:c r="C11" s="15" t="n"/>
    </x:row>
    <x:row r="12">
      <x:c r="A12" s="15" t="n"/>
      <x:c r="B12" s="15" t="str">
        <x:v>Before starting/resuming this item or feature: reread AGENTS.md from disk; apply teaching/testing rules. ProductSeeder approved/installed/run and rerun verified;750 branded Active Products now ready for list development. Read FB-038 and related Requirements; preview basic unfiltered Product list with name/path/brand/tags/status and all-role viewAny permission before applying. Show changes first per developer preference. No Product list implementation authorized by the seeding request. Main product-or-tag search and filters remain later FB-040/044, no product codes/stock fields. Existing baseline account test failures remain separate; PHP analysis now0 errors.</x:v>
      </x:c>
      <x:c r="C12" s="15" t="n"/>
      <x:c r="D12" s="15" t="n"/>
      <x:c r="E12" s="15" t="n"/>
      <x:c r="F12" s="15" t="n"/>
      <x:c r="G12" s="15" t="n"/>
      <x:c r="H12" s="15" t="n"/>
    </x:row>
    <x:row r="13" ht="40" customHeight="1">
      <x:c r="A13" s="21" t="inlineStr">
        <x:is>
          <x:t xml:space="preserve">Current item ID</x:t>
        </x:is>
      </x:c>
      <x:c r="B13" s="22" t="str">
        <x:v>FB-038</x:v>
      </x:c>
    </x:row>
    <x:row r="14" ht="100" customHeight="1">
      <x:c r="A14" s="21" t="inlineStr">
        <x:is>
          <x:t xml:space="preserve">Current lesson</x:t>
        </x:is>
      </x:c>
      <x:c r="B14" s="22" t="str">
        <x:v>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row>
    <x:row r="15" ht="100" customHeight="1">
      <x:c r="A15" s="21" t="inlineStr">
        <x:is>
          <x:t xml:space="preserve">Next action</x:t>
        </x:is>
      </x:c>
      <x:c r="B15" s="22" t="str">
        <x:v>Before starting/resuming this item or feature: reread AGENTS.md from disk; apply teaching/testing rules. ProductSeeder approved/installed/run and rerun verified;750 branded Active Products now ready for list development. Read FB-038 and related Requirements; preview basic unfiltered Product list with name/path/brand/tags/status and all-role viewAny permission before applying. Show changes first per developer preference. No Product list implementation authorized by the seeding request. Main product-or-tag search and filters remain later FB-040/044, no product codes/stock fields. Existing baseline account test failures remain separate; PHP analysis now0 errors.</x:v>
      </x:c>
    </x:row>
    <x:row r="16" ht="65" customHeight="1">
      <x:c r="A16" s="21" t="inlineStr">
        <x:is>
          <x:t xml:space="preserve">Waiting on</x:t>
        </x:is>
      </x:c>
      <x:c r="B16" s="22" t="str">
        <x:v>Developer readiness to begin Product list; seeding side task complete.</x:v>
      </x:c>
    </x:row>
    <x:row r="17" ht="65" customHeight="1">
      <x:c r="A17" s="21" t="inlineStr">
        <x:is>
          <x:t xml:space="preserve">Last reviewed revision</x:t>
        </x:is>
      </x:c>
      <x:c r="B17" s="22" t="str">
        <x:v>HEAD 3c9d80b6e737c9c750d0eaadc5e9bec3b2f71123 plus current uncommitted Product creation implementation, reviewed2026-10-30</x:v>
      </x:c>
    </x:row>
    <x:row r="18" ht="40" customHeight="1">
      <x:c r="A18" s="21" t="inlineStr">
        <x:is>
          <x:t xml:space="preserve">Current item status</x:t>
        </x:is>
      </x:c>
      <x:c r="B18" s="18" t="str">
        <x:v>Not started</x:v>
      </x:c>
    </x:row>
    <x:row r="19">
      <x:c r="A19" s="15" t="n"/>
      <x:c r="B19" s="15" t="inlineStr">
        <x:is>
          <x: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str">
        <x: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str">
        <x: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1" s="31" t="n">
        <x:v>46324</x:v>
      </x:c>
      <x:c r="M11" s="11" t="inlineStr">
        <x:is>
          <x:t xml:space="preserve">Assistant (delegated; browser Cancel user-assisted)</x:t>
        </x:is>
      </x:c>
      <x:c r="N11" s="11" t="inlineStr">
        <x:is>
          <x:t xml:space="preserve">Failed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1" s="31" t="n">
        <x:v>46324</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3" s="31" t="n">
        <x:v>46324</x:v>
      </x:c>
      <x:c r="M13" s="11" t="inlineStr">
        <x:is>
          <x:t xml:space="preserve">Assistant (delegated; browser Cancel user-assisted)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3" s="31" t="n">
        <x:v>46324</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Changes needed</x:t>
        </x:is>
      </x:c>
      <x:c r="K17"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Changes needed</x:t>
        </x:is>
      </x:c>
      <x:c r="K19"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Changes needed</x:t>
        </x:is>
      </x:c>
      <x:c r="K20"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Changes needed</x:t>
        </x:is>
      </x:c>
      <x:c r="K21"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Changes needed</x:t>
        </x:is>
      </x:c>
      <x:c r="K22"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Changes needed</x:t>
        </x:is>
      </x:c>
      <x:c r="K23"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3" s="31" t="n">
        <x:v>46324</x:v>
      </x:c>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FB-068</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inlineStr">
        <x:is>
          <x: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4" s="10" t="inlineStr">
        <x:is>
          <x: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t>
        </x:is>
      </x:c>
      <x:c r="F25" s="9" t="inlineStr">
        <x:is>
          <x:t xml:space="preserve">FB-015</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inlineStr">
        <x:is>
          <x:t xml:space="preserve">In progress</x:t>
        </x:is>
      </x:c>
      <x:c r="J25" s="11" t="inlineStr">
        <x:is>
          <x:t xml:space="preserve">Changes needed</x:t>
        </x:is>
      </x:c>
      <x:c r="K25" s="11" t="inlineStr">
        <x:is>
          <x: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5" s="31" t="n">
        <x:v>46324</x:v>
      </x:c>
      <x:c r="M25" s="11" t="inlineStr">
        <x:is>
          <x:t xml:space="preserve">Assistant (delegated; browser Cancel user-assisted)</x:t>
        </x:is>
      </x:c>
      <x:c r="N25" s="11" t="inlineStr">
        <x:is>
          <x:t xml:space="preserve">Failed</x:t>
        </x:is>
      </x:c>
      <x:c r="O25" s="11" t="inlineStr">
        <x:is>
          <x: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5" s="31" t="n">
        <x:v>46324</x:v>
      </x:c>
      <x:c r="Q25" s="11" t="inlineStr">
        <x:is>
          <x: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5" s="11"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inlineStr">
        <x:is>
          <x:t xml:space="preserve">In progress</x:t>
        </x:is>
      </x:c>
      <x:c r="J26" s="10" t="inlineStr">
        <x:is>
          <x:t xml:space="preserve">Not reviewed</x:t>
        </x:is>
      </x:c>
      <x:c r="K26" s="10" t="inlineStr">
        <x:is>
          <x: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6" s="30" t="n"/>
      <x:c r="M26" s="10" t="inlineStr">
        <x:is>
          <x:t xml:space="preserve">Assistant (explicit narrow test delegation)</x:t>
        </x:is>
      </x:c>
      <x:c r="N26" s="10" t="inlineStr">
        <x:is>
          <x:t xml:space="preserve">Partial</x:t>
        </x:is>
      </x:c>
      <x:c r="O26" s="10" t="inlineStr">
        <x:is>
          <x: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6" s="30" t="n">
        <x:v>46324</x:v>
      </x:c>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x:t>
        </x:is>
      </x:c>
      <x:c r="R26" s="10" t="inlineStr">
        <x:is>
          <x: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FB-008</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7" s="11" t="inlineStr">
        <x:is>
          <x: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FB-022</x:t>
        </x:is>
      </x:c>
      <x:c r="G28" s="4" t="str">
        <x:f>IF(H28="Complete","Complete",IF(I28="Blocked","Blocked",IF(I28="In progress","Ready",IF(F28="","Ready",IF(COUNTIFS($B$4:$B$73,F28,$H$4:$H$73,"Complete")=1,"Ready","Waiting")))))</x:f>
        <x:v>Ready</x:v>
      </x:c>
      <x:c r="H28" s="4" t="str">
        <x:f>IF(I28="Not started","Not started",IF(I28="Blocked","Blocked",IF(I28="In progress","In progress",IF(J28&lt;&gt;"Passed","Awaiting code review",IF(OR(K28="",NOT(ISNUMBER(L28))),"Awaiting review evidence",IF(N28&lt;&gt;"Passed","Awaiting test",IF(OR(M28="",O28="",NOT(ISNUMBER(P28))),"Awaiting test evidence","Complete")))))))</x:f>
        <x:v>In progress</x:v>
      </x:c>
      <x:c r="I28" s="10" t="inlineStr">
        <x:is>
          <x:t xml:space="preserve">In progress</x:t>
        </x:is>
      </x:c>
      <x:c r="J28" s="10" t="inlineStr">
        <x:is>
          <x:t xml:space="preserve">Changes needed</x:t>
        </x:is>
      </x:c>
      <x:c r="K28" s="10" t="str">
        <x: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8" s="30" t="n">
        <x:v>46324</x:v>
      </x:c>
      <x:c r="M28" s="10" t="inlineStr">
        <x:is>
          <x:t xml:space="preserve">Assistant (delegated; browser Cancel user-assisted)</x:t>
        </x:is>
      </x:c>
      <x:c r="N28" s="10" t="inlineStr">
        <x:is>
          <x:t xml:space="preserve">Failed</x:t>
        </x:is>
      </x:c>
      <x:c r="O28" s="10" t="inlineStr">
        <x:is>
          <x: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8" s="30" t="n">
        <x:v>46324</x:v>
      </x:c>
      <x:c r="Q28" s="10" t="inlineStr">
        <x:is>
          <x: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8" s="10"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Complete</x:v>
      </x:c>
      <x:c r="H29" s="9" t="str">
        <x:f>IF(I29="Not started","Not started",IF(I29="Blocked","Blocked",IF(I29="In progress","In progress",IF(J29&lt;&gt;"Passed","Awaiting code review",IF(OR(K29="",NOT(ISNUMBER(L29))),"Awaiting review evidence",IF(N29&lt;&gt;"Passed","Awaiting test",IF(OR(M29="",O29="",NOT(ISNUMBER(P29))),"Awaiting test evidence","Complete")))))))</x:f>
        <x:v>Complete</x:v>
      </x:c>
      <x:c r="I29" s="11" t="inlineStr">
        <x:is>
          <x:t xml:space="preserve">Ready for review</x:t>
        </x:is>
      </x:c>
      <x:c r="J29" s="11" t="inlineStr">
        <x:is>
          <x:t xml:space="preserve">Passed</x:t>
        </x:is>
      </x:c>
      <x:c r="K29" s="11" t="str">
        <x: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9" s="31" t="n">
        <x:v>46324</x:v>
      </x:c>
      <x:c r="M29" s="11" t="inlineStr">
        <x:is>
          <x:t xml:space="preserve">Developer</x:t>
        </x:is>
      </x:c>
      <x:c r="N29" s="11" t="inlineStr">
        <x:is>
          <x:t xml:space="preserve">Passed</x:t>
        </x:is>
      </x:c>
      <x:c r="O29" s="11" t="inlineStr">
        <x:is>
          <x: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x:t>
        </x:is>
      </x:c>
      <x:c r="P29" s="31" t="n">
        <x:v>46324</x:v>
      </x:c>
      <x:c r="Q29" s="11" t="inlineStr">
        <x:is>
          <x:t xml:space="preserve">2026-10-29 creation complete based on passed source review and overall developer-reported creation testing. No assistant application testing. Seeder added under explicit permission and developer ran successfully.</x:t>
        </x:is>
      </x:c>
      <x:c r="R29" s="11" t="inlineStr">
        <x:is>
          <x:t xml:space="preserve">Before starting/resuming this item or feature: reread AGENTS.md from disk; apply teaching/testing rules. FB-026 complete; continue FB-027 Department list then rename.</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x:t>
        </x:is>
      </x:c>
      <x:c r="F30" s="4" t="inlineStr">
        <x:is>
          <x:t xml:space="preserve">FB-026</x:t>
        </x:is>
      </x:c>
      <x:c r="G30" s="4" t="str">
        <x:f>IF(H30="Complete","Complete",IF(I30="Blocked","Blocked",IF(I30="In progress","Ready",IF(F30="","Ready",IF(COUNTIFS($B$4:$B$73,F30,$H$4:$H$73,"Complete")=1,"Ready","Waiting")))))</x:f>
        <x:v>Complete</x:v>
      </x:c>
      <x:c r="H30" s="4" t="str">
        <x:f>IF(I30="Not started","Not started",IF(I30="Blocked","Blocked",IF(I30="In progress","In progress",IF(J30&lt;&gt;"Passed","Awaiting code review",IF(OR(K30="",NOT(ISNUMBER(L30))),"Awaiting review evidence",IF(N30&lt;&gt;"Passed","Awaiting test",IF(OR(M30="",O30="",NOT(ISNUMBER(P30))),"Awaiting test evidence","Complete")))))))</x:f>
        <x:v>Complete</x:v>
      </x:c>
      <x:c r="I30" s="10" t="inlineStr">
        <x:is>
          <x:t xml:space="preserve">Ready for review</x:t>
        </x:is>
      </x:c>
      <x:c r="J30" s="10" t="inlineStr">
        <x:is>
          <x:t xml:space="preserve">Passed</x:t>
        </x:is>
      </x:c>
      <x:c r="K30" s="10" t="str">
        <x: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0" s="30" t="n">
        <x:v>46324</x:v>
      </x:c>
      <x:c r="M30" s="10" t="inlineStr">
        <x:is>
          <x:t xml:space="preserve">Developer</x:t>
        </x:is>
      </x:c>
      <x:c r="N30" s="10" t="inlineStr">
        <x:is>
          <x:t xml:space="preserve">Passed</x:t>
        </x:is>
      </x:c>
      <x:c r="O30" s="10" t="inlineStr">
        <x:is>
          <x: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x:t>
        </x:is>
      </x:c>
      <x:c r="P30" s="30" t="n">
        <x:v>46324</x:v>
      </x:c>
      <x:c r="Q30" s="10" t="inlineStr">
        <x:is>
          <x: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x:t>
        </x:is>
      </x:c>
      <x:c r="R30" s="10" t="inlineStr">
        <x:is>
          <x:t xml:space="preserve">Before starting/resuming this item or feature: reread AGENTS.md from disk; apply teaching/testing rules. Developer checks full-width Department edit input and right-aligned buttons on wide and narrow screens; record result, then resume FB-028.</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x:t>
        </x:is>
      </x:c>
      <x:c r="F31" s="9" t="inlineStr">
        <x:is>
          <x:t xml:space="preserve">FB-027</x:t>
        </x:is>
      </x:c>
      <x:c r="G31" s="9" t="str">
        <x:f>IF(H31="Complete","Complete",IF(I31="Blocked","Blocked",IF(I31="In progress","Ready",IF(F31="","Ready",IF(COUNTIFS($B$4:$B$73,F31,$H$4:$H$73,"Complete")=1,"Ready","Waiting")))))</x:f>
        <x:v>Complete</x:v>
      </x:c>
      <x:c r="H31" s="9" t="str">
        <x:f>IF(I31="Not started","Not started",IF(I31="Blocked","Blocked",IF(I31="In progress","In progress",IF(J31&lt;&gt;"Passed","Awaiting code review",IF(OR(K31="",NOT(ISNUMBER(L31))),"Awaiting review evidence",IF(N31&lt;&gt;"Passed","Awaiting test",IF(OR(M31="",O31="",NOT(ISNUMBER(P31))),"Awaiting test evidence","Complete")))))))</x:f>
        <x:v>Complete</x:v>
      </x:c>
      <x:c r="I31" s="11" t="inlineStr">
        <x:is>
          <x:t xml:space="preserve">Ready for review</x:t>
        </x:is>
      </x:c>
      <x:c r="J31" s="11" t="inlineStr">
        <x:is>
          <x:t xml:space="preserve">Passed</x:t>
        </x:is>
      </x:c>
      <x:c r="K31" s="11" t="str">
        <x: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1" s="31" t="n">
        <x:v>46324</x:v>
      </x:c>
      <x:c r="M31" s="11" t="inlineStr">
        <x:is>
          <x:t xml:space="preserve">Developer (create/list); Assistant (delegated edit tests and browser)</x:t>
        </x:is>
      </x:c>
      <x:c r="N31" s="11" t="inlineStr">
        <x:is>
          <x:t xml:space="preserve">Passed</x:t>
        </x:is>
      </x:c>
      <x:c r="O31" s="11" t="inlineStr">
        <x:is>
          <x: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P31" s="31" t="n">
        <x:v>46324</x:v>
      </x:c>
      <x:c r="Q31" s="11" t="inlineStr">
        <x:is>
          <x: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R31" s="11" t="inlineStr">
        <x:is>
          <x: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x:t>
        </x:is>
      </x:c>
      <x:c r="F32" s="4" t="inlineStr">
        <x:is>
          <x:t xml:space="preserve">FB-028</x:t>
        </x:is>
      </x:c>
      <x:c r="G32" s="4" t="str">
        <x:f>IF(H32="Complete","Complete",IF(I32="Blocked","Blocked",IF(I32="In progress","Ready",IF(F32="","Ready",IF(COUNTIFS($B$4:$B$73,F32,$H$4:$H$73,"Complete")=1,"Ready","Waiting")))))</x:f>
        <x:v>Complete</x:v>
      </x:c>
      <x:c r="H32" s="4" t="str">
        <x:f>IF(I32="Not started","Not started",IF(I32="Blocked","Blocked",IF(I32="In progress","In progress",IF(J32&lt;&gt;"Passed","Awaiting code review",IF(OR(K32="",NOT(ISNUMBER(L32))),"Awaiting review evidence",IF(N32&lt;&gt;"Passed","Awaiting test",IF(OR(M32="",O32="",NOT(ISNUMBER(P32))),"Awaiting test evidence","Complete")))))))</x:f>
        <x:v>Complete</x:v>
      </x:c>
      <x:c r="I32" s="10" t="str">
        <x:v>Ready for review</x:v>
      </x:c>
      <x:c r="J32" s="10" t="str">
        <x:v>Passed</x:v>
      </x:c>
      <x:c r="K32" s="10" t="str">
        <x: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2" s="30" t="n">
        <x:v>46325</x:v>
      </x:c>
      <x:c r="M32" s="10" t="str">
        <x:v>Assistant (explicitly delegated browser and earlier automated checks)</x:v>
      </x:c>
      <x:c r="N32" s="10" t="str">
        <x:v>Passed</x:v>
      </x:c>
      <x:c r="O32" s="10" t="str">
        <x: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2" s="30" t="n">
        <x:v>46325</x:v>
      </x:c>
      <x:c r="Q32" s="10" t="str">
        <x:v>2026-10-30 completed-feature review consolidated; code review and recorded behaviour checks pass. Subcategory module verified; proceed to Tags FB-031.</x:v>
      </x:c>
      <x:c r="R32" s="10" t="str">
        <x:v>Before starting/resuming this item or feature: reread AGENTS.md from disk; apply teaching/testing rules. Completed; continue Tags FB-031.</x:v>
      </x:c>
      <x:c r="S32" s="10" t="n"/>
    </x:row>
    <x:row r="33" ht="105" customHeight="1">
      <x:c r="A33" s="9" t="n">
        <x:v>30</x:v>
      </x:c>
      <x:c r="B33" s="9" t="inlineStr">
        <x:is>
          <x:t xml:space="preserve">FB-030</x:t>
        </x:is>
      </x:c>
      <x:c r="C33" s="9" t="inlineStr">
        <x:is>
          <x:t xml:space="preserve">Subcategories</x:t>
        </x:is>
      </x:c>
      <x:c r="D33" s="9" t="inlineStr">
        <x:is>
          <x:t xml:space="preserve">Rename and move subcategories; verify catalogue permissions</x:t>
        </x:is>
      </x:c>
      <x:c r="E33" s="9"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x:t>
        </x:is>
      </x:c>
      <x:c r="F33" s="9" t="inlineStr">
        <x:is>
          <x:t xml:space="preserve">FB-029</x:t>
        </x:is>
      </x:c>
      <x:c r="G33" s="9" t="str">
        <x:f>IF(H33="Complete","Complete",IF(I33="Blocked","Blocked",IF(I33="In progress","Ready",IF(F33="","Ready",IF(COUNTIFS($B$4:$B$73,F33,$H$4:$H$73,"Complete")=1,"Ready","Waiting")))))</x:f>
        <x:v>Complete</x:v>
      </x:c>
      <x:c r="H33" s="9" t="str">
        <x:f>IF(I33="Not started","Not started",IF(I33="Blocked","Blocked",IF(I33="In progress","In progress",IF(J33&lt;&gt;"Passed","Awaiting code review",IF(OR(K33="",NOT(ISNUMBER(L33))),"Awaiting review evidence",IF(N33&lt;&gt;"Passed","Awaiting test",IF(OR(M33="",O33="",NOT(ISNUMBER(P33))),"Awaiting test evidence","Complete")))))))</x:f>
        <x:v>Complete</x:v>
      </x:c>
      <x:c r="I33" s="11" t="str">
        <x:v>Ready for review</x:v>
      </x:c>
      <x:c r="J33" s="11" t="str">
        <x:v>Passed</x:v>
      </x:c>
      <x:c r="K33" s="11" t="str">
        <x: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3" s="31" t="n">
        <x:v>46325</x:v>
      </x:c>
      <x:c r="M33" s="11" t="str">
        <x:v>Assistant (explicitly delegated browser and earlier automated checks)</x:v>
      </x:c>
      <x:c r="N33" s="11" t="str">
        <x:v>Passed</x:v>
      </x:c>
      <x:c r="O33" s="11" t="str">
        <x: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3" s="31" t="n">
        <x:v>46325</x:v>
      </x:c>
      <x:c r="Q33" s="11" t="str">
        <x:v>2026-10-30 completed-feature review consolidated; code review and recorded behaviour checks pass. Subcategory module verified; proceed to Tags FB-031.</x:v>
      </x:c>
      <x:c r="R33" s="11" t="str">
        <x:v>Before starting/resuming this item or feature: reread AGENTS.md from disk; apply teaching/testing rules. Completed; continue Tags FB-031.</x:v>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Complete</x:v>
      </x:c>
      <x:c r="H34" s="4" t="str">
        <x:f>IF(I34="Not started","Not started",IF(I34="Blocked","Blocked",IF(I34="In progress","In progress",IF(J34&lt;&gt;"Passed","Awaiting code review",IF(OR(K34="",NOT(ISNUMBER(L34))),"Awaiting review evidence",IF(N34&lt;&gt;"Passed","Awaiting test",IF(OR(M34="",O34="",NOT(ISNUMBER(P34))),"Awaiting test evidence","Complete")))))))</x:f>
        <x:v>Complete</x:v>
      </x:c>
      <x:c r="I34" s="10" t="str">
        <x:v>Ready for review</x:v>
      </x:c>
      <x:c r="J34" s="10" t="str">
        <x:v>Passed</x:v>
      </x:c>
      <x:c r="K34" s="10" t="str">
        <x: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4" s="30" t="n">
        <x:v>46325</x:v>
      </x:c>
      <x:c r="M34" s="10" t="str">
        <x:v>Assistant (explicitly delegated automated, MySQL and browser checks)</x:v>
      </x:c>
      <x:c r="N34" s="10" t="str">
        <x:v>Passed</x:v>
      </x:c>
      <x:c r="O34" s="10" t="str">
        <x: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x:v>
      </x:c>
      <x:c r="P34" s="30" t="n">
        <x:v>46325</x:v>
      </x:c>
      <x:c r="Q34" s="10" t="str">
        <x:v>2026-10-30 FB-031 complete: implemented/reviewed/tested tag creation, paginated search list and rename. Product-related tag work remains at FB-037/048.</x:v>
      </x:c>
      <x:c r="R34" s="10" t="str">
        <x:v>Before starting/resuming this item or feature: reread AGENTS.md from disk; apply teaching/testing rules. Verified complete. Next ready module Products FB-032; resume developer-written small lessons unless explicitly delegated.</x:v>
      </x:c>
      <x:c r="S34" s="10" t="str"/>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str">
        <x:v>Product belongs to Subcategory. Required name/hierarchy/status; optional brand/tags. Build without product codes; retain internal database id. No sizes, packaging, counting/contents units, balances or quantities. Introduce tag persistence at FB-037. Reconsider codes after FB-067 at FB-035.</x:v>
      </x:c>
      <x:c r="F35" s="9" t="inlineStr">
        <x:is>
          <x:t xml:space="preserve">FB-031</x:t>
        </x:is>
      </x:c>
      <x:c r="G35" s="9" t="str">
        <x:f>IF(H35="Complete","Complete",IF(I35="Blocked","Blocked",IF(I35="In progress","Ready",IF(F35="","Ready",IF(COUNTIFS($B$4:$B$73,F35,$H$4:$H$73,"Complete")=1,"Ready","Waiting")))))</x:f>
        <x:v>Complete</x:v>
      </x:c>
      <x:c r="H35" s="9" t="str">
        <x:f>IF(I35="Not started","Not started",IF(I35="Blocked","Blocked",IF(I35="In progress","In progress",IF(J35&lt;&gt;"Passed","Awaiting code review",IF(OR(K35="",NOT(ISNUMBER(L35))),"Awaiting review evidence",IF(N35&lt;&gt;"Passed","Awaiting test",IF(OR(M35="",O35="",NOT(ISNUMBER(P35))),"Awaiting test evidence","Complete")))))))</x:f>
        <x:v>Complete</x:v>
      </x:c>
      <x:c r="I35" s="11" t="str">
        <x:v>Ready for review</x:v>
      </x:c>
      <x:c r="J35" s="11" t="str">
        <x:v>Passed</x:v>
      </x:c>
      <x:c r="K35"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5" s="31" t="n">
        <x:v>46325</x:v>
      </x:c>
      <x:c r="M35" s="11" t="str">
        <x:v>Assistant (explicitly delegated automated, MySQL and browser checks)</x:v>
      </x:c>
      <x:c r="N35" s="11" t="str">
        <x:v>Passed</x:v>
      </x:c>
      <x:c r="O35" s="11" t="str">
        <x: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5" s="31" t="n">
        <x:v>46325</x:v>
      </x:c>
      <x:c r="Q35" s="11" t="str">
        <x:v>2026-10-30 Product creation feature implemented/reviewed/tested; this item verified. Product list next; no product code/stock features implemented.</x:v>
      </x:c>
      <x:c r="R35"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5" s="11" t="str"/>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Teach responsive layout and temporary state for catalogue identity fields only. No package preview or stock values.</x:t>
        </x:is>
      </x:c>
      <x:c r="F36" s="4" t="inlineStr">
        <x:is>
          <x:t xml:space="preserve">FB-032</x:t>
        </x:is>
      </x:c>
      <x:c r="G36" s="4" t="str">
        <x:f>IF(H36="Complete","Complete",IF(I36="Blocked","Blocked",IF(I36="In progress","Ready",IF(F36="","Ready",IF(COUNTIFS($B$4:$B$73,F36,$H$4:$H$73,"Complete")=1,"Ready","Waiting")))))</x:f>
        <x:v>Complete</x:v>
      </x:c>
      <x:c r="H36" s="4" t="str">
        <x:f>IF(I36="Not started","Not started",IF(I36="Blocked","Blocked",IF(I36="In progress","In progress",IF(J36&lt;&gt;"Passed","Awaiting code review",IF(OR(K36="",NOT(ISNUMBER(L36))),"Awaiting review evidence",IF(N36&lt;&gt;"Passed","Awaiting test",IF(OR(M36="",O36="",NOT(ISNUMBER(P36))),"Awaiting test evidence","Complete")))))))</x:f>
        <x:v>Complete</x:v>
      </x:c>
      <x:c r="I36" s="10" t="str">
        <x:v>Ready for review</x:v>
      </x:c>
      <x:c r="J36" s="10" t="str">
        <x:v>Passed</x:v>
      </x:c>
      <x:c r="K36"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6" s="30" t="n">
        <x:v>46325</x:v>
      </x:c>
      <x:c r="M36" s="10" t="str">
        <x:v>Assistant (explicitly delegated automated, MySQL and browser checks)</x:v>
      </x:c>
      <x:c r="N36" s="10" t="str">
        <x:v>Passed</x:v>
      </x:c>
      <x:c r="O36"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6" s="30" t="n">
        <x:v>46325</x:v>
      </x:c>
      <x:c r="Q36" s="10" t="str">
        <x:v>2026-10-30 Product creation feature implemented/reviewed/tested; this item verified. Product list next; no product code/stock features implemented.</x:v>
      </x:c>
      <x:c r="R36"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6" s="10" t="str"/>
    </x:row>
    <x:row r="37" ht="105" customHeight="1">
      <x:c r="A37" s="4" t="n">
        <x:v>48</x:v>
      </x:c>
      <x:c r="B37" s="4" t="inlineStr">
        <x:is>
          <x:t xml:space="preserve">FB-035</x:t>
        </x:is>
      </x:c>
      <x:c r="C37" s="4" t="inlineStr">
        <x:is>
          <x:t xml:space="preserve">Products</x:t>
        </x:is>
      </x:c>
      <x:c r="D37" s="4" t="str">
        <x:v>Reconsider product codes and stock connections after the catalogue works</x:v>
      </x:c>
      <x:c r="E37" s="4" t="str">
        <x: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x:v>
      </x:c>
      <x:c r="F37" s="4" t="str">
        <x:v>FB-067</x:v>
      </x:c>
      <x:c r="G37" s="4" t="str">
        <x:f>IF(H37="Complete","Complete",IF(I37="Blocked","Blocked",IF(I37="In progress","Ready",IF(F37="","Ready",IF(COUNTIFS($B$4:$B$73,F37,$H$4:$H$73,"Complete")=1,"Ready","Waiting")))))</x:f>
        <x:v>Waiting</x:v>
      </x:c>
      <x:c r="H37" s="4" t="str">
        <x:f>IF(I37="Not started","Not started",IF(I37="Blocked","Blocked",IF(I37="In progress","In progress",IF(J37&lt;&gt;"Passed","Awaiting code review",IF(OR(K37="",NOT(ISNUMBER(L37))),"Awaiting review evidence",IF(N37&lt;&gt;"Passed","Awaiting test",IF(OR(M37="",O37="",NOT(ISNUMBER(P37))),"Awaiting test evidence","Complete")))))))</x:f>
        <x:v>Not started</x:v>
      </x:c>
      <x:c r="I37" s="10" t="inlineStr">
        <x:is>
          <x:t xml:space="preserve">Not started</x:t>
        </x:is>
      </x:c>
      <x:c r="J37" s="10" t="inlineStr">
        <x:is>
          <x:t xml:space="preserve">Not reviewed</x:t>
        </x:is>
      </x:c>
      <x:c r="K37" s="10" t="n"/>
      <x:c r="L37" s="30" t="n"/>
      <x:c r="M37" s="10" t="n"/>
      <x:c r="N37" s="10" t="inlineStr">
        <x:is>
          <x:t xml:space="preserve">Not tested</x:t>
        </x:is>
      </x:c>
      <x:c r="O37" s="10" t="n"/>
      <x:c r="P37" s="30" t="n"/>
      <x:c r="Q37" s="10"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37" s="10" t="str">
        <x: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x:v>
      </x:c>
      <x:c r="S37" s="10" t="n"/>
    </x:row>
    <x:row r="38" ht="105" customHeight="1">
      <x:c r="A38" s="9" t="n">
        <x:v>34</x:v>
      </x:c>
      <x:c r="B38" s="9" t="inlineStr">
        <x:is>
          <x:t xml:space="preserve">FB-036</x:t>
        </x:is>
      </x:c>
      <x:c r="C38" s="9" t="inlineStr">
        <x:is>
          <x:t xml:space="preserve">Products</x:t>
        </x:is>
      </x:c>
      <x:c r="D38" s="9" t="inlineStr">
        <x:is>
          <x:t xml:space="preserve">Prevent duplicate catalogue products</x:t>
        </x:is>
      </x:c>
      <x:c r="E38" s="9" t="inlineStr">
        <x:is>
          <x:t xml:space="preserve">Compare name/brand/Subcategory, ignore case/outer spaces and include inactive products. No package contents, counting unit or size in catalogue duplicate identity.</x:t>
        </x:is>
      </x:c>
      <x:c r="F38" s="9" t="str">
        <x:v>FB-033</x:v>
      </x:c>
      <x:c r="G38" s="9" t="str">
        <x:f>IF(H38="Complete","Complete",IF(I38="Blocked","Blocked",IF(I38="In progress","Ready",IF(F38="","Ready",IF(COUNTIFS($B$4:$B$73,F38,$H$4:$H$73,"Complete")=1,"Ready","Waiting")))))</x:f>
        <x:v>Complete</x:v>
      </x:c>
      <x:c r="H38" s="9" t="str">
        <x:f>IF(I38="Not started","Not started",IF(I38="Blocked","Blocked",IF(I38="In progress","In progress",IF(J38&lt;&gt;"Passed","Awaiting code review",IF(OR(K38="",NOT(ISNUMBER(L38))),"Awaiting review evidence",IF(N38&lt;&gt;"Passed","Awaiting test",IF(OR(M38="",O38="",NOT(ISNUMBER(P38))),"Awaiting test evidence","Complete")))))))</x:f>
        <x:v>Complete</x:v>
      </x:c>
      <x:c r="I38" s="11" t="str">
        <x:v>Ready for review</x:v>
      </x:c>
      <x:c r="J38" s="11" t="str">
        <x:v>Passed</x:v>
      </x:c>
      <x:c r="K38"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8" s="31" t="n">
        <x:v>46325</x:v>
      </x:c>
      <x:c r="M38" s="11" t="str">
        <x:v>Assistant (explicitly delegated automated, MySQL and browser checks)</x:v>
      </x:c>
      <x:c r="N38" s="11" t="str">
        <x:v>Passed</x:v>
      </x:c>
      <x:c r="O38" s="11"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8" s="31" t="n">
        <x:v>46325</x:v>
      </x:c>
      <x:c r="Q38" s="11" t="str">
        <x:v>2026-10-30 Product creation feature implemented/reviewed/tested; this item verified. Product list next; no product code/stock features implemented.</x:v>
      </x:c>
      <x:c r="R38"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8" s="11" t="str"/>
    </x:row>
    <x:row r="39" ht="105" customHeight="1">
      <x:c r="A39" s="4" t="n">
        <x:v>35</x:v>
      </x:c>
      <x:c r="B39" s="4" t="inlineStr">
        <x:is>
          <x:t xml:space="preserve">FB-037</x:t>
        </x:is>
      </x:c>
      <x:c r="C39" s="4" t="inlineStr">
        <x:is>
          <x:t xml:space="preserve">Products</x:t>
        </x:is>
      </x:c>
      <x:c r="D39" s="4" t="inlineStr">
        <x:is>
          <x:t xml:space="preserve">Save products and attach optional tags</x:t>
        </x:is>
      </x:c>
      <x:c r="E39" s="4" t="str">
        <x: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x:v>
      </x:c>
      <x:c r="F39" s="4" t="inlineStr">
        <x:is>
          <x:t xml:space="preserve">FB-036</x:t>
        </x:is>
      </x:c>
      <x:c r="G39" s="4" t="str">
        <x:f>IF(H39="Complete","Complete",IF(I39="Blocked","Blocked",IF(I39="In progress","Ready",IF(F39="","Ready",IF(COUNTIFS($B$4:$B$73,F39,$H$4:$H$73,"Complete")=1,"Ready","Waiting")))))</x:f>
        <x:v>Complete</x:v>
      </x:c>
      <x:c r="H39" s="4" t="str">
        <x:f>IF(I39="Not started","Not started",IF(I39="Blocked","Blocked",IF(I39="In progress","In progress",IF(J39&lt;&gt;"Passed","Awaiting code review",IF(OR(K39="",NOT(ISNUMBER(L39))),"Awaiting review evidence",IF(N39&lt;&gt;"Passed","Awaiting test",IF(OR(M39="",O39="",NOT(ISNUMBER(P39))),"Awaiting test evidence","Complete")))))))</x:f>
        <x:v>Complete</x:v>
      </x:c>
      <x:c r="I39" s="10" t="str">
        <x:v>Ready for review</x:v>
      </x:c>
      <x:c r="J39" s="10" t="str">
        <x:v>Passed</x:v>
      </x:c>
      <x:c r="K39"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9" s="30" t="n">
        <x:v>46325</x:v>
      </x:c>
      <x:c r="M39" s="10" t="str">
        <x:v>Assistant (explicitly delegated automated, MySQL and browser checks)</x:v>
      </x:c>
      <x:c r="N39" s="10" t="str">
        <x:v>Passed</x:v>
      </x:c>
      <x:c r="O39"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9" s="30" t="n">
        <x:v>46325</x:v>
      </x:c>
      <x:c r="Q39" s="10" t="str">
        <x:v>2026-10-30 Product creation feature implemented/reviewed/tested; this item verified. Product list next; no product code/stock features implemented.</x:v>
      </x:c>
      <x:c r="R39"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9" s="10" t="str"/>
    </x:row>
    <x:row r="40" ht="105" customHeight="1">
      <x:c r="A40" s="9" t="n">
        <x:v>36</x:v>
      </x:c>
      <x:c r="B40" s="9" t="inlineStr">
        <x:is>
          <x:t xml:space="preserve">FB-038</x:t>
        </x:is>
      </x:c>
      <x:c r="C40" s="9" t="inlineStr">
        <x:is>
          <x:t xml:space="preserve">Products</x:t>
        </x:is>
      </x:c>
      <x:c r="D40" s="9" t="inlineStr">
        <x:is>
          <x:t xml:space="preserve">Display the unfiltered catalogue product list</x:t>
        </x:is>
      </x:c>
      <x:c r="E40" s="9" t="str">
        <x:v>All roles see product name/category path/brand/status; no user-facing code. No size, measurement units, available quantity or totals. Verify server permissions.</x:v>
      </x:c>
      <x:c r="F40" s="9" t="inlineStr">
        <x:is>
          <x:t xml:space="preserve">FB-037</x:t>
        </x:is>
      </x:c>
      <x:c r="G40" s="9" t="str">
        <x:f>IF(H40="Complete","Complete",IF(I40="Blocked","Blocked",IF(I40="In progress","Ready",IF(F40="","Ready",IF(COUNTIFS($B$4:$B$73,F40,$H$4:$H$73,"Complete")=1,"Ready","Waiting")))))</x:f>
        <x:v>Ready</x:v>
      </x:c>
      <x:c r="H40" s="9" t="str">
        <x:f>IF(I40="Not started","Not started",IF(I40="Blocked","Blocked",IF(I40="In progress","In progress",IF(J40&lt;&gt;"Passed","Awaiting code review",IF(OR(K40="",NOT(ISNUMBER(L40))),"Awaiting review evidence",IF(N40&lt;&gt;"Passed","Awaiting test",IF(OR(M40="",O40="",NOT(ISNUMBER(P40))),"Awaiting test evidence","Complete")))))))</x:f>
        <x:v>Not started</x:v>
      </x:c>
      <x:c r="I40" s="11" t="inlineStr">
        <x:is>
          <x:t xml:space="preserve">Not started</x:t>
        </x:is>
      </x:c>
      <x:c r="J40" s="11" t="inlineStr">
        <x:is>
          <x:t xml:space="preserve">Not reviewed</x:t>
        </x:is>
      </x:c>
      <x:c r="K40" s="11" t="n"/>
      <x:c r="L40" s="31" t="n"/>
      <x:c r="M40" s="11" t="n"/>
      <x:c r="N40" s="11" t="inlineStr">
        <x:is>
          <x:t xml:space="preserve">Not tested</x:t>
        </x:is>
      </x:c>
      <x:c r="O40" s="11" t="n"/>
      <x:c r="P40" s="31" t="n"/>
      <x:c r="Q40" s="11" t="str">
        <x:v>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R40" s="11" t="str">
        <x:v>Before starting/resuming this item or feature: reread AGENTS.md from disk; apply teaching/testing rules. ProductSeeder approved/installed/run and rerun verified;750 branded Active Products now ready for list development. Read FB-038 and related Requirements; preview basic unfiltered Product list with name/path/brand/tags/status and all-role viewAny permission before applying. Show changes first per developer preference. No Product list implementation authorized by the seeding request. Main product-or-tag search and filters remain later FB-040/044, no product codes/stock fields. Existing baseline account test failures remain separate; PHP analysis now0 errors.</x:v>
      </x:c>
      <x:c r="S40" s="11" t="n"/>
    </x:row>
    <x:row r="41" ht="105" customHeight="1">
      <x:c r="A41" s="4" t="n">
        <x:v>37</x:v>
      </x:c>
      <x:c r="B41" s="4" t="inlineStr">
        <x:is>
          <x:t xml:space="preserve">FB-039</x:t>
        </x:is>
      </x:c>
      <x:c r="C41" s="4" t="inlineStr">
        <x:is>
          <x:t xml:space="preserve">Products</x:t>
        </x:is>
      </x:c>
      <x:c r="D41" s="4" t="inlineStr">
        <x:is>
          <x:t xml:space="preserve">Arrange catalogue rows and filter toolbar</x:t>
        </x:is>
      </x:c>
      <x:c r="E41" s="4" t="inlineStr">
        <x:is>
          <x:t xml:space="preserve">Teach responsive widths, wrapping/table overflow/stacked toolbar for product identity/classification. No stock/size columns.</x:t>
        </x:is>
      </x:c>
      <x:c r="F41" s="4" t="inlineStr">
        <x:is>
          <x:t xml:space="preserve">FB-038</x:t>
        </x:is>
      </x:c>
      <x:c r="G41" s="4" t="str">
        <x:f>IF(H41="Complete","Complete",IF(I41="Blocked","Blocked",IF(I41="In progress","Ready",IF(F41="","Ready",IF(COUNTIFS($B$4:$B$73,F41,$H$4:$H$73,"Complete")=1,"Ready","Waiting")))))</x:f>
        <x:v>Waiting</x:v>
      </x:c>
      <x:c r="H41" s="4" t="str">
        <x:f>IF(I41="Not started","Not started",IF(I41="Blocked","Blocked",IF(I41="In progress","In progress",IF(J41&lt;&gt;"Passed","Awaiting code review",IF(OR(K41="",NOT(ISNUMBER(L41))),"Awaiting review evidence",IF(N41&lt;&gt;"Passed","Awaiting test",IF(OR(M41="",O41="",NOT(ISNUMBER(P41))),"Awaiting test evidence","Complete")))))))</x:f>
        <x:v>Not started</x:v>
      </x:c>
      <x:c r="I41" s="10" t="inlineStr">
        <x:is>
          <x:t xml:space="preserve">Not started</x:t>
        </x:is>
      </x:c>
      <x:c r="J41" s="10" t="inlineStr">
        <x:is>
          <x:t xml:space="preserve">Not reviewed</x:t>
        </x:is>
      </x:c>
      <x:c r="K41" s="10" t="n"/>
      <x:c r="L41" s="30" t="n"/>
      <x:c r="M41" s="10" t="n"/>
      <x:c r="N41" s="10" t="inlineStr">
        <x:is>
          <x:t xml:space="preserve">Not tested</x:t>
        </x:is>
      </x:c>
      <x:c r="O41" s="10" t="n"/>
      <x:c r="P41" s="30" t="n"/>
      <x:c r="Q41" s="10" t="n"/>
      <x:c r="R41"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1" s="10" t="n"/>
    </x:row>
    <x:row r="42" ht="105" customHeight="1">
      <x:c r="A42" s="9" t="n">
        <x:v>38</x:v>
      </x:c>
      <x:c r="B42" s="9" t="inlineStr">
        <x:is>
          <x:t xml:space="preserve">FB-040</x:t>
        </x:is>
      </x:c>
      <x:c r="C42" s="9" t="inlineStr">
        <x:is>
          <x:t xml:space="preserve">Products</x:t>
        </x:is>
      </x:c>
      <x:c r="D42" s="9" t="str">
        <x:v>Add search by product name or tag name</x:v>
      </x:c>
      <x:c r="E42" s="9" t="str">
        <x: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x:v>
      </x:c>
      <x:c r="F42" s="9" t="inlineStr">
        <x:is>
          <x:t xml:space="preserve">FB-039</x:t>
        </x:is>
      </x:c>
      <x:c r="G42" s="9" t="str">
        <x:f>IF(H42="Complete","Complete",IF(I42="Blocked","Blocked",IF(I42="In progress","Ready",IF(F42="","Ready",IF(COUNTIFS($B$4:$B$73,F42,$H$4:$H$73,"Complete")=1,"Ready","Waiting")))))</x:f>
        <x:v>Waiting</x:v>
      </x:c>
      <x:c r="H42" s="9" t="str">
        <x:f>IF(I42="Not started","Not started",IF(I42="Blocked","Blocked",IF(I42="In progress","In progress",IF(J42&lt;&gt;"Passed","Awaiting code review",IF(OR(K42="",NOT(ISNUMBER(L42))),"Awaiting review evidence",IF(N42&lt;&gt;"Passed","Awaiting test",IF(OR(M42="",O42="",NOT(ISNUMBER(P42))),"Awaiting test evidence","Complete")))))))</x:f>
        <x:v>Not started</x:v>
      </x:c>
      <x:c r="I42" s="11" t="inlineStr">
        <x:is>
          <x:t xml:space="preserve">Not started</x:t>
        </x:is>
      </x:c>
      <x:c r="J42" s="11" t="inlineStr">
        <x:is>
          <x:t xml:space="preserve">Not reviewed</x:t>
        </x:is>
      </x:c>
      <x:c r="K42" s="11" t="n"/>
      <x:c r="L42" s="31" t="n"/>
      <x:c r="M42" s="11" t="n"/>
      <x:c r="N42" s="11" t="inlineStr">
        <x:is>
          <x:t xml:space="preserve">Not tested</x:t>
        </x:is>
      </x:c>
      <x:c r="O42" s="11" t="n"/>
      <x:c r="P42" s="31" t="n"/>
      <x:c r="Q42" s="11" t="n"/>
      <x:c r="R42"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2" s="11" t="n"/>
    </x:row>
    <x:row r="43" ht="105" customHeight="1">
      <x:c r="A43" s="4" t="n">
        <x:v>39</x:v>
      </x:c>
      <x:c r="B43" s="4" t="inlineStr">
        <x:is>
          <x:t xml:space="preserve">FB-041</x:t>
        </x:is>
      </x:c>
      <x:c r="C43" s="4" t="inlineStr">
        <x:is>
          <x:t xml:space="preserve">Products</x:t>
        </x:is>
      </x:c>
      <x:c r="D43" s="4" t="inlineStr">
        <x:is>
          <x:t xml:space="preserve">Add the department filter</x:t>
        </x:is>
      </x:c>
      <x:c r="E43" s="4" t="inlineStr">
        <x:is>
          <x:t xml:space="preserve">Filter by department alone and with search. Explain selected state and request values; do not introduce remaining filters yet.</x:t>
        </x:is>
      </x:c>
      <x:c r="F43" s="4" t="inlineStr">
        <x:is>
          <x:t xml:space="preserve">FB-040</x:t>
        </x:is>
      </x:c>
      <x:c r="G43" s="4" t="str">
        <x:f>IF(H43="Complete","Complete",IF(I43="Blocked","Blocked",IF(I43="In progress","Ready",IF(F43="","Ready",IF(COUNTIFS($B$4:$B$73,F43,$H$4:$H$73,"Complete")=1,"Ready","Waiting")))))</x:f>
        <x:v>Waiting</x:v>
      </x:c>
      <x:c r="H43" s="4" t="str">
        <x:f>IF(I43="Not started","Not started",IF(I43="Blocked","Blocked",IF(I43="In progress","In progress",IF(J43&lt;&gt;"Passed","Awaiting code review",IF(OR(K43="",NOT(ISNUMBER(L43))),"Awaiting review evidence",IF(N43&lt;&gt;"Passed","Awaiting test",IF(OR(M43="",O43="",NOT(ISNUMBER(P43))),"Awaiting test evidence","Complete")))))))</x:f>
        <x:v>Not started</x:v>
      </x:c>
      <x:c r="I43" s="10" t="inlineStr">
        <x:is>
          <x:t xml:space="preserve">Not started</x:t>
        </x:is>
      </x:c>
      <x:c r="J43" s="10" t="inlineStr">
        <x:is>
          <x:t xml:space="preserve">Not reviewed</x:t>
        </x:is>
      </x:c>
      <x:c r="K43" s="10" t="n"/>
      <x:c r="L43" s="30" t="n"/>
      <x:c r="M43" s="10" t="n"/>
      <x:c r="N43" s="10" t="inlineStr">
        <x:is>
          <x:t xml:space="preserve">Not tested</x:t>
        </x:is>
      </x:c>
      <x:c r="O43" s="10" t="n"/>
      <x:c r="P43" s="30" t="n"/>
      <x:c r="Q43" s="10" t="n"/>
      <x:c r="R43"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3" s="10" t="n"/>
    </x:row>
    <x:row r="44" ht="105" customHeight="1">
      <x:c r="A44" s="9" t="n">
        <x:v>40</x:v>
      </x:c>
      <x:c r="B44" s="9" t="inlineStr">
        <x:is>
          <x:t xml:space="preserve">FB-042</x:t>
        </x:is>
      </x:c>
      <x:c r="C44" s="9" t="inlineStr">
        <x:is>
          <x:t xml:space="preserve">Products</x:t>
        </x:is>
      </x:c>
      <x:c r="D44" s="9" t="inlineStr">
        <x:is>
          <x:t xml:space="preserve">Add the category filter</x:t>
        </x:is>
      </x:c>
      <x:c r="E44" s="9" t="inlineStr">
        <x:is>
          <x:t xml:space="preserve">Filter by category and combine with department/search; changing parent must not leave incompatible selections.</x:t>
        </x:is>
      </x:c>
      <x:c r="F44" s="9" t="inlineStr">
        <x:is>
          <x:t xml:space="preserve">FB-041</x:t>
        </x:is>
      </x:c>
      <x:c r="G44" s="9" t="str">
        <x:f>IF(H44="Complete","Complete",IF(I44="Blocked","Blocked",IF(I44="In progress","Ready",IF(F44="","Ready",IF(COUNTIFS($B$4:$B$73,F44,$H$4:$H$73,"Complete")=1,"Ready","Waiting")))))</x:f>
        <x:v>Waiting</x:v>
      </x:c>
      <x:c r="H44" s="9" t="str">
        <x:f>IF(I44="Not started","Not started",IF(I44="Blocked","Blocked",IF(I44="In progress","In progress",IF(J44&lt;&gt;"Passed","Awaiting code review",IF(OR(K44="",NOT(ISNUMBER(L44))),"Awaiting review evidence",IF(N44&lt;&gt;"Passed","Awaiting test",IF(OR(M44="",O44="",NOT(ISNUMBER(P44))),"Awaiting test evidence","Complete")))))))</x:f>
        <x:v>Not started</x:v>
      </x:c>
      <x:c r="I44" s="11" t="inlineStr">
        <x:is>
          <x:t xml:space="preserve">Not started</x:t>
        </x:is>
      </x:c>
      <x:c r="J44" s="11" t="inlineStr">
        <x:is>
          <x:t xml:space="preserve">Not reviewed</x:t>
        </x:is>
      </x:c>
      <x:c r="K44" s="11" t="n"/>
      <x:c r="L44" s="31" t="n"/>
      <x:c r="M44" s="11" t="n"/>
      <x:c r="N44" s="11" t="inlineStr">
        <x:is>
          <x:t xml:space="preserve">Not tested</x:t>
        </x:is>
      </x:c>
      <x:c r="O44" s="11" t="n"/>
      <x:c r="P44" s="31" t="n"/>
      <x:c r="Q44" s="11" t="n"/>
      <x:c r="R44"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4" s="11" t="n"/>
    </x:row>
    <x:row r="45" ht="105" customHeight="1">
      <x:c r="A45" s="4" t="n">
        <x:v>41</x:v>
      </x:c>
      <x:c r="B45" s="4" t="inlineStr">
        <x:is>
          <x:t xml:space="preserve">FB-043</x:t>
        </x:is>
      </x:c>
      <x:c r="C45" s="4" t="inlineStr">
        <x:is>
          <x:t xml:space="preserve">Products</x:t>
        </x:is>
      </x:c>
      <x:c r="D45" s="4" t="inlineStr">
        <x:is>
          <x:t xml:space="preserve">Add the subcategory filter</x:t>
        </x:is>
      </x:c>
      <x:c r="E45" s="4" t="inlineStr">
        <x:is>
          <x:t xml:space="preserve">Filter by subcategory alongside existing selections; verify full path and no skipped/contradictory parent selection.</x:t>
        </x:is>
      </x:c>
      <x:c r="F45" s="4" t="inlineStr">
        <x:is>
          <x:t xml:space="preserve">FB-042</x:t>
        </x:is>
      </x:c>
      <x:c r="G45" s="4" t="str">
        <x:f>IF(H45="Complete","Complete",IF(I45="Blocked","Blocked",IF(I45="In progress","Ready",IF(F45="","Ready",IF(COUNTIFS($B$4:$B$73,F45,$H$4:$H$73,"Complete")=1,"Ready","Waiting")))))</x:f>
        <x:v>Waiting</x:v>
      </x:c>
      <x:c r="H45" s="4" t="str">
        <x:f>IF(I45="Not started","Not started",IF(I45="Blocked","Blocked",IF(I45="In progress","In progress",IF(J45&lt;&gt;"Passed","Awaiting code review",IF(OR(K45="",NOT(ISNUMBER(L45))),"Awaiting review evidence",IF(N45&lt;&gt;"Passed","Awaiting test",IF(OR(M45="",O45="",NOT(ISNUMBER(P45))),"Awaiting test evidence","Complete")))))))</x:f>
        <x:v>Not started</x:v>
      </x:c>
      <x:c r="I45" s="10" t="inlineStr">
        <x:is>
          <x:t xml:space="preserve">Not started</x:t>
        </x:is>
      </x:c>
      <x:c r="J45" s="10" t="inlineStr">
        <x:is>
          <x:t xml:space="preserve">Not reviewed</x:t>
        </x:is>
      </x:c>
      <x:c r="K45" s="10" t="n"/>
      <x:c r="L45" s="30" t="n"/>
      <x:c r="M45" s="10" t="n"/>
      <x:c r="N45" s="10" t="inlineStr">
        <x:is>
          <x:t xml:space="preserve">Not tested</x:t>
        </x:is>
      </x:c>
      <x:c r="O45" s="10" t="n"/>
      <x:c r="P45" s="30" t="n"/>
      <x:c r="Q45" s="10" t="n"/>
      <x:c r="R45"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5" s="10" t="n"/>
    </x:row>
    <x:row r="46" ht="105" customHeight="1">
      <x:c r="A46" s="9" t="n">
        <x:v>42</x:v>
      </x:c>
      <x:c r="B46" s="9" t="inlineStr">
        <x:is>
          <x:t xml:space="preserve">FB-044</x:t>
        </x:is>
      </x:c>
      <x:c r="C46" s="9" t="inlineStr">
        <x:is>
          <x:t xml:space="preserve">Products</x:t>
        </x:is>
      </x:c>
      <x:c r="D46" s="9" t="inlineStr">
        <x:is>
          <x:t xml:space="preserve">Add the tag filter</x:t>
        </x:is>
      </x:c>
      <x:c r="E46" s="9" t="inlineStr">
        <x:is>
          <x:t xml:space="preserve">Show products with the selected shared tag; combine with prior filters and search. Untagged products remain visible when tag filter is cleared.</x:t>
        </x:is>
      </x:c>
      <x:c r="F46" s="9" t="inlineStr">
        <x:is>
          <x:t xml:space="preserve">FB-043</x:t>
        </x:is>
      </x:c>
      <x:c r="G46" s="9" t="str">
        <x:f>IF(H46="Complete","Complete",IF(I46="Blocked","Blocked",IF(I46="In progress","Ready",IF(F46="","Ready",IF(COUNTIFS($B$4:$B$73,F46,$H$4:$H$73,"Complete")=1,"Ready","Waiting")))))</x:f>
        <x:v>Waiting</x:v>
      </x:c>
      <x:c r="H46" s="9" t="str">
        <x:f>IF(I46="Not started","Not started",IF(I46="Blocked","Blocked",IF(I46="In progress","In progress",IF(J46&lt;&gt;"Passed","Awaiting code review",IF(OR(K46="",NOT(ISNUMBER(L46))),"Awaiting review evidence",IF(N46&lt;&gt;"Passed","Awaiting test",IF(OR(M46="",O46="",NOT(ISNUMBER(P46))),"Awaiting test evidence","Complete")))))))</x:f>
        <x:v>Not started</x:v>
      </x:c>
      <x:c r="I46" s="11" t="inlineStr">
        <x:is>
          <x:t xml:space="preserve">Not started</x:t>
        </x:is>
      </x:c>
      <x:c r="J46" s="11" t="inlineStr">
        <x:is>
          <x:t xml:space="preserve">Not reviewed</x:t>
        </x:is>
      </x:c>
      <x:c r="K46" s="11" t="n"/>
      <x:c r="L46" s="31" t="n"/>
      <x:c r="M46" s="11" t="n"/>
      <x:c r="N46" s="11" t="inlineStr">
        <x:is>
          <x:t xml:space="preserve">Not tested</x:t>
        </x:is>
      </x:c>
      <x:c r="O46" s="11" t="n"/>
      <x:c r="P46" s="31" t="n"/>
      <x:c r="Q46" s="11" t="n"/>
      <x:c r="R46"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6" s="11" t="n"/>
    </x:row>
    <x:row r="47" ht="105" customHeight="1">
      <x:c r="A47" s="4" t="n">
        <x:v>43</x:v>
      </x:c>
      <x:c r="B47" s="4" t="inlineStr">
        <x:is>
          <x:t xml:space="preserve">FB-045</x:t>
        </x:is>
      </x:c>
      <x:c r="C47" s="4" t="inlineStr">
        <x:is>
          <x:t xml:space="preserve">Products</x:t>
        </x:is>
      </x:c>
      <x:c r="D47" s="4" t="inlineStr">
        <x:is>
          <x:t xml:space="preserve">Add the product status filter</x:t>
        </x:is>
      </x:c>
      <x:c r="E47" s="4" t="inlineStr">
        <x:is>
          <x:t xml:space="preserve">All/Active/Inactive works with existing filters. General product list may show inactive/zero-stock products; distribution picker later has stricter rules.</x:t>
        </x:is>
      </x:c>
      <x:c r="F47" s="4" t="inlineStr">
        <x:is>
          <x:t xml:space="preserve">FB-044</x:t>
        </x:is>
      </x:c>
      <x:c r="G47" s="4" t="str">
        <x:f>IF(H47="Complete","Complete",IF(I47="Blocked","Blocked",IF(I47="In progress","Ready",IF(F47="","Ready",IF(COUNTIFS($B$4:$B$73,F47,$H$4:$H$73,"Complete")=1,"Ready","Waiting")))))</x:f>
        <x:v>Waiting</x:v>
      </x:c>
      <x:c r="H47" s="4" t="str">
        <x:f>IF(I47="Not started","Not started",IF(I47="Blocked","Blocked",IF(I47="In progress","In progress",IF(J47&lt;&gt;"Passed","Awaiting code review",IF(OR(K47="",NOT(ISNUMBER(L47))),"Awaiting review evidence",IF(N47&lt;&gt;"Passed","Awaiting test",IF(OR(M47="",O47="",NOT(ISNUMBER(P47))),"Awaiting test evidence","Complete")))))))</x:f>
        <x:v>Not started</x:v>
      </x:c>
      <x:c r="I47" s="10" t="inlineStr">
        <x:is>
          <x:t xml:space="preserve">Not started</x:t>
        </x:is>
      </x:c>
      <x:c r="J47" s="10" t="inlineStr">
        <x:is>
          <x:t xml:space="preserve">Not reviewed</x:t>
        </x:is>
      </x:c>
      <x:c r="K47" s="10" t="n"/>
      <x:c r="L47" s="30" t="n"/>
      <x:c r="M47" s="10" t="n"/>
      <x:c r="N47" s="10" t="inlineStr">
        <x:is>
          <x:t xml:space="preserve">Not tested</x:t>
        </x:is>
      </x:c>
      <x:c r="O47" s="10" t="n"/>
      <x:c r="P47" s="30" t="n"/>
      <x:c r="Q47" s="10" t="n"/>
      <x:c r="R47"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7" s="10" t="n"/>
    </x:row>
    <x:row r="48" ht="105" customHeight="1">
      <x:c r="A48" s="9" t="n">
        <x:v>44</x:v>
      </x:c>
      <x:c r="B48" s="9" t="inlineStr">
        <x:is>
          <x:t xml:space="preserve">FB-046</x:t>
        </x:is>
      </x:c>
      <x:c r="C48" s="9" t="inlineStr">
        <x:is>
          <x:t xml:space="preserve">Products</x:t>
        </x:is>
      </x:c>
      <x:c r="D48" s="9" t="inlineStr">
        <x:is>
          <x:t xml:space="preserve">Paginate and verify the full product list</x:t>
        </x:is>
      </x:c>
      <x:c r="E48" s="9" t="inlineStr">
        <x:is>
          <x:t xml:space="preserve">10 products per page after all search/filters. Preserve selections across pages; all roles may list/search/filter. Verify combinations and boundary/empty pages.</x:t>
        </x:is>
      </x:c>
      <x:c r="F48" s="9" t="inlineStr">
        <x:is>
          <x:t xml:space="preserve">FB-045</x:t>
        </x:is>
      </x:c>
      <x:c r="G48" s="9" t="str">
        <x:f>IF(H48="Complete","Complete",IF(I48="Blocked","Blocked",IF(I48="In progress","Ready",IF(F48="","Ready",IF(COUNTIFS($B$4:$B$73,F48,$H$4:$H$73,"Complete")=1,"Ready","Waiting")))))</x:f>
        <x:v>Waiting</x:v>
      </x:c>
      <x:c r="H48" s="9" t="str">
        <x:f>IF(I48="Not started","Not started",IF(I48="Blocked","Blocked",IF(I48="In progress","In progress",IF(J48&lt;&gt;"Passed","Awaiting code review",IF(OR(K48="",NOT(ISNUMBER(L48))),"Awaiting review evidence",IF(N48&lt;&gt;"Passed","Awaiting test",IF(OR(M48="",O48="",NOT(ISNUMBER(P48))),"Awaiting test evidence","Complete")))))))</x:f>
        <x:v>Not started</x:v>
      </x:c>
      <x:c r="I48" s="11" t="inlineStr">
        <x:is>
          <x:t xml:space="preserve">Not started</x:t>
        </x:is>
      </x:c>
      <x:c r="J48" s="11" t="inlineStr">
        <x:is>
          <x:t xml:space="preserve">Not reviewed</x:t>
        </x:is>
      </x:c>
      <x:c r="K48" s="11" t="n"/>
      <x:c r="L48" s="31" t="n"/>
      <x:c r="M48" s="11" t="n"/>
      <x:c r="N48" s="11" t="inlineStr">
        <x:is>
          <x:t xml:space="preserve">Not tested</x:t>
        </x:is>
      </x:c>
      <x:c r="O48" s="11" t="n"/>
      <x:c r="P48" s="31" t="n"/>
      <x:c r="Q48" s="11" t="n"/>
      <x:c r="R48"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8" s="11" t="n"/>
    </x:row>
    <x:row r="49" ht="105" customHeight="1">
      <x:c r="A49" s="4" t="n">
        <x:v>45</x:v>
      </x:c>
      <x:c r="B49" s="4" t="inlineStr">
        <x:is>
          <x:t xml:space="preserve">FB-047</x:t>
        </x:is>
      </x:c>
      <x:c r="C49" s="4" t="inlineStr">
        <x:is>
          <x:t xml:space="preserve">Products</x:t>
        </x:is>
      </x:c>
      <x:c r="D49" s="4" t="inlineStr">
        <x:is>
          <x:t xml:space="preserve">Edit catalogue product details</x:t>
        </x:is>
      </x:c>
      <x:c r="E49" s="4" t="str">
        <x:v>Managers/Super Admin edit catalogue fields with duplicate checks. No code, packaging or stock fields. Stock-related classification constraints remain for the post-catalogue design checkpoint.</x:v>
      </x:c>
      <x:c r="F49" s="4" t="inlineStr">
        <x:is>
          <x:t xml:space="preserve">FB-046</x:t>
        </x:is>
      </x:c>
      <x:c r="G49" s="4" t="str">
        <x:f>IF(H49="Complete","Complete",IF(I49="Blocked","Blocked",IF(I49="In progress","Ready",IF(F49="","Ready",IF(COUNTIFS($B$4:$B$73,F49,$H$4:$H$73,"Complete")=1,"Ready","Waiting")))))</x:f>
        <x:v>Waiting</x:v>
      </x:c>
      <x:c r="H49" s="4" t="str">
        <x:f>IF(I49="Not started","Not started",IF(I49="Blocked","Blocked",IF(I49="In progress","In progress",IF(J49&lt;&gt;"Passed","Awaiting code review",IF(OR(K49="",NOT(ISNUMBER(L49))),"Awaiting review evidence",IF(N49&lt;&gt;"Passed","Awaiting test",IF(OR(M49="",O49="",NOT(ISNUMBER(P49))),"Awaiting test evidence","Complete")))))))</x:f>
        <x:v>Not started</x:v>
      </x:c>
      <x:c r="I49" s="10" t="inlineStr">
        <x:is>
          <x:t xml:space="preserve">Not started</x:t>
        </x:is>
      </x:c>
      <x:c r="J49" s="10" t="inlineStr">
        <x:is>
          <x:t xml:space="preserve">Not reviewed</x:t>
        </x:is>
      </x:c>
      <x:c r="K49" s="10" t="n"/>
      <x:c r="L49" s="30" t="n"/>
      <x:c r="M49" s="10" t="n"/>
      <x:c r="N49" s="10" t="inlineStr">
        <x:is>
          <x:t xml:space="preserve">Not tested</x:t>
        </x:is>
      </x:c>
      <x:c r="O49" s="10" t="n"/>
      <x:c r="P49" s="30" t="n"/>
      <x:c r="Q49" s="10" t="n"/>
      <x:c r="R49"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When adding Product edits later, preserve same duplicate identity semantics and serialize conflicting creates/edits on affected Subcategory records; current CreateProduct action is verified for creation, not future concurrent edit workflows.</x:v>
      </x:c>
      <x:c r="S49" s="10" t="n"/>
    </x:row>
    <x:row r="50" ht="105" customHeight="1">
      <x:c r="A50" s="9" t="n">
        <x:v>46</x:v>
      </x:c>
      <x:c r="B50" s="9" t="inlineStr">
        <x:is>
          <x:t xml:space="preserve">FB-048</x:t>
        </x:is>
      </x:c>
      <x:c r="C50" s="9" t="inlineStr">
        <x:is>
          <x:t xml:space="preserve">Products</x:t>
        </x:is>
      </x:c>
      <x:c r="D50" s="9" t="inlineStr">
        <x:is>
          <x:t xml:space="preserve">Activate/deactivate products and manage tag removal</x:t>
        </x:is>
      </x:c>
      <x:c r="E50" s="9" t="inlineStr">
        <x:is>
          <x: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x:t>
        </x:is>
      </x:c>
      <x:c r="F50" s="9" t="inlineStr">
        <x:is>
          <x:t xml:space="preserve">FB-047</x:t>
        </x:is>
      </x:c>
      <x:c r="G50" s="9" t="str">
        <x:f>IF(H50="Complete","Complete",IF(I50="Blocked","Blocked",IF(I50="In progress","Ready",IF(F50="","Ready",IF(COUNTIFS($B$4:$B$73,F50,$H$4:$H$73,"Complete")=1,"Ready","Waiting")))))</x:f>
        <x:v>Waiting</x:v>
      </x:c>
      <x:c r="H50" s="9" t="str">
        <x:f>IF(I50="Not started","Not started",IF(I50="Blocked","Blocked",IF(I50="In progress","In progress",IF(J50&lt;&gt;"Passed","Awaiting code review",IF(OR(K50="",NOT(ISNUMBER(L50))),"Awaiting review evidence",IF(N50&lt;&gt;"Passed","Awaiting test",IF(OR(M50="",O50="",NOT(ISNUMBER(P50))),"Awaiting test evidence","Complete")))))))</x:f>
        <x:v>Not started</x:v>
      </x:c>
      <x:c r="I50" s="11" t="inlineStr">
        <x:is>
          <x:t xml:space="preserve">Not started</x:t>
        </x:is>
      </x:c>
      <x:c r="J50" s="11" t="inlineStr">
        <x:is>
          <x:t xml:space="preserve">Not reviewed</x:t>
        </x:is>
      </x:c>
      <x:c r="K50" s="11" t="n"/>
      <x:c r="L50" s="31" t="n"/>
      <x:c r="M50" s="11" t="n"/>
      <x:c r="N50" s="11" t="inlineStr">
        <x:is>
          <x:t xml:space="preserve">Not tested</x:t>
        </x:is>
      </x:c>
      <x:c r="O50" s="11" t="n"/>
      <x:c r="P50" s="31" t="n"/>
      <x:c r="Q50" s="11" t="n"/>
      <x:c r="R50" s="11"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0" s="11" t="n"/>
    </x:row>
    <x:row r="51" ht="105" customHeight="1">
      <x:c r="A51" s="4" t="n">
        <x:v>47</x:v>
      </x:c>
      <x:c r="B51" s="4" t="inlineStr">
        <x:is>
          <x:t xml:space="preserve">FB-067</x:t>
        </x:is>
      </x:c>
      <x:c r="C51" s="4" t="inlineStr">
        <x:is>
          <x:t xml:space="preserve">Verification</x:t>
        </x:is>
      </x:c>
      <x:c r="D51" s="4" t="inlineStr">
        <x:is>
          <x:t xml:space="preserve">Verify completed Product Catalogue before Stock Management</x:t>
        </x:is>
      </x:c>
      <x:c r="E51" s="4" t="str">
        <x: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x:v>
      </x:c>
      <x:c r="F51" s="4" t="inlineStr">
        <x:is>
          <x:t xml:space="preserve">FB-048</x:t>
        </x:is>
      </x:c>
      <x:c r="G51" s="4" t="str">
        <x:f>IF(H51="Complete","Complete",IF(I51="Blocked","Blocked",IF(I51="In progress","Ready",IF(F51="","Ready",IF(COUNTIFS($B$4:$B$73,F51,$H$4:$H$73,"Complete")=1,"Ready","Waiting")))))</x:f>
        <x:v>Waiting</x:v>
      </x:c>
      <x:c r="H51" s="4" t="str">
        <x:f>IF(I51="Not started","Not started",IF(I51="Blocked","Blocked",IF(I51="In progress","In progress",IF(J51&lt;&gt;"Passed","Awaiting code review",IF(OR(K51="",NOT(ISNUMBER(L51))),"Awaiting review evidence",IF(N51&lt;&gt;"Passed","Awaiting test",IF(OR(M51="",O51="",NOT(ISNUMBER(P51))),"Awaiting test evidence","Complete")))))))</x:f>
        <x:v>Not started</x:v>
      </x:c>
      <x:c r="I51" s="10" t="inlineStr">
        <x:is>
          <x:t xml:space="preserve">Not started</x:t>
        </x:is>
      </x:c>
      <x:c r="J51" s="10" t="inlineStr">
        <x:is>
          <x:t xml:space="preserve">Not reviewed</x:t>
        </x:is>
      </x:c>
      <x:c r="K51" s="10" t="n"/>
      <x:c r="L51" s="30" t="n"/>
      <x:c r="M51" s="10" t="n"/>
      <x:c r="N51" s="10" t="inlineStr">
        <x:is>
          <x:t xml:space="preserve">Not tested</x:t>
        </x:is>
      </x:c>
      <x:c r="O51" s="10" t="n"/>
      <x:c r="P51" s="30" t="n"/>
      <x:c r="Q51" s="10" t="n"/>
      <x:c r="R51"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1" s="10" t="n"/>
    </x:row>
    <x:row r="52" ht="105" customHeight="1">
      <x:c r="A52" s="9" t="n">
        <x:v>49</x:v>
      </x:c>
      <x:c r="B52" s="9" t="inlineStr">
        <x:is>
          <x:t xml:space="preserve">FB-034</x:t>
        </x:is>
      </x:c>
      <x:c r="C52" s="9" t="inlineStr">
        <x:is>
          <x:t xml:space="preserve">Stock Management</x:t>
        </x:is>
      </x:c>
      <x:c r="D52" s="9" t="inlineStr">
        <x:is>
          <x:t xml:space="preserve">Build reusable package sizes and product stock items</x:t>
        </x:is>
      </x:c>
      <x:c r="E52" s="9"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x:t>
        </x:is>
      </x:c>
      <x:c r="F52" s="9" t="str">
        <x:v>FB-035</x:v>
      </x:c>
      <x:c r="G52" s="9" t="str">
        <x:f>IF(H52="Complete","Complete",IF(I52="Blocked","Blocked",IF(I52="In progress","Ready",IF(F52="","Ready",IF(COUNTIFS($B$4:$B$73,F52,$H$4:$H$73,"Complete")=1,"Ready","Waiting")))))</x:f>
        <x:v>Waiting</x:v>
      </x:c>
      <x:c r="H52" s="9" t="str">
        <x:f>IF(I52="Not started","Not started",IF(I52="Blocked","Blocked",IF(I52="In progress","In progress",IF(J52&lt;&gt;"Passed","Awaiting code review",IF(OR(K52="",NOT(ISNUMBER(L52))),"Awaiting review evidence",IF(N52&lt;&gt;"Passed","Awaiting test",IF(OR(M52="",O52="",NOT(ISNUMBER(P52))),"Awaiting test evidence","Complete")))))))</x:f>
        <x:v>Not started</x:v>
      </x:c>
      <x:c r="I52" s="11" t="inlineStr">
        <x:is>
          <x:t xml:space="preserve">Not started</x:t>
        </x:is>
      </x:c>
      <x:c r="J52" s="11" t="inlineStr">
        <x:is>
          <x:t xml:space="preserve">Not reviewed</x:t>
        </x:is>
      </x:c>
      <x:c r="K52" s="11" t="n"/>
      <x:c r="L52" s="31" t="n"/>
      <x:c r="M52" s="11" t="n"/>
      <x:c r="N52" s="11" t="inlineStr">
        <x:is>
          <x:t xml:space="preserve">Not tested</x:t>
        </x:is>
      </x:c>
      <x:c r="O52" s="11" t="n"/>
      <x:c r="P52" s="31" t="n"/>
      <x:c r="Q52" s="11" t="inlineStr">
        <x:is>
          <x: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R52" s="11" t="str">
        <x: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2" s="11"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3" s="9" t="inlineStr">
        <x:is>
          <x:t xml:space="preserve">FB-034</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6" s="10" t="n"/>
    </x:row>
    <x:row r="57" ht="105" customHeight="1">
      <x:c r="A57" s="9" t="n">
        <x:v>54</x:v>
      </x:c>
      <x:c r="B57" s="9" t="inlineStr">
        <x:is>
          <x:t xml:space="preserve">FB-053</x:t>
        </x:is>
      </x:c>
      <x:c r="C57" s="9" t="inlineStr">
        <x:is>
          <x:t xml:space="preserve">Receive</x:t>
        </x:is>
      </x:c>
      <x:c r="D57" s="9" t="inlineStr">
        <x:is>
          <x:t xml:space="preserve">Verify stock measurement locks and catalogue deactivation guard</x:t>
        </x:is>
      </x:c>
      <x:c r="E57" s="9" t="inlineStr">
        <x:is>
          <x: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7" s="11" t="n"/>
    </x:row>
    <x:row r="58" ht="105" customHeight="1">
      <x:c r="A58" s="4" t="n">
        <x:v>55</x:v>
      </x:c>
      <x:c r="B58" s="4" t="inlineStr">
        <x:is>
          <x:t xml:space="preserve">FB-054</x:t>
        </x:is>
      </x:c>
      <x:c r="C58" s="4" t="inlineStr">
        <x:is>
          <x:t xml:space="preserve">History</x:t>
        </x:is>
      </x:c>
      <x:c r="D58" s="4" t="inlineStr">
        <x:is>
          <x:t xml:space="preserve">Show stock movement history within Stock Management</x:t>
        </x:is>
      </x:c>
      <x:c r="E58" s="4" t="inlineStr">
        <x:is>
          <x: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8" s="10" t="n"/>
    </x:row>
    <x:row r="59" ht="105" customHeight="1">
      <x:c r="A59" s="9" t="n">
        <x:v>56</x:v>
      </x:c>
      <x:c r="B59" s="9" t="inlineStr">
        <x:is>
          <x:t xml:space="preserve">FB-065</x:t>
        </x:is>
      </x:c>
      <x:c r="C59" s="9" t="inlineStr">
        <x:is>
          <x:t xml:space="preserve">Totals</x:t>
        </x:is>
      </x:c>
      <x:c r="D59" s="9" t="inlineStr">
        <x:is>
          <x:t xml:space="preserve">Calculate stock summaries within Stock Management</x:t>
        </x:is>
      </x:c>
      <x:c r="E59" s="9" t="inlineStr">
        <x:is>
          <x: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9" s="11" t="n"/>
    </x:row>
    <x:row r="60" ht="105" customHeight="1">
      <x:c r="A60" s="4" t="n">
        <x:v>57</x:v>
      </x:c>
      <x:c r="B60" s="4" t="inlineStr">
        <x:is>
          <x:t xml:space="preserve">FB-066</x:t>
        </x:is>
      </x:c>
      <x:c r="C60" s="4" t="inlineStr">
        <x:is>
          <x:t xml:space="preserve">Totals</x:t>
        </x:is>
      </x:c>
      <x:c r="D60" s="4" t="inlineStr">
        <x:is>
          <x:t xml:space="preserve">Display combined totals within Stock Management</x:t>
        </x:is>
      </x:c>
      <x:c r="E60" s="4" t="inlineStr">
        <x:is>
          <x: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5" s="11"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6" s="10"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FB-023</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1d9b8b46002643f8"/>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str">
        <x:v>Deferred decision after catalogue</x:v>
      </x:c>
      <x:c r="D100" s="4"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x:v>
      </x:c>
      <x:c r="E100" s="4" t="str">
        <x:v>FB-035 (after FB-067, before FB-034)</x:v>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str">
        <x:v>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07" s="28" t="str">
        <x:v>FB-031, FB-037, FB-040, FB-044, FB-048</x:v>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str">
        <x: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x:v>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x:v>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str">
        <x:v>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row r="192">
      <x:c r="A192" t="str">
        <x:v>REQ-189</x:v>
      </x:c>
      <x:c r="B192" t="str">
        <x:v>Product Catalogue — Create form tag search</x:v>
      </x:c>
      <x:c r="C192" t="str">
        <x:v>Current scope</x:v>
      </x:c>
      <x:c r="D192" t="str">
        <x: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x:v>
      </x:c>
      <x:c r="E192" t="str">
        <x:v>FB-032, FB-033, FB-037</x:v>
      </x:c>
      <x:c r="F192" t="str">
        <x:v>Stories!B35</x:v>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040b1ade40b8441f"/>
  </x:tableParts>
</x:worksheet>
</file>