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3a0f59ebb762495c" /></Relationships>
</file>

<file path=xl/workbook.xml><?xml version="1.0" encoding="utf-8"?>
<x:workbook xmlns:x="http://schemas.openxmlformats.org/spreadsheetml/2006/main">
  <x:sheets>
    <x:sheet xmlns:r="http://schemas.openxmlformats.org/officeDocument/2006/relationships" name="Start Here" sheetId="1" r:id="R5072960b892545b0"/>
    <x:sheet xmlns:r="http://schemas.openxmlformats.org/officeDocument/2006/relationships" name="Stories" sheetId="2" r:id="R729ccbd23610418b"/>
    <x:sheet xmlns:r="http://schemas.openxmlformats.org/officeDocument/2006/relationships" name="Requirements" sheetId="3" r:id="R415a6c94041e4a7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0">
    <x:font>
      <x:sz val="11"/>
      <x:name val="Carlito"/>
    </x:font>
    <x:font>
      <x:sz val="10"/>
      <x:color rgb="FF233447"/>
      <x:name val="Arial"/>
    </x:font>
    <x:font>
      <x:b/>
      <x:sz val="15"/>
      <x:color rgb="FF17324D"/>
      <x:name val="Arial"/>
    </x:font>
    <x:font>
      <x:b/>
      <x:sz val="10"/>
      <x:color rgb="FFFFFFFF"/>
      <x:name val="Arial"/>
    </x:font>
    <x:font>
      <x:sz val="10"/>
      <x:color rgb="FF7D5300"/>
      <x:name val="Arial"/>
    </x:font>
    <x:font>
      <x:sz val="11"/>
      <x:color rgb="FF233447"/>
      <x:name val="Arial"/>
    </x:font>
    <x:font>
      <x:b/>
      <x:sz val="16"/>
      <x:color rgb="FF17324D"/>
      <x:name val="Arial"/>
    </x:font>
    <x:font>
      <x:b/>
      <x:sz val="11"/>
      <x:color rgb="FFFFFFFF"/>
      <x:name val="Arial"/>
    </x:font>
    <x:font>
      <x:b/>
      <x:sz val="11"/>
      <x:color rgb="FF233447"/>
      <x:name val="Arial"/>
    </x:font>
    <x:font>
      <x:i/>
      <x:sz val="10"/>
      <x:color rgb="FF526273"/>
      <x:name val="Arial"/>
    </x:font>
  </x:fonts>
  <x:fills count="7">
    <x:fill>
      <x:patternFill patternType="none"/>
    </x:fill>
    <x:fill>
      <x:patternFill patternType="gray125"/>
    </x:fill>
    <x:fill>
      <x:patternFill patternType="solid">
        <x:fgColor rgb="FF17324D"/>
      </x:patternFill>
    </x:fill>
    <x:fill>
      <x:patternFill patternType="solid">
        <x:fgColor rgb="FFF2F5F8"/>
      </x:patternFill>
    </x:fill>
    <x:fill>
      <x:patternFill patternType="solid">
        <x:fgColor rgb="FFFFF2CC"/>
      </x:patternFill>
    </x:fill>
    <x:fill>
      <x:patternFill patternType="solid">
        <x:fgColor rgb="FF17324D"/>
      </x:patternFill>
    </x:fill>
    <x:fill>
      <x:patternFill patternType="solid">
        <x:fgColor rgb="FFF2F5F8"/>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x:xf numFmtId="0" fontId="2" fillId="0" borderId="0" xfId="0"/>
    <x:xf numFmtId="0" fontId="1" fillId="0" borderId="0" xfId="0" applyAlignment="1">
      <x:alignment wrapText="1"/>
    </x:xf>
    <x:xf numFmtId="0" fontId="1" fillId="0" borderId="0" xfId="0" applyAlignment="1">
      <x:alignment vertical="top" wrapText="1"/>
    </x:xf>
    <x:xf numFmtId="0" fontId="1" fillId="2" borderId="0" xfId="0" applyAlignment="1">
      <x:alignment vertical="top" wrapText="1"/>
    </x:xf>
    <x:xf numFmtId="0" fontId="3" fillId="2" borderId="0" xfId="0" applyAlignment="1">
      <x:alignment vertical="top" wrapText="1"/>
    </x:xf>
    <x:xf numFmtId="0" fontId="3" fillId="2" borderId="0" xfId="0" applyAlignment="1">
      <x:alignment horizontal="center" vertical="top" wrapText="1"/>
    </x:xf>
    <x:xf numFmtId="0" fontId="3" fillId="2" borderId="0" xfId="0" applyAlignment="1">
      <x:alignment horizontal="center" vertical="center" wrapText="1"/>
    </x:xf>
    <x:xf numFmtId="0" fontId="1" fillId="3" borderId="0" xfId="0" applyAlignment="1">
      <x:alignment vertical="top" wrapText="1"/>
    </x:xf>
    <x:xf numFmtId="0" fontId="4" fillId="0" borderId="0" xfId="0" applyAlignment="1">
      <x:alignment vertical="top" wrapText="1"/>
    </x:xf>
    <x:xf numFmtId="0" fontId="4" fillId="3" borderId="0" xfId="0" applyAlignment="1">
      <x:alignment vertical="top" wrapText="1"/>
    </x:xf>
    <x:xf numFmtId="164" fontId="4" fillId="0" borderId="0" xfId="0" applyAlignment="1">
      <x:alignment vertical="top" wrapText="1"/>
    </x:xf>
    <x:xf numFmtId="164" fontId="4" fillId="3" borderId="0" xfId="0" applyAlignment="1">
      <x:alignment vertical="top" wrapText="1"/>
    </x:xf>
    <x:xf numFmtId="0" fontId="5" fillId="0" borderId="0" xfId="0"/>
    <x:xf numFmtId="0" fontId="5" fillId="0" borderId="0" xfId="0" applyAlignment="1">
      <x:alignment vertical="center"/>
    </x:xf>
    <x:xf numFmtId="0" fontId="6" fillId="0" borderId="0" xfId="0" applyAlignment="1">
      <x:alignment vertical="center"/>
    </x:xf>
    <x:xf numFmtId="9" fontId="5" fillId="0" borderId="0" xfId="0" applyAlignment="1">
      <x:alignment vertical="center"/>
    </x:xf>
    <x:xf numFmtId="0" fontId="5" fillId="0" borderId="0" xfId="0" applyAlignment="1">
      <x:alignment vertical="center" wrapText="1"/>
    </x:xf>
    <x:xf numFmtId="0" fontId="5" fillId="2" borderId="0" xfId="0" applyAlignment="1">
      <x:alignment vertical="center"/>
    </x:xf>
    <x:xf numFmtId="0" fontId="7" fillId="2" borderId="0" xfId="0" applyAlignment="1">
      <x:alignment vertical="center"/>
    </x:xf>
    <x:xf numFmtId="0" fontId="8" fillId="0" borderId="0" xfId="0" applyAlignment="1">
      <x:alignment vertical="center" wrapText="1"/>
    </x:xf>
    <x:xf numFmtId="0" fontId="5" fillId="4" borderId="0" xfId="0" applyAlignment="1">
      <x:alignment vertical="center" wrapText="1"/>
    </x:xf>
    <x:xf numFmtId="0" fontId="9" fillId="0" borderId="0" xfId="0"/>
    <x:xf numFmtId="0" fontId="1" fillId="5" borderId="0" xfId="0" applyAlignment="1">
      <x:alignment vertical="top" wrapText="1"/>
    </x:xf>
    <x:xf numFmtId="0" fontId="3" fillId="5" borderId="0" xfId="0" applyAlignment="1">
      <x:alignment vertical="top" wrapText="1"/>
    </x:xf>
    <x:xf numFmtId="0" fontId="3" fillId="5" borderId="0" xfId="0" applyAlignment="1">
      <x:alignment horizontal="center" vertical="top" wrapText="1"/>
    </x:xf>
    <x:xf numFmtId="0" fontId="3" fillId="5" borderId="0" xfId="0" applyAlignment="1">
      <x:alignment horizontal="center" vertical="center" wrapText="1"/>
    </x:xf>
    <x:xf numFmtId="0" fontId="1" fillId="6" borderId="0" xfId="0" applyAlignment="1">
      <x:alignment vertical="top" wrapText="1"/>
    </x:xf>
    <x:xf numFmtId="9" fontId="5" fillId="0" borderId="0" xfId="0" applyAlignment="1">
      <x:alignment vertical="center"/>
    </x:xf>
    <x:xf numFmtId="164" fontId="4" fillId="0" borderId="0" xfId="0" applyAlignment="1">
      <x:alignment vertical="top" wrapText="1"/>
    </x:xf>
    <x:xf numFmtId="164" fontId="4" fillId="3" borderId="0" xfId="0" applyAlignment="1">
      <x:alignment vertical="top" wrapText="1"/>
    </x:xf>
  </x:cellXfs>
  <x:cellStyles count="1">
    <x:cellStyle name="Normal" xfId="0"/>
  </x:cellStyles>
  <x:dxfs count="4">
    <x:dxf>
      <x:font>
        <x:color rgb="FF24502A"/>
      </x:font>
      <x:fill>
        <x:patternFill>
          <x:bgColor rgb="FFE2EFDA"/>
        </x:patternFill>
      </x:fill>
    </x:dxf>
    <x:dxf>
      <x:font>
        <x:color rgb="FF7D5300"/>
      </x:font>
      <x:fill>
        <x:patternFill>
          <x:bgColor rgb="FFFFF2CC"/>
        </x:patternFill>
      </x:fill>
    </x:dxf>
    <x:dxf>
      <x:font>
        <x:color rgb="FF9C2020"/>
      </x:font>
      <x:fill>
        <x:patternFill>
          <x:bgColor rgb="FFFCE4D6"/>
        </x:patternFill>
      </x:fill>
    </x:dxf>
    <x:dxf>
      <x:font>
        <x:color rgb="FF7D5300"/>
      </x:font>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2c4d35aff52446f3" /><Relationship Type="http://schemas.openxmlformats.org/officeDocument/2006/relationships/theme" Target="/xl/theme/theme1.xml" Id="R5e188b62bce44118" /><Relationship Type="http://schemas.openxmlformats.org/officeDocument/2006/relationships/sharedStrings" Target="/xl/sharedStrings.xml" Id="Rd9d16049c79f4a4f" /><Relationship Type="http://schemas.openxmlformats.org/officeDocument/2006/relationships/worksheet" Target="/xl/worksheets/sheet1.xml" Id="R5072960b892545b0" /><Relationship Type="http://schemas.openxmlformats.org/officeDocument/2006/relationships/worksheet" Target="/xl/worksheets/sheet2.xml" Id="R729ccbd23610418b" /><Relationship Type="http://schemas.openxmlformats.org/officeDocument/2006/relationships/worksheet" Target="/xl/worksheets/sheet3.xml" Id="R415a6c94041e4a77" /></Relationships>
</file>

<file path=xl/tables/table1.xml><?xml version="1.0" encoding="utf-8"?>
<x:table xmlns:x="http://schemas.openxmlformats.org/spreadsheetml/2006/main" id="1" name="FoodBankItems" displayName="FoodBankItems" ref="A3:S73" headerRowCount="1" totalsRowCount="0" totalsRowShown="0">
  <x:tableColumns count="19">
    <x:tableColumn id="1" name="#"/>
    <x:tableColumn id="2" name="Item ID"/>
    <x:tableColumn id="3" name="Feature"/>
    <x:tableColumn id="4" name="Learning item"/>
    <x:tableColumn id="5" name="Acceptance checks"/>
    <x:tableColumn id="6" name="Previous item"/>
    <x:tableColumn id="7" name="Readiness"/>
    <x:tableColumn id="8" name="Status"/>
    <x:tableColumn id="9" name="Work stage"/>
    <x:tableColumn id="10" name="Code review"/>
    <x:tableColumn id="11" name="Review evidence"/>
    <x:tableColumn id="12" name="Review date"/>
    <x:tableColumn id="13" name="Tested by"/>
    <x:tableColumn id="14" name="Test result"/>
    <x:tableColumn id="15" name="Test evidence"/>
    <x:tableColumn id="16" name="Test date"/>
    <x:tableColumn id="17" name="Lesson / last step"/>
    <x:tableColumn id="18" name="Next action"/>
    <x:tableColumn id="19" name="Blocker"/>
  </x:tableColumns>
  <x:tableStyleInfo name="TableStyleMedium2" showFirstColumn="0" showLastColumn="0" showRowStripes="1" showColumnStripes="0"/>
</x:table>
</file>

<file path=xl/tables/table2.xml><?xml version="1.0" encoding="utf-8"?>
<x:table xmlns:x="http://schemas.openxmlformats.org/spreadsheetml/2006/main" id="2" name="FoodBankRequirements" displayName="FoodBankRequirements" ref="A3:F182" headerRowCount="1" totalsRowCount="0" totalsRowShown="0">
  <x:tableColumns count="6">
    <x:tableColumn id="1" name="Rule ID"/>
    <x:tableColumn id="2" name="Area"/>
    <x:tableColumn id="3" name="Scope"/>
    <x:tableColumn id="4" name="Detailed rule"/>
    <x:tableColumn id="5" name="Related learning items"/>
    <x:tableColumn id="6" name="First item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519ba3ef057c447b" /></Relationships>
</file>

<file path=xl/worksheets/_rels/sheet3.xml.rels>&#65279;<?xml version="1.0" encoding="utf-8"?><Relationships xmlns="http://schemas.openxmlformats.org/package/2006/relationships"><Relationship Type="http://schemas.openxmlformats.org/officeDocument/2006/relationships/table" Target="/xl/tables/table2.xml" Id="R6f3392e708a64010" /></Relationships>
</file>

<file path=xl/worksheets/sheet1.xml><?xml version="1.0" encoding="utf-8"?>
<x:worksheet xmlns:x="http://schemas.openxmlformats.org/spreadsheetml/2006/main">
  <x:sheetPr>
    <x:tabColor rgb="FF17324D"/>
  </x:sheetPr>
  <x:sheetViews>
    <x:sheetView showGridLines="0" workbookViewId="0"/>
  </x:sheetViews>
  <x:sheetFormatPr baseColWidth="8" defaultRowHeight="15"/>
  <x:cols>
    <x:col min="1" max="1" width="27" customWidth="1"/>
    <x:col min="2" max="2" width="20" customWidth="1"/>
    <x:col min="3" max="3" width="3" customWidth="1"/>
    <x:col min="4" max="4" width="18" customWidth="1"/>
    <x:col min="5" max="5" width="18" customWidth="1"/>
    <x:col min="6" max="6" width="18" customWidth="1"/>
    <x:col min="7" max="7" width="18" customWidth="1"/>
    <x:col min="8" max="8" width="18" customWidth="1"/>
  </x:cols>
  <x:sheetData>
    <x:row r="1">
      <x:c r="A1" s="15" t="n"/>
      <x:c r="B1" s="15" t="n"/>
      <x:c r="C1" s="15" t="n"/>
      <x:c r="D1" s="15" t="n"/>
      <x:c r="E1" s="15" t="n"/>
      <x:c r="F1" s="15" t="n"/>
      <x:c r="G1" s="15" t="n"/>
      <x:c r="H1" s="15" t="n"/>
    </x:row>
    <x:row r="2" ht="32" customHeight="1">
      <x:c r="A2" s="16" t="inlineStr">
        <x:is>
          <x:t xml:space="preserve">FoodBank developer story tracker</x:t>
        </x:is>
      </x:c>
    </x:row>
    <x:row r="3">
      <x:c r="A3" s="15" t="n"/>
      <x:c r="B3" s="15" t="n"/>
      <x:c r="C3" s="15" t="n"/>
      <x:c r="D3" s="15" t="n"/>
      <x:c r="E3" s="15" t="n"/>
      <x:c r="F3" s="15" t="n"/>
      <x:c r="G3" s="15" t="n"/>
      <x:c r="H3" s="15" t="n"/>
    </x:row>
    <x:row r="4" ht="26" customHeight="1">
      <x:c r="A4" s="20" t="inlineStr">
        <x:is>
          <x:t xml:space="preserve">Progress</x:t>
        </x:is>
      </x:c>
      <x:c r="B4" s="20" t="inlineStr">
        <x:is>
          <x:t xml:space="preserve">Items</x:t>
        </x:is>
      </x:c>
      <x:c r="C4" s="15" t="n"/>
      <x:c r="D4" s="18" t="inlineStr">
        <x:is>
          <x:t xml:space="preserve">Owner: assistant maintains this workbook; developer writes application code.</x:t>
        </x:is>
      </x:c>
    </x:row>
    <x:row r="5" ht="24" customHeight="1">
      <x:c r="A5" s="15" t="inlineStr">
        <x:is>
          <x:t xml:space="preserve">Total learning items</x:t>
        </x:is>
      </x:c>
      <x:c r="B5" s="15" t="n">
        <x:v>70</x:v>
      </x:c>
      <x:c r="C5" s="15" t="n"/>
    </x:row>
    <x:row r="6" ht="24" customHeight="1">
      <x:c r="A6" s="15" t="inlineStr">
        <x:is>
          <x:t xml:space="preserve">Complete</x:t>
        </x:is>
      </x:c>
      <x:c r="B6" s="15" t="n">
        <x:f>COUNTIF(Stories!H4:H73,"Complete")</x:f>
        <x:v>14</x:v>
      </x:c>
      <x:c r="C6" s="15" t="n"/>
      <x:c r="D6" s="18" t="inlineStr">
        <x:is>
          <x:t xml:space="preserve">Complete requires code review AND a passed behaviour test, with evidence and dates.</x:t>
        </x:is>
      </x:c>
    </x:row>
    <x:row r="7" ht="24" customHeight="1">
      <x:c r="A7" s="15" t="inlineStr">
        <x:is>
          <x:t xml:space="preserve">In progress</x:t>
        </x:is>
      </x:c>
      <x:c r="B7" s="15" t="n">
        <x:f>COUNTIF(Stories!H4:H73,"In progress")</x:f>
        <x:v>19</x:v>
      </x:c>
      <x:c r="C7" s="15" t="n"/>
    </x:row>
    <x:row r="8" ht="24" customHeight="1">
      <x:c r="A8" s="15" t="inlineStr">
        <x:is>
          <x:t xml:space="preserve">Awaiting review/test</x:t>
        </x:is>
      </x:c>
      <x:c r="B8" s="15" t="n">
        <x:f>COUNTIF(Stories!H4:H73,"Awaiting*")</x:f>
        <x:v>0</x:v>
      </x:c>
      <x:c r="C8" s="15" t="n"/>
      <x:c r="D8" s="18" t="inlineStr">
        <x:is>
          <x:t xml:space="preserve">Ask the developer to test first. “Done” after the test request confirms it worked.</x:t>
        </x:is>
      </x:c>
    </x:row>
    <x:row r="9" ht="24" customHeight="1">
      <x:c r="A9" s="15" t="inlineStr">
        <x:is>
          <x:t xml:space="preserve">Blocked</x:t>
        </x:is>
      </x:c>
      <x:c r="B9" s="15" t="n">
        <x:f>COUNTIF(Stories!H4:H73,"Blocked")</x:f>
        <x:v>0</x:v>
      </x:c>
      <x:c r="C9" s="15" t="n"/>
    </x:row>
    <x:row r="10" ht="24" customHeight="1">
      <x:c r="A10" s="15" t="inlineStr">
        <x:is>
          <x:t xml:space="preserve">Ready to start</x:t>
        </x:is>
      </x:c>
      <x:c r="B10" s="15" t="str">
        <x:v>FB-038</x:v>
      </x:c>
      <x:c r="C10" s="15" t="n"/>
      <x:c r="D10" s="18" t="inlineStr">
        <x:is>
          <x:t xml:space="preserve">Only test application behaviour yourself after the developer delegates it.</x:t>
        </x:is>
      </x:c>
    </x:row>
    <x:row r="11" ht="24" customHeight="1">
      <x:c r="A11" s="15" t="inlineStr">
        <x:is>
          <x:t xml:space="preserve">Verified progress</x:t>
        </x:is>
      </x:c>
      <x:c r="B11" s="29" t="str">
        <x:v>2026-10-30 hierarchy/Tags modules and Product creation verified. Product form saves catalogue fields and shared tags in both directions, with permissions/duplicate safeguards. Product list not started; account deferrals and baseline test failures preserved.</x:v>
      </x:c>
      <x:c r="C11" s="15" t="n"/>
    </x:row>
    <x:row r="12">
      <x:c r="A12" s="15" t="n"/>
      <x:c r="B12" s="15" t="str">
        <x:v>Before starting/resuming this item or feature: reread AGENTS.md from disk; apply teaching/testing rules. Read full FB-038 and related Requirements before starting list. Product creation FB-032/033/036/037 verified with scoped checks; baseline global failures remain recorded. Next preview basic unfiltered Product list showing name/path/brand/tags/status, all-role server viewAny permission, no codes/stock fields. Complete basic list before filters; main name-or-tag search later FB-040 and tag filterFB-044. Preserve show-before-apply preference; current Product save/testing delegation does not automatically authorize unrelated list implementation. Product code decision stays after catalogue verification at FB-035; Stock Management not started.</x:v>
      </x:c>
      <x:c r="C12" s="15" t="n"/>
      <x:c r="D12" s="15" t="n"/>
      <x:c r="E12" s="15" t="n"/>
      <x:c r="F12" s="15" t="n"/>
      <x:c r="G12" s="15" t="n"/>
      <x:c r="H12" s="15" t="n"/>
    </x:row>
    <x:row r="13" ht="40" customHeight="1">
      <x:c r="A13" s="21" t="inlineStr">
        <x:is>
          <x:t xml:space="preserve">Current item ID</x:t>
        </x:is>
      </x:c>
      <x:c r="B13" s="22" t="str">
        <x:v>FB-038</x:v>
      </x:c>
    </x:row>
    <x:row r="14" ht="100" customHeight="1">
      <x:c r="A14" s="21" t="inlineStr">
        <x:is>
          <x:t xml:space="preserve">Current lesson</x:t>
        </x:is>
      </x:c>
      <x:c r="B14" s="22" t="str">
        <x:v>Product creation checkpoint complete after source review,157-test catalogue pass, MySQL concurrency and browser checks. Basic Product list is next; not started.
Separate completed repair: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row>
    <x:row r="15" ht="100" customHeight="1">
      <x:c r="A15" s="21" t="inlineStr">
        <x:is>
          <x:t xml:space="preserve">Next action</x:t>
        </x:is>
      </x:c>
      <x:c r="B15" s="22" t="str">
        <x:v>Before starting/resuming this item or feature: reread AGENTS.md from disk; apply teaching/testing rules. Read full FB-038 and related Requirements before starting list. Product creation FB-032/033/036/037 verified with scoped checks; baseline global failures remain recorded. Next preview basic unfiltered Product list showing name/path/brand/tags/status, all-role server viewAny permission, no codes/stock fields. Complete basic list before filters; main name-or-tag search later FB-040 and tag filterFB-044. Preserve show-before-apply preference; current Product save/testing delegation does not automatically authorize unrelated list implementation. Product code decision stays after catalogue verification at FB-035; Stock Management not started.</x:v>
      </x:c>
    </x:row>
    <x:row r="16" ht="65" customHeight="1">
      <x:c r="A16" s="21" t="inlineStr">
        <x:is>
          <x:t xml:space="preserve">Waiting on</x:t>
        </x:is>
      </x:c>
      <x:c r="B16" s="22" t="str">
        <x:v>Developer readiness to begin basic Product list; show changes first.</x:v>
      </x:c>
    </x:row>
    <x:row r="17" ht="65" customHeight="1">
      <x:c r="A17" s="21" t="inlineStr">
        <x:is>
          <x:t xml:space="preserve">Last reviewed revision</x:t>
        </x:is>
      </x:c>
      <x:c r="B17" s="22" t="str">
        <x:v>HEAD 3c9d80b6e737c9c750d0eaadc5e9bec3b2f71123 plus current uncommitted Product creation implementation, reviewed2026-10-30</x:v>
      </x:c>
    </x:row>
    <x:row r="18" ht="40" customHeight="1">
      <x:c r="A18" s="21" t="inlineStr">
        <x:is>
          <x:t xml:space="preserve">Current item status</x:t>
        </x:is>
      </x:c>
      <x:c r="B18" s="18" t="str">
        <x:v>Not started</x:v>
      </x:c>
    </x:row>
    <x:row r="19">
      <x:c r="A19" s="15" t="n"/>
      <x:c r="B19" s="15" t="inlineStr">
        <x:is>
          <x:t xml:space="preserve">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x:t>
        </x:is>
      </x:c>
      <x:c r="C19" s="15" t="n"/>
      <x:c r="D19" s="15" t="n"/>
      <x:c r="E19" s="15" t="n"/>
      <x:c r="F19" s="15" t="n"/>
      <x:c r="G19" s="15" t="n"/>
      <x:c r="H19" s="15" t="n"/>
    </x:row>
    <x:row r="20" ht="44" customHeight="1">
      <x:c r="A20" s="21" t="inlineStr">
        <x:is>
          <x:t xml:space="preserve">Completion process</x:t>
        </x:is>
      </x:c>
      <x:c r="B20" s="18" t="inlineStr">
        <x:is>
          <x:t xml:space="preserve">Build small lessons and ask developer to check behaviour. Review the connected feature at completion, correct findings, and record both review and passed testing before marking Complete.</x:t>
        </x:is>
      </x:c>
    </x:row>
    <x:row r="21" ht="44" customHeight="1">
      <x:c r="A21" s="21" t="inlineStr">
        <x:is>
          <x:t xml:space="preserve">Meaning of done</x:t>
        </x:is>
      </x:c>
      <x:c r="B21" s="18" t="inlineStr">
        <x:is>
          <x:t xml:space="preserve">After an explicit test request, done means the developer tested that item and it worked. Otherwise it means continue the lesson; it never bypasses code review.</x:t>
        </x:is>
      </x:c>
    </x:row>
    <x:row r="22" ht="44" customHeight="1">
      <x:c r="A22" s="21" t="inlineStr">
        <x:is>
          <x:t xml:space="preserve">What to record</x:t>
        </x:is>
      </x:c>
      <x:c r="B22" s="18" t="inlineStr">
        <x:is>
          <x:t xml:space="preserve">Keep current item, lesson, next action and blocker current. Record review/test evidence and dates in Stories. Save inspected Poker paths and pattern findings with the relevant item for reuse.</x:t>
        </x:is>
      </x:c>
    </x:row>
    <x:row r="23" ht="44" customHeight="1">
      <x:c r="A23" s="21" t="inlineStr">
        <x:is>
          <x:t xml:space="preserve">How completion works</x:t>
        </x:is>
      </x:c>
      <x:c r="B23" s="18" t="inlineStr">
        <x:is>
          <x:t xml:space="preserve">Set Work stage to Ready for review; record Passed review and test with evidence/dates. Status is calculated. Never overwrite it to claim completion.</x:t>
        </x:is>
      </x:c>
    </x:row>
    <x:row r="24" ht="65" customHeight="1">
      <x:c r="A24" s="21" t="inlineStr">
        <x:is>
          <x:t xml:space="preserve">Dependencies</x:t>
        </x:is>
      </x:c>
      <x:c r="B24" s="18" t="inlineStr">
        <x:is>
          <x:t xml:space="preserve">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x:t>
        </x:is>
      </x:c>
    </x:row>
    <x:row r="25" ht="65" customHeight="1">
      <x:c r="A25" s="21" t="inlineStr">
        <x:is>
          <x:t xml:space="preserve">One lesson at a time</x:t>
        </x:is>
      </x:c>
      <x:c r="B25" s="18" t="inlineStr">
        <x:is>
          <x:t xml:space="preserve">Understanding comes first. Apply teaching examples where useful and use judgment to adapt the sequence. One tracker row may take several small lessons. Build prerequisites and connect dependent behaviour as needed; verify before moving on.</x:t>
        </x:is>
      </x:c>
    </x:row>
    <x:row r="26" ht="44" customHeight="1">
      <x:c r="A26" s="21" t="inlineStr">
        <x:is>
          <x:t xml:space="preserve">Teaching emphasis</x:t>
        </x:is>
      </x:c>
      <x:c r="B26" s="18" t="inlineStr">
        <x:is>
          <x:t xml:space="preserve">Vue, Inertia and Tailwind layout: parent/child relationships, flex/grid, sizing, spacing, overflow and responsive behaviour. Reuse existing colours/typography.</x:t>
        </x:is>
      </x:c>
    </x:row>
    <x:row r="27" ht="44" customHeight="1">
      <x:c r="A27" s="21" t="inlineStr">
        <x:is>
          <x:t xml:space="preserve">Final implementation item</x:t>
        </x:is>
      </x:c>
      <x:c r="B27" s="18" t="inlineStr">
        <x:is>
          <x:t xml:space="preserve">FB-070 — Super Admin recovery remains last, including its own review and delegated/user testing.</x:t>
        </x:is>
      </x:c>
    </x:row>
    <x:row r="28" ht="44" customHeight="1">
      <x:c r="A28" s="21" t="inlineStr">
        <x:is>
          <x:t xml:space="preserve">Future work</x:t>
        </x:is>
      </x:c>
      <x:c r="B28" s="18" t="inlineStr">
        <x:is>
          <x:t xml:space="preserve">Rules marked ##FUTURE on Requirements remain deferred and are excluded from Stories and completion totals. Unresolved future details do not authorize implementation.</x:t>
        </x:is>
      </x:c>
    </x:row>
    <x:row r="29" ht="44" customHeight="1">
      <x:c r="A29" s="21" t="inlineStr">
        <x:is>
          <x:t xml:space="preserve">Source of requirements</x:t>
        </x:is>
      </x:c>
      <x:c r="B29" s="18" t="inlineStr">
        <x:is>
          <x:t xml:space="preserve">Requirements is the authoritative scope record, with detailed rules and related FB item IDs. Stories tracks implementation/evidence; Start Here records where to resume.</x:t>
        </x:is>
      </x:c>
    </x:row>
    <x:row r="30" ht="65" customHeight="1">
      <x:c r="A30" s="21" t="inlineStr">
        <x:is>
          <x:t xml:space="preserve">Reference format</x:t>
        </x:is>
      </x:c>
      <x:c r="B30" s="18" t="str">
        <x:v>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2026-10-29 approved Product Catalogue/Stock Management separation recorded in revised Requirements. Catalogue excludes all size/unit/quantity/history data, including Subcategory summary units; deactivation server-checks Stock Management and blocks while ANY stock remains without displaying counts. Stable FB-034 repurposed/moved after catalogue checkpoint FB-067 and before FB-049 Receive; Product code FB-035 now depends on FB-033. Stock package-record structure/summary owner/classification locks remain open before stock implementation. Subcategory creation revert preserved; no code changes in design discussion.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row>
    <x:row r="31" ht="44" customHeight="1">
      <x:c r="A31" s="21" t="inlineStr">
        <x:is>
          <x:t xml:space="preserve">Resume in a new chat</x:t>
        </x:is>
      </x:c>
      <x:c r="B31" s="18" t="inlineStr">
        <x:is>
          <x:t xml:space="preserve">Read AGENTS.md and this workbook: Start Here, the current Stories row, and its Requirements. Inspect relevant Poker conventions at new-chat start or on request. Reread AGENTS.md before each item.</x:t>
        </x:is>
      </x:c>
    </x:row>
    <x:row r="32" ht="44" customHeight="1">
      <x:c r="A32" s="21" t="inlineStr">
        <x:is>
          <x:t xml:space="preserve">Changes after verification</x:t>
        </x:is>
      </x:c>
      <x:c r="B32" s="18" t="inlineStr">
        <x:is>
          <x:t xml:space="preserve">If later edits invalidate a passed item, reopen it and retest affected behaviour. Preserve previous evidence in notes; never silently keep a stale Complete status.</x:t>
        </x:is>
      </x:c>
    </x:row>
    <x:row r="33" ht="44" customHeight="1">
      <x:c r="A33" s="21" t="inlineStr">
        <x:is>
          <x:t xml:space="preserve">Workbook maintenance</x:t>
        </x:is>
      </x:c>
      <x:c r="B33" s="18" t="inlineStr">
        <x:is>
          <x:t xml:space="preserve">Maintain this same workbook. Update Requirements for agreed scope changes, Stories for evidence/progress, and Start Here for handoff. Do not maintain separate feature-list or resume files.</x:t>
        </x:is>
      </x:c>
    </x:row>
    <x:row r="34" ht="44" customHeight="1">
      <x:c r="A34" s="21" t="inlineStr">
        <x:is>
          <x:t xml:space="preserve">Commit checkpoints</x:t>
        </x:is>
      </x:c>
      <x:c r="B34" s="18" t="inlineStr">
        <x:is>
          <x:t xml:space="preserve">After a coherent verified feature, suggest an accurate commit message. The developer commits unless explicitly requesting otherwise.</x:t>
        </x:is>
      </x:c>
    </x:row>
    <x:row r="35" ht="65" customHeight="1">
      <x:c r="A35" s="21" t="inlineStr">
        <x:is>
          <x:t xml:space="preserve">Application test status</x:t>
        </x:is>
      </x:c>
      <x:c r="B35" s="18" t="str">
        <x:v>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row>
    <x:row r="36">
      <x:c r="A36" s="15" t="n"/>
      <x:c r="B36" s="15" t="n"/>
      <x:c r="C36" s="15" t="n"/>
      <x:c r="D36" s="15" t="n"/>
      <x:c r="E36" s="15" t="n"/>
      <x:c r="F36" s="15" t="n"/>
      <x:c r="G36" s="15" t="n"/>
      <x:c r="H36" s="15" t="n"/>
    </x:row>
    <x:row r="37">
      <x:c r="A37" s="15" t="n"/>
      <x:c r="B37" s="15" t="n"/>
      <x:c r="C37" s="15" t="n"/>
      <x:c r="D37" s="15" t="n"/>
      <x:c r="E37" s="15" t="n"/>
      <x:c r="F37" s="15" t="n"/>
      <x:c r="G37" s="15" t="n"/>
      <x:c r="H37" s="15" t="n"/>
    </x:row>
    <x:row r="38">
      <x:c r="A38" s="15" t="n"/>
      <x:c r="B38" s="15" t="n"/>
      <x:c r="C38" s="15" t="n"/>
      <x:c r="D38" s="15" t="n"/>
      <x:c r="E38" s="15" t="n"/>
      <x:c r="F38" s="15" t="n"/>
      <x:c r="G38" s="15" t="n"/>
      <x:c r="H38" s="15" t="n"/>
    </x:row>
    <x:row r="39">
      <x:c r="A39" s="15" t="n"/>
      <x:c r="B39" s="15" t="n"/>
      <x:c r="C39" s="15" t="n"/>
      <x:c r="D39" s="15" t="n"/>
      <x:c r="E39" s="15" t="n"/>
      <x:c r="F39" s="15" t="n"/>
      <x:c r="G39" s="15" t="n"/>
      <x:c r="H39" s="15" t="n"/>
    </x:row>
    <x:row r="40">
      <x:c r="A40" s="15" t="n"/>
      <x:c r="B40" s="15" t="n"/>
      <x:c r="C40" s="15" t="n"/>
      <x:c r="D40" s="15" t="n"/>
      <x:c r="E40" s="15" t="n"/>
      <x:c r="F40" s="15" t="n"/>
      <x:c r="G40" s="15" t="n"/>
      <x:c r="H40" s="15" t="n"/>
    </x:row>
  </x:sheetData>
  <x:mergeCells>
    <x:mergeCell ref="D4:H5"/>
    <x:mergeCell ref="B24:H24"/>
    <x:mergeCell ref="B30:H30"/>
    <x:mergeCell ref="B15:H15"/>
    <x:mergeCell ref="B33:H33"/>
    <x:mergeCell ref="B20:H20"/>
    <x:mergeCell ref="B32:H32"/>
    <x:mergeCell ref="B26:H26"/>
    <x:mergeCell ref="D8:H9"/>
    <x:mergeCell ref="B35:H35"/>
    <x:mergeCell ref="B16:H16"/>
    <x:mergeCell ref="B25:H25"/>
    <x:mergeCell ref="D10:H11"/>
    <x:mergeCell ref="B31:H31"/>
    <x:mergeCell ref="B22:H22"/>
    <x:mergeCell ref="B18:H18"/>
    <x:mergeCell ref="B27:H27"/>
    <x:mergeCell ref="B21:H21"/>
    <x:mergeCell ref="A2:H2"/>
    <x:mergeCell ref="D6:H7"/>
    <x:mergeCell ref="B23:H23"/>
    <x:mergeCell ref="B14:H14"/>
    <x:mergeCell ref="B17:H17"/>
    <x:mergeCell ref="B13:H13"/>
    <x:mergeCell ref="B29:H29"/>
    <x:mergeCell ref="B34:H34"/>
    <x:mergeCell ref="B28:H28"/>
  </x:mergeCells>
  <x:pageMargins left="0.7" right="0.7" top="0.75" bottom="0.75" header="0.3" footer="0.3"/>
</x:worksheet>
</file>

<file path=xl/worksheets/sheet2.xml><?xml version="1.0" encoding="utf-8"?>
<x:worksheet xmlns:x="http://schemas.openxmlformats.org/spreadsheetml/2006/main">
  <x:sheetPr>
    <x:tabColor rgb="FF17324D"/>
  </x:sheetPr>
  <x:sheetViews>
    <x:sheetView showGridLines="0" workbookViewId="0">
      <x:pane xSplit="2" ySplit="3" topLeftCell="C4" activePane="bottomRight" state="frozen"/>
    </x:sheetView>
  </x:sheetViews>
  <x:sheetFormatPr baseColWidth="8" defaultRowHeight="15"/>
  <x:cols>
    <x:col min="1" max="1" width="5" customWidth="1"/>
    <x:col min="2" max="2" width="12" customWidth="1"/>
    <x:col min="3" max="3" width="22" customWidth="1"/>
    <x:col min="4" max="4" width="42" customWidth="1"/>
    <x:col min="5" max="5" width="78" customWidth="1"/>
    <x:col min="6" max="6" width="14" customWidth="1"/>
    <x:col min="7" max="7" width="14" customWidth="1"/>
    <x:col min="8" max="8" width="26" customWidth="1"/>
    <x:col min="9" max="9" width="20" customWidth="1"/>
    <x:col min="10" max="10" width="18" customWidth="1"/>
    <x:col min="11" max="11" width="55" customWidth="1"/>
    <x:col min="12" max="12" width="15" customWidth="1"/>
    <x:col min="13" max="13" width="19" customWidth="1"/>
    <x:col min="14" max="14" width="17" customWidth="1"/>
    <x:col min="15" max="15" width="55" customWidth="1"/>
    <x:col min="16" max="16" width="15" customWidth="1"/>
    <x:col min="17" max="17" width="45" customWidth="1"/>
    <x:col min="18" max="18" width="48" customWidth="1"/>
    <x:col min="19" max="19" width="40" customWidth="1"/>
  </x:cols>
  <x:sheetData>
    <x:row r="1" ht="30" customHeight="1">
      <x:c r="A1" s="2" t="inlineStr">
        <x:is>
          <x:t xml:space="preserve">FoodBank learning tracker — complete one small item before continuing</x:t>
        </x:is>
      </x:c>
      <x:c r="I1" s="1" t="n"/>
      <x:c r="J1" s="1" t="n"/>
      <x:c r="K1" s="1" t="n"/>
      <x:c r="L1" s="1" t="n"/>
      <x:c r="M1" s="1" t="n"/>
      <x:c r="N1" s="1" t="n"/>
      <x:c r="O1" s="1" t="n"/>
      <x:c r="P1" s="1" t="n"/>
      <x:c r="Q1" s="1" t="n"/>
      <x:c r="R1" s="1" t="n"/>
      <x:c r="S1" s="1" t="n"/>
    </x:row>
    <x:row r="2">
      <x:c r="A2" s="1" t="n"/>
      <x:c r="B2" s="1" t="n"/>
      <x:c r="C2" s="1" t="n"/>
      <x:c r="D2" s="1" t="n"/>
      <x:c r="E2" s="1" t="n"/>
      <x:c r="F2" s="1" t="n"/>
      <x:c r="G2" s="1" t="n"/>
      <x:c r="H2" s="1" t="n"/>
      <x:c r="I2" s="1" t="n"/>
      <x:c r="J2" s="1" t="n"/>
      <x:c r="K2" s="1" t="n"/>
      <x:c r="L2" s="1" t="n"/>
      <x:c r="M2" s="1" t="n"/>
      <x:c r="N2" s="1" t="n"/>
      <x:c r="O2" s="1" t="n"/>
      <x:c r="P2" s="1" t="n"/>
      <x:c r="Q2" s="1" t="n"/>
      <x:c r="R2" s="1" t="n"/>
      <x:c r="S2" s="1" t="n"/>
    </x:row>
    <x:row r="3" ht="30" customHeight="1">
      <x:c r="A3" s="8" t="inlineStr">
        <x:is>
          <x:t xml:space="preserve">#</x:t>
        </x:is>
      </x:c>
      <x:c r="B3" s="8" t="inlineStr">
        <x:is>
          <x:t xml:space="preserve">Item ID</x:t>
        </x:is>
      </x:c>
      <x:c r="C3" s="8" t="inlineStr">
        <x:is>
          <x:t xml:space="preserve">Feature</x:t>
        </x:is>
      </x:c>
      <x:c r="D3" s="8" t="inlineStr">
        <x:is>
          <x:t xml:space="preserve">Learning item</x:t>
        </x:is>
      </x:c>
      <x:c r="E3" s="8" t="inlineStr">
        <x:is>
          <x:t xml:space="preserve">Acceptance checks</x:t>
        </x:is>
      </x:c>
      <x:c r="F3" s="8" t="inlineStr">
        <x:is>
          <x:t xml:space="preserve">Previous item</x:t>
        </x:is>
      </x:c>
      <x:c r="G3" s="8" t="inlineStr">
        <x:is>
          <x:t xml:space="preserve">Readiness</x:t>
        </x:is>
      </x:c>
      <x:c r="H3" s="8" t="inlineStr">
        <x:is>
          <x:t xml:space="preserve">Status</x:t>
        </x:is>
      </x:c>
      <x:c r="I3" s="8" t="inlineStr">
        <x:is>
          <x:t xml:space="preserve">Work stage</x:t>
        </x:is>
      </x:c>
      <x:c r="J3" s="8" t="inlineStr">
        <x:is>
          <x:t xml:space="preserve">Code review</x:t>
        </x:is>
      </x:c>
      <x:c r="K3" s="8" t="inlineStr">
        <x:is>
          <x:t xml:space="preserve">Review evidence</x:t>
        </x:is>
      </x:c>
      <x:c r="L3" s="8" t="inlineStr">
        <x:is>
          <x:t xml:space="preserve">Review date</x:t>
        </x:is>
      </x:c>
      <x:c r="M3" s="8" t="inlineStr">
        <x:is>
          <x:t xml:space="preserve">Tested by</x:t>
        </x:is>
      </x:c>
      <x:c r="N3" s="8" t="inlineStr">
        <x:is>
          <x:t xml:space="preserve">Test result</x:t>
        </x:is>
      </x:c>
      <x:c r="O3" s="8" t="inlineStr">
        <x:is>
          <x:t xml:space="preserve">Test evidence</x:t>
        </x:is>
      </x:c>
      <x:c r="P3" s="8" t="inlineStr">
        <x:is>
          <x:t xml:space="preserve">Test date</x:t>
        </x:is>
      </x:c>
      <x:c r="Q3" s="8" t="inlineStr">
        <x:is>
          <x:t xml:space="preserve">Lesson / last step</x:t>
        </x:is>
      </x:c>
      <x:c r="R3" s="8" t="inlineStr">
        <x:is>
          <x:t xml:space="preserve">Next action</x:t>
        </x:is>
      </x:c>
      <x:c r="S3" s="8" t="inlineStr">
        <x:is>
          <x:t xml:space="preserve">Blocker</x:t>
        </x:is>
      </x:c>
    </x:row>
    <x:row r="4" ht="400" customHeight="1">
      <x:c r="A4" s="4" t="n">
        <x:v>1</x:v>
      </x:c>
      <x:c r="B4" s="4" t="inlineStr">
        <x:is>
          <x:t xml:space="preserve">FB-001</x:t>
        </x:is>
      </x:c>
      <x:c r="C4" s="4" t="inlineStr">
        <x:is>
          <x:t xml:space="preserve">Starting point</x:t>
        </x:is>
      </x:c>
      <x:c r="D4" s="4" t="inlineStr">
        <x:is>
          <x:t xml:space="preserve">Inspect the projects and confirm the local starting point</x:t>
        </x:is>
      </x:c>
      <x:c r="E4" s="4" t="inlineStr">
        <x:is>
          <x:t xml:space="preserve">Review existing FoodBank code and relevant Poker workflows; explain how the current page runs; developer verifies the local page and database connection. Record actual findings before marking complete.</x:t>
        </x:is>
      </x:c>
      <x:c r="F4" s="4" t="n"/>
      <x:c r="G4" s="4" t="str">
        <x:f>IF(H4="Complete","Complete",IF(I4="Blocked","Blocked",IF(I4="In progress","Ready",IF(F4="","Ready",IF(COUNTIFS($B$4:$B$73,F4,$H$4:$H$73,"Complete")=1,"Ready","Waiting")))))</x:f>
        <x:v>Complete</x:v>
      </x:c>
      <x:c r="H4" s="4" t="str">
        <x:f>IF(I4="Not started","Not started",IF(I4="Blocked","Blocked",IF(I4="In progress","In progress",IF(J4&lt;&gt;"Passed","Awaiting code review",IF(OR(K4="",NOT(ISNUMBER(L4))),"Awaiting review evidence",IF(N4&lt;&gt;"Passed","Awaiting test",IF(OR(M4="",O4="",NOT(ISNUMBER(P4))),"Awaiting test evidence","Complete")))))))</x:f>
        <x:v>Complete</x:v>
      </x:c>
      <x:c r="I4" s="10" t="inlineStr">
        <x:is>
          <x:t xml:space="preserve">Ready for review</x:t>
        </x:is>
      </x:c>
      <x:c r="J4" s="10" t="inlineStr">
        <x:is>
          <x:t xml:space="preserve">Passed</x:t>
        </x:is>
      </x:c>
      <x:c r="K4" s="10" t="inlineStr">
        <x:is>
          <x:t xml:space="preserve">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x:t>
        </x:is>
      </x:c>
      <x:c r="L4" s="30" t="n">
        <x:v>46320</x:v>
      </x:c>
      <x:c r="M4" s="10" t="inlineStr">
        <x:is>
          <x:t xml:space="preserve">Developer</x:t>
        </x:is>
      </x:c>
      <x:c r="N4" s="10" t="inlineStr">
        <x:is>
          <x:t xml:space="preserve">Passed</x:t>
        </x:is>
      </x:c>
      <x:c r="O4" s="10" t="inlineStr">
        <x:is>
          <x:t xml:space="preserve">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x:t>
        </x:is>
      </x:c>
      <x:c r="P4" s="30" t="n">
        <x:v>46320</x:v>
      </x:c>
      <x:c r="Q4" s="10" t="inlineStr">
        <x:is>
          <x:t xml:space="preserve">2026-10-25: FB-001 complete after source review and developer-confirmed local page, Light/Dark refresh persistence and MySQL connection checks. Initial commit d8cdf44 already contains setup; no new tracked application changes.</x:t>
        </x:is>
      </x:c>
      <x:c r="R4" s="10" t="inlineStr">
        <x:is>
          <x:t xml:space="preserve">Before starting this item or feature: reread AGENTS.md from disk; apply its teaching and testing rules. Completed; continue with FB-002 shared login page.</x:t>
        </x:is>
      </x:c>
      <x:c r="S4" s="10" t="n"/>
    </x:row>
    <x:row r="5" ht="105" customHeight="1">
      <x:c r="A5" s="9" t="n">
        <x:v>2</x:v>
      </x:c>
      <x:c r="B5" s="9" t="inlineStr">
        <x:is>
          <x:t xml:space="preserve">FB-002</x:t>
        </x:is>
      </x:c>
      <x:c r="C5" s="9" t="inlineStr">
        <x:is>
          <x:t xml:space="preserve">Access</x:t>
        </x:is>
      </x:c>
      <x:c r="D5" s="9" t="inlineStr">
        <x:is>
          <x:t xml:space="preserve">Display the shared login page</x:t>
        </x:is>
      </x:c>
      <x:c r="E5" s="9" t="inlineStr">
        <x:is>
          <x:t xml:space="preserve">Show one login page for all roles, with username/email and password fields. Explain URL-to-page flow and inherited components; use local fictional accounts. Include approved Remember me checkbox (REQ-178) and verify the selected centered-card appearance (REQ-176).</x:t>
        </x:is>
      </x:c>
      <x:c r="F5" s="9" t="inlineStr">
        <x:is>
          <x:t xml:space="preserve">FB-001</x:t>
        </x:is>
      </x:c>
      <x:c r="G5" s="9" t="str">
        <x:f>IF(H5="Complete","Complete",IF(I5="Blocked","Blocked",IF(I5="In progress","Ready",IF(F5="","Ready",IF(COUNTIFS($B$4:$B$73,F5,$H$4:$H$73,"Complete")=1,"Ready","Waiting")))))</x:f>
        <x:v>Complete</x:v>
      </x:c>
      <x:c r="H5" s="9" t="str">
        <x:f>IF(I5="Not started","Not started",IF(I5="Blocked","Blocked",IF(I5="In progress","In progress",IF(J5&lt;&gt;"Passed","Awaiting code review",IF(OR(K5="",NOT(ISNUMBER(L5))),"Awaiting review evidence",IF(N5&lt;&gt;"Passed","Awaiting test",IF(OR(M5="",O5="",NOT(ISNUMBER(P5))),"Awaiting test evidence","Complete")))))))</x:f>
        <x:v>Complete</x:v>
      </x:c>
      <x:c r="I5" s="11" t="inlineStr">
        <x:is>
          <x:t xml:space="preserve">Ready for review</x:t>
        </x:is>
      </x:c>
      <x:c r="J5" s="11" t="inlineStr">
        <x:is>
          <x:t xml:space="preserve">Passed</x:t>
        </x:is>
      </x:c>
      <x:c r="K5" s="11" t="inlineStr">
        <x:is>
          <x:t xml:space="preserve">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x:t>
        </x:is>
      </x:c>
      <x:c r="L5" s="31" t="n">
        <x:v>46320</x:v>
      </x:c>
      <x:c r="M5" s="11" t="inlineStr">
        <x:is>
          <x:t xml:space="preserve">Developer</x:t>
        </x:is>
      </x:c>
      <x:c r="N5" s="11" t="inlineStr">
        <x:is>
          <x:t xml:space="preserve">Passed</x:t>
        </x:is>
      </x:c>
      <x:c r="O5" s="11" t="inlineStr">
        <x:is>
          <x:t xml:space="preserve">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x:t>
        </x:is>
      </x:c>
      <x:c r="P5" s="31" t="n">
        <x:v>46320</x:v>
      </x:c>
      <x:c r="Q5" s="11" t="inlineStr">
        <x:is>
          <x:t xml:space="preserve">2026-10-25: Reopened display work complete after final review and developer narrow/short viewport checks. Remember me display included, authentication not connected.</x:t>
        </x:is>
      </x:c>
      <x:c r="R5" s="11" t="inlineStr">
        <x:is>
          <x:t xml:space="preserve">Before starting this item or feature: reread AGENTS.md from disk; apply its teaching and testing rules. Display verified; continue FB-003 keyboard checks. Commit checkpoint: Build centered login screen with sprout branding and Remember me.</x:t>
        </x:is>
      </x:c>
      <x:c r="S5" s="11" t="n"/>
    </x:row>
    <x:row r="6" ht="105" customHeight="1">
      <x:c r="A6" s="4" t="n">
        <x:v>3</x:v>
      </x:c>
      <x:c r="B6" s="4" t="inlineStr">
        <x:is>
          <x:t xml:space="preserve">FB-003</x:t>
        </x:is>
      </x:c>
      <x:c r="C6" s="4" t="inlineStr">
        <x:is>
          <x:t xml:space="preserve">Access</x:t>
        </x:is>
      </x:c>
      <x:c r="D6" s="4" t="inlineStr">
        <x:is>
          <x:t xml:space="preserve">Arrange the login form for narrow and wide screens</x:t>
        </x:is>
      </x:c>
      <x:c r="E6" s="4" t="inlineStr">
        <x:is>
          <x:t xml:space="preserve">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x:t>
        </x:is>
      </x:c>
      <x:c r="F6" s="4" t="inlineStr">
        <x:is>
          <x:t xml:space="preserve">FB-002</x:t>
        </x:is>
      </x:c>
      <x:c r="G6" s="4" t="str">
        <x:f>IF(H6="Complete","Complete",IF(I6="Blocked","Blocked",IF(I6="In progress","Ready",IF(F6="","Ready",IF(COUNTIFS($B$4:$B$73,F6,$H$4:$H$73,"Complete")=1,"Ready","Waiting")))))</x:f>
        <x:v>Complete</x:v>
      </x:c>
      <x:c r="H6" s="4" t="str">
        <x:f>IF(I6="Not started","Not started",IF(I6="Blocked","Blocked",IF(I6="In progress","In progress",IF(J6&lt;&gt;"Passed","Awaiting code review",IF(OR(K6="",NOT(ISNUMBER(L6))),"Awaiting review evidence",IF(N6&lt;&gt;"Passed","Awaiting test",IF(OR(M6="",O6="",NOT(ISNUMBER(P6))),"Awaiting test evidence","Complete")))))))</x:f>
        <x:v>Complete</x:v>
      </x:c>
      <x:c r="I6" s="10" t="inlineStr">
        <x:is>
          <x:t xml:space="preserve">Ready for review</x:t>
        </x:is>
      </x:c>
      <x:c r="J6" s="10" t="inlineStr">
        <x:is>
          <x:t xml:space="preserve">Passed</x:t>
        </x:is>
      </x:c>
      <x:c r="K6" s="10" t="inlineStr">
        <x:is>
          <x:t xml:space="preserve">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x:t>
        </x:is>
      </x:c>
      <x:c r="L6" s="30" t="n">
        <x:v>46320</x:v>
      </x:c>
      <x:c r="M6" s="10" t="inlineStr">
        <x:is>
          <x:t xml:space="preserve">Developer</x:t>
        </x:is>
      </x:c>
      <x:c r="N6" s="10" t="inlineStr">
        <x:is>
          <x:t xml:space="preserve">Passed</x:t>
        </x:is>
      </x:c>
      <x:c r="O6" s="10" t="inlineStr">
        <x:is>
          <x:t xml:space="preserve">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x:t>
        </x:is>
      </x:c>
      <x:c r="P6" s="30" t="n">
        <x:v>46320</x:v>
      </x:c>
      <x:c r="Q6" s="10" t="inlineStr">
        <x:is>
          <x:t xml:space="preserve">Layout and approved keyboard checks complete 2026-10-25.</x:t>
        </x:is>
      </x:c>
      <x:c r="R6" s="10" t="inlineStr">
        <x:is>
          <x:t xml:space="preserve">Before starting this item or feature: reread AGENTS.md from disk; apply its teaching and testing rules. Continue FB-004 account prerequisites. Commit checkpoint: Build centered login screen with sprout branding and Remember me.</x:t>
        </x:is>
      </x:c>
      <x:c r="S6" s="10" t="n"/>
    </x:row>
    <x:row r="7" ht="105" customHeight="1">
      <x:c r="A7" s="9" t="n">
        <x:v>4</x:v>
      </x:c>
      <x:c r="B7" s="9" t="inlineStr">
        <x:is>
          <x:t xml:space="preserve">FB-004</x:t>
        </x:is>
      </x:c>
      <x:c r="C7" s="9" t="inlineStr">
        <x:is>
          <x:t xml:space="preserve">Access</x:t>
        </x:is>
      </x:c>
      <x:c r="D7" s="9" t="inlineStr">
        <x:is>
          <x:t xml:space="preserve">Create the initial account and fixed roles</x:t>
        </x:is>
      </x:c>
      <x:c r="E7" s="9" t="inlineStr">
        <x:is>
          <x:t xml:space="preserve">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F7" s="9" t="inlineStr">
        <x:is>
          <x:t xml:space="preserve">FB-003</x:t>
        </x:is>
      </x:c>
      <x:c r="G7" s="9" t="str">
        <x:f>IF(H7="Complete","Complete",IF(I7="Blocked","Blocked",IF(I7="In progress","Ready",IF(F7="","Ready",IF(COUNTIFS($B$4:$B$73,F7,$H$4:$H$73,"Complete")=1,"Ready","Waiting")))))</x:f>
        <x:v>Ready</x:v>
      </x:c>
      <x:c r="H7" s="9" t="str">
        <x:f>IF(I7="Not started","Not started",IF(I7="Blocked","Blocked",IF(I7="In progress","In progress",IF(J7&lt;&gt;"Passed","Awaiting code review",IF(OR(K7="",NOT(ISNUMBER(L7))),"Awaiting review evidence",IF(N7&lt;&gt;"Passed","Awaiting test",IF(OR(M7="",O7="",NOT(ISNUMBER(P7))),"Awaiting test evidence","Complete")))))))</x:f>
        <x:v>In progress</x:v>
      </x:c>
      <x:c r="I7" s="11" t="inlineStr">
        <x:is>
          <x:t xml:space="preserve">In progress</x:t>
        </x:is>
      </x:c>
      <x:c r="J7" s="11" t="inlineStr">
        <x:is>
          <x:t xml:space="preserve">Passed</x:t>
        </x:is>
      </x:c>
      <x:c r="K7" s="11" t="inlineStr">
        <x:is>
          <x:t xml:space="preserve">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x:t>
        </x:is>
      </x:c>
      <x:c r="L7" s="31" t="n">
        <x:v>46321</x:v>
      </x:c>
      <x:c r="M7" s="11" t="inlineStr">
        <x:is>
          <x:t xml:space="preserve">Developer</x:t>
        </x:is>
      </x:c>
      <x:c r="N7" s="11" t="inlineStr">
        <x:is>
          <x:t xml:space="preserve">Passed</x:t>
        </x:is>
      </x:c>
      <x:c r="O7" s="11" t="inlineStr">
        <x:is>
          <x:t xml:space="preserve">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x:t>
        </x:is>
      </x:c>
      <x:c r="P7" s="31" t="n">
        <x:v>46321</x:v>
      </x:c>
      <x:c r="Q7" s="11" t="inlineStr">
        <x:is>
          <x:t xml:space="preserve">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x:t>
        </x:is>
      </x:c>
      <x:c r="R7" s="11" t="inlineStr">
        <x:is>
          <x:t xml:space="preserve">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S7" s="11" t="n"/>
    </x:row>
    <x:row r="8" ht="105" customHeight="1">
      <x:c r="A8" s="4" t="n">
        <x:v>5</x:v>
      </x:c>
      <x:c r="B8" s="4" t="inlineStr">
        <x:is>
          <x:t xml:space="preserve">FB-005</x:t>
        </x:is>
      </x:c>
      <x:c r="C8" s="4" t="inlineStr">
        <x:is>
          <x:t xml:space="preserve">Access</x:t>
        </x:is>
      </x:c>
      <x:c r="D8" s="4" t="inlineStr">
        <x:is>
          <x:t xml:space="preserve">Connect login, logout and protected access</x:t>
        </x:is>
      </x:c>
      <x:c r="E8" s="4" t="inlineStr">
        <x:is>
          <x:t xml:space="preserve">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x:t>
        </x:is>
      </x:c>
      <x:c r="F8" s="4" t="inlineStr">
        <x:is>
          <x:t xml:space="preserve">FB-004</x:t>
        </x:is>
      </x:c>
      <x:c r="G8" s="4" t="str">
        <x:f>IF(H8="Complete","Complete",IF(I8="Blocked","Blocked",IF(I8="In progress","Ready",IF(F8="","Ready",IF(COUNTIFS($B$4:$B$73,F8,$H$4:$H$73,"Complete")=1,"Ready","Waiting")))))</x:f>
        <x:v>Ready</x:v>
      </x:c>
      <x:c r="H8" s="4" t="str">
        <x:f>IF(I8="Not started","Not started",IF(I8="Blocked","Blocked",IF(I8="In progress","In progress",IF(J8&lt;&gt;"Passed","Awaiting code review",IF(OR(K8="",NOT(ISNUMBER(L8))),"Awaiting review evidence",IF(N8&lt;&gt;"Passed","Awaiting test",IF(OR(M8="",O8="",NOT(ISNUMBER(P8))),"Awaiting test evidence","Complete")))))))</x:f>
        <x:v>In progress</x:v>
      </x:c>
      <x:c r="I8" s="10" t="inlineStr">
        <x:is>
          <x:t xml:space="preserve">In progress</x:t>
        </x:is>
      </x:c>
      <x:c r="J8" s="10" t="inlineStr">
        <x:is>
          <x:t xml:space="preserve">Needs changes</x:t>
        </x:is>
      </x:c>
      <x:c r="K8" s="10" t="inlineStr">
        <x:is>
          <x:t xml:space="preserve">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L8" s="30" t="n">
        <x:v>46321</x:v>
      </x:c>
      <x:c r="M8" s="10" t="inlineStr">
        <x:is>
          <x:t xml:space="preserve">Developer and assistant (delegated)</x:t>
        </x:is>
      </x:c>
      <x:c r="N8" s="10" t="inlineStr">
        <x:is>
          <x:t xml:space="preserve">Not tested</x:t>
        </x:is>
      </x:c>
      <x:c r="O8" s="10" t="inlineStr">
        <x:is>
          <x:t xml:space="preserve">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x:t>
        </x:is>
      </x:c>
      <x:c r="P8" s="30" t="n">
        <x:v>46321</x:v>
      </x:c>
      <x:c r="Q8" s="10" t="inlineStr">
        <x:is>
          <x:t xml:space="preserve">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R8" s="10" t="inlineStr">
        <x:is>
          <x:t xml:space="preserve">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8" s="10" t="n"/>
    </x:row>
    <x:row r="9" ht="105" customHeight="1">
      <x:c r="A9" s="9" t="n">
        <x:v>6</x:v>
      </x:c>
      <x:c r="B9" s="9" t="inlineStr">
        <x:is>
          <x:t xml:space="preserve">FB-016</x:t>
        </x:is>
      </x:c>
      <x:c r="C9" s="9" t="inlineStr">
        <x:is>
          <x:t xml:space="preserve">Accounts</x:t>
        </x:is>
      </x:c>
      <x:c r="D9" s="9" t="inlineStr">
        <x:is>
          <x:t xml:space="preserve">Display a create-user page and reactive fields</x:t>
        </x:is>
      </x:c>
      <x:c r="E9" s="9" t="inlineStr">
        <x:is>
          <x:t xml:space="preserve">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x:t>
        </x:is>
      </x:c>
      <x:c r="F9" s="9" t="inlineStr">
        <x:is>
          <x:t xml:space="preserve">FB-005</x:t>
        </x:is>
      </x:c>
      <x:c r="G9" s="9" t="str">
        <x:f>IF(H9="Complete","Complete",IF(I9="Blocked","Blocked",IF(I9="In progress","Ready",IF(F9="","Ready",IF(COUNTIFS($B$4:$B$73,F9,$H$4:$H$73,"Complete")=1,"Ready","Waiting")))))</x:f>
        <x:v>Ready</x:v>
      </x:c>
      <x:c r="H9" s="9" t="str">
        <x:f>IF(I9="Not started","Not started",IF(I9="Blocked","Blocked",IF(I9="In progress","In progress",IF(J9&lt;&gt;"Passed","Awaiting code review",IF(OR(K9="",NOT(ISNUMBER(L9))),"Awaiting review evidence",IF(N9&lt;&gt;"Passed","Awaiting test",IF(OR(M9="",O9="",NOT(ISNUMBER(P9))),"Awaiting test evidence","Complete")))))))</x:f>
        <x:v>In progress</x:v>
      </x:c>
      <x:c r="I9" s="11" t="inlineStr">
        <x:is>
          <x:t xml:space="preserve">In progress</x:t>
        </x:is>
      </x:c>
      <x:c r="J9" s="11" t="inlineStr">
        <x:is>
          <x:t xml:space="preserve">Changes needed</x:t>
        </x:is>
      </x:c>
      <x:c r="K9"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9" s="31" t="n">
        <x:v>46323.5</x:v>
      </x:c>
      <x:c r="M9" s="11" t="inlineStr">
        <x:is>
          <x:t xml:space="preserve">Assistant (explicitly delegated; prior developer evidence retained)</x:t>
        </x:is>
      </x:c>
      <x:c r="N9" s="11" t="inlineStr">
        <x:is>
          <x:t xml:space="preserve">Failed</x:t>
        </x:is>
      </x:c>
      <x:c r="O9" s="11" t="inlineStr">
        <x:is>
          <x:t xml:space="preserve">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9" s="31" t="n">
        <x:v>46323.5</x:v>
      </x:c>
      <x:c r="Q9" s="11" t="inlineStr">
        <x:is>
          <x: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x:t>
        </x:is>
      </x:c>
      <x:c r="R9" s="11"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9" s="11" t="n"/>
    </x:row>
    <x:row r="10" ht="105" customHeight="1">
      <x:c r="A10" s="4" t="n">
        <x:v>7</x:v>
      </x:c>
      <x:c r="B10" s="4" t="inlineStr">
        <x:is>
          <x:t xml:space="preserve">FB-017</x:t>
        </x:is>
      </x:c>
      <x:c r="C10" s="4" t="inlineStr">
        <x:is>
          <x:t xml:space="preserve">Accounts</x:t>
        </x:is>
      </x:c>
      <x:c r="D10" s="4" t="inlineStr">
        <x:is>
          <x:t xml:space="preserve">Arrange the create form and format Canadian phones</x:t>
        </x:is>
      </x:c>
      <x:c r="E10" s="4" t="inlineStr">
        <x:is>
          <x:t xml:space="preserve">Teach stacked-to-column layout. While typing, phone becomes +1 506-555-0123; ten digits after +1. Labels and field errors fit without overflow.</x:t>
        </x:is>
      </x:c>
      <x:c r="F10" s="4" t="inlineStr">
        <x:is>
          <x:t xml:space="preserve">FB-016</x:t>
        </x:is>
      </x:c>
      <x:c r="G10" s="4" t="str">
        <x:f>IF(H10="Complete","Complete",IF(I10="Blocked","Blocked",IF(I10="In progress","Ready",IF(F10="","Ready",IF(COUNTIFS($B$4:$B$73,F10,$H$4:$H$73,"Complete")=1,"Ready","Waiting")))))</x:f>
        <x:v>Ready</x:v>
      </x:c>
      <x:c r="H10" s="4" t="str">
        <x:f>IF(I10="Not started","Not started",IF(I10="Blocked","Blocked",IF(I10="In progress","In progress",IF(J10&lt;&gt;"Passed","Awaiting code review",IF(OR(K10="",NOT(ISNUMBER(L10))),"Awaiting review evidence",IF(N10&lt;&gt;"Passed","Awaiting test",IF(OR(M10="",O10="",NOT(ISNUMBER(P10))),"Awaiting test evidence","Complete")))))))</x:f>
        <x:v>In progress</x:v>
      </x:c>
      <x:c r="I10" s="10" t="inlineStr">
        <x:is>
          <x:t xml:space="preserve">In progress</x:t>
        </x:is>
      </x:c>
      <x:c r="J10" s="10" t="inlineStr">
        <x:is>
          <x:t xml:space="preserve">Changes needed</x:t>
        </x:is>
      </x:c>
      <x:c r="K10" s="10" t="inlineStr">
        <x:is>
          <x: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0" s="30" t="n">
        <x:v>46323.5</x:v>
      </x:c>
      <x:c r="M10" s="10" t="inlineStr">
        <x:is>
          <x:t xml:space="preserve">Assistant (explicitly delegated; prior developer evidence retained)</x:t>
        </x:is>
      </x:c>
      <x:c r="N10" s="10" t="inlineStr">
        <x:is>
          <x:t xml:space="preserve">Failed</x:t>
        </x:is>
      </x:c>
      <x:c r="O10" s="10" t="inlineStr">
        <x:is>
          <x: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0" s="30" t="n">
        <x:v>46323.5</x:v>
      </x:c>
      <x:c r="Q10" s="10" t="inlineStr">
        <x:is>
          <x:t xml:space="preserve">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x:t>
        </x:is>
      </x:c>
      <x:c r="R10" s="10"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10" s="10" t="n"/>
    </x:row>
    <x:row r="11" ht="105" customHeight="1">
      <x:c r="A11" s="9" t="n">
        <x:v>8</x:v>
      </x:c>
      <x:c r="B11" s="9" t="inlineStr">
        <x:is>
          <x:t xml:space="preserve">FB-018</x:t>
        </x:is>
      </x:c>
      <x:c r="C11" s="9" t="inlineStr">
        <x:is>
          <x:t xml:space="preserve">Accounts</x:t>
        </x:is>
      </x:c>
      <x:c r="D11" s="9" t="inlineStr">
        <x:is>
          <x:t xml:space="preserve">Generate meaningful unique usernames</x:t>
        </x:is>
      </x:c>
      <x:c r="E11" s="9" t="inlineStr">
        <x:is>
          <x:t xml:space="preserve">Lowercase first.last; remove spaces/hyphens/apostrophes and transliterate accents for username only. Collisions across all roles use .01, .02 etc. Unexpected symbols or unusable name parts block saving; no user.user fallback.</x:t>
        </x:is>
      </x:c>
      <x:c r="F11" s="9" t="inlineStr">
        <x:is>
          <x:t xml:space="preserve">FB-017</x:t>
        </x:is>
      </x:c>
      <x:c r="G11" s="9" t="str">
        <x:f>IF(H11="Complete","Complete",IF(I11="Blocked","Blocked",IF(I11="In progress","Ready",IF(F11="","Ready",IF(COUNTIFS($B$4:$B$73,F11,$H$4:$H$73,"Complete")=1,"Ready","Waiting")))))</x:f>
        <x:v>Ready</x:v>
      </x:c>
      <x:c r="H11" s="9" t="str">
        <x:f>IF(I11="Not started","Not started",IF(I11="Blocked","Blocked",IF(I11="In progress","In progress",IF(J11&lt;&gt;"Passed","Awaiting code review",IF(OR(K11="",NOT(ISNUMBER(L11))),"Awaiting review evidence",IF(N11&lt;&gt;"Passed","Awaiting test",IF(OR(M11="",O11="",NOT(ISNUMBER(P11))),"Awaiting test evidence","Complete")))))))</x:f>
        <x:v>In progress</x:v>
      </x:c>
      <x:c r="I11" s="11" t="inlineStr">
        <x:is>
          <x:t xml:space="preserve">In progress</x:t>
        </x:is>
      </x:c>
      <x:c r="J11" s="11" t="inlineStr">
        <x:is>
          <x:t xml:space="preserve">Changes needed</x:t>
        </x:is>
      </x:c>
      <x:c r="K11" s="11" t="inlineStr">
        <x:is>
          <x: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1" s="31" t="n">
        <x:v>46324</x:v>
      </x:c>
      <x:c r="M11" s="11" t="inlineStr">
        <x:is>
          <x:t xml:space="preserve">Assistant (delegated; browser Cancel user-assisted)</x:t>
        </x:is>
      </x:c>
      <x:c r="N11" s="11" t="inlineStr">
        <x:is>
          <x:t xml:space="preserve">Failed</x:t>
        </x:is>
      </x:c>
      <x:c r="O11" s="11" t="inlineStr">
        <x:is>
          <x: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1" s="31" t="n">
        <x:v>46324</x:v>
      </x:c>
      <x:c r="Q11" s="11" t="inlineStr">
        <x:is>
          <x:t xml:space="preserve">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x:t>
        </x:is>
      </x:c>
      <x:c r="R11" s="11" t="inlineStr">
        <x:is>
          <x:t xml:space="preserve">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x:t>
        </x:is>
      </x:c>
      <x:c r="S11" s="11" t="n"/>
    </x:row>
    <x:row r="12" ht="105" customHeight="1">
      <x:c r="A12" s="4" t="n">
        <x:v>9</x:v>
      </x:c>
      <x:c r="B12" s="4" t="inlineStr">
        <x:is>
          <x:t xml:space="preserve">FB-020</x:t>
        </x:is>
      </x:c>
      <x:c r="C12" s="4" t="inlineStr">
        <x:is>
          <x:t xml:space="preserve">Accounts</x:t>
        </x:is>
      </x:c>
      <x:c r="D12" s="4" t="inlineStr">
        <x:is>
          <x:t xml:space="preserve">Build the protected read-only account details page</x:t>
        </x:is>
      </x:c>
      <x:c r="E12" s="4" t="inlineStr">
        <x:is>
          <x:t xml:space="preserve">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x:t>
        </x:is>
      </x:c>
      <x:c r="F12" s="4" t="inlineStr">
        <x:is>
          <x:t xml:space="preserve">FB-018</x:t>
        </x:is>
      </x:c>
      <x:c r="G12" s="4" t="str">
        <x:f>IF(H12="Complete","Complete",IF(I12="Blocked","Blocked",IF(I12="In progress","Ready",IF(F12="","Ready",IF(COUNTIFS($B$4:$B$73,F12,$H$4:$H$73,"Complete")=1,"Ready","Waiting")))))</x:f>
        <x:v>Complete</x:v>
      </x:c>
      <x:c r="H12" s="4" t="str">
        <x:f>IF(I12="Not started","Not started",IF(I12="Blocked","Blocked",IF(I12="In progress","In progress",IF(J12&lt;&gt;"Passed","Awaiting code review",IF(OR(K12="",NOT(ISNUMBER(L12))),"Awaiting review evidence",IF(N12&lt;&gt;"Passed","Awaiting test",IF(OR(M12="",O12="",NOT(ISNUMBER(P12))),"Awaiting test evidence","Complete")))))))</x:f>
        <x:v>Complete</x:v>
      </x:c>
      <x:c r="I12" s="10" t="inlineStr">
        <x:is>
          <x:t xml:space="preserve">Ready for review</x:t>
        </x:is>
      </x:c>
      <x:c r="J12" s="10" t="inlineStr">
        <x:is>
          <x:t xml:space="preserve">Passed</x:t>
        </x:is>
      </x:c>
      <x:c r="K12" s="10" t="inlineStr">
        <x:is>
          <x:t xml:space="preserve">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2" s="30" t="n">
        <x:v>46323.5</x:v>
      </x:c>
      <x:c r="M12" s="10" t="inlineStr">
        <x:is>
          <x:t xml:space="preserve">Assistant (delegated) and Developer</x:t>
        </x:is>
      </x:c>
      <x:c r="N12" s="10" t="inlineStr">
        <x:is>
          <x:t xml:space="preserve">Passed</x:t>
        </x:is>
      </x:c>
      <x:c r="O12" s="10" t="inlineStr">
        <x:is>
          <x:t xml:space="preserve">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2" s="30" t="n">
        <x:v>46323.5</x:v>
      </x:c>
      <x:c r="Q12" s="10" t="inlineStr">
        <x:is>
          <x:t xml:space="preserve">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x:t>
        </x:is>
      </x:c>
      <x:c r="R12" s="10" t="inlineStr">
        <x:is>
          <x:t xml:space="preserve">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x:t>
        </x:is>
      </x:c>
      <x:c r="S12" s="10" t="n"/>
    </x:row>
    <x:row r="13" ht="105" customHeight="1">
      <x:c r="A13" s="9" t="n">
        <x:v>10</x:v>
      </x:c>
      <x:c r="B13" s="9" t="inlineStr">
        <x:is>
          <x:t xml:space="preserve">FB-019</x:t>
        </x:is>
      </x:c>
      <x:c r="C13" s="9" t="inlineStr">
        <x:is>
          <x:t xml:space="preserve">Accounts</x:t>
        </x:is>
      </x:c>
      <x:c r="D13" s="9" t="inlineStr">
        <x:is>
          <x:t xml:space="preserve">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x:t>
        </x:is>
      </x:c>
      <x:c r="E13" s="9" t="inlineStr">
        <x:is>
          <x:t xml:space="preserve">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F13" s="9" t="inlineStr">
        <x:is>
          <x:t xml:space="preserve">FB-020</x:t>
        </x:is>
      </x:c>
      <x:c r="G13" s="9" t="str">
        <x:f>IF(H13="Complete","Complete",IF(I13="Blocked","Blocked",IF(I13="In progress","Ready",IF(F13="","Ready",IF(COUNTIFS($B$4:$B$73,F13,$H$4:$H$73,"Complete")=1,"Ready","Waiting")))))</x:f>
        <x:v>Ready</x:v>
      </x:c>
      <x:c r="H13" s="9" t="str">
        <x:f>IF(I13="Not started","Not started",IF(I13="Blocked","Blocked",IF(I13="In progress","In progress",IF(J13&lt;&gt;"Passed","Awaiting code review",IF(OR(K13="",NOT(ISNUMBER(L13))),"Awaiting review evidence",IF(N13&lt;&gt;"Passed","Awaiting test",IF(OR(M13="",O13="",NOT(ISNUMBER(P13))),"Awaiting test evidence","Complete")))))))</x:f>
        <x:v>In progress</x:v>
      </x:c>
      <x:c r="I13" s="11" t="inlineStr">
        <x:is>
          <x:t xml:space="preserve">In progress</x:t>
        </x:is>
      </x:c>
      <x:c r="J13" s="11" t="inlineStr">
        <x:is>
          <x:t xml:space="preserve">Changes needed</x:t>
        </x:is>
      </x:c>
      <x:c r="K13"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3" s="31" t="n">
        <x:v>46324</x:v>
      </x:c>
      <x:c r="M13" s="11" t="inlineStr">
        <x:is>
          <x:t xml:space="preserve">Assistant (delegated; browser Cancel user-assisted)</x:t>
        </x:is>
      </x:c>
      <x:c r="N13" s="11" t="inlineStr">
        <x:is>
          <x:t xml:space="preserve">Failed</x:t>
        </x:is>
      </x:c>
      <x:c r="O13" s="11" t="inlineStr">
        <x:is>
          <x: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3" s="31" t="n">
        <x:v>46324</x:v>
      </x:c>
      <x:c r="Q13" s="11" t="inlineStr">
        <x:is>
          <x: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x:t>
        </x:is>
      </x:c>
      <x:c r="R13" s="11"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13" s="11" t="n"/>
    </x:row>
    <x:row r="14" ht="105" customHeight="1">
      <x:c r="A14" s="4" t="n">
        <x:v>11</x:v>
      </x:c>
      <x:c r="B14" s="4" t="inlineStr">
        <x:is>
          <x:t xml:space="preserve">FB-006</x:t>
        </x:is>
      </x:c>
      <x:c r="C14" s="4" t="inlineStr">
        <x:is>
          <x:t xml:space="preserve">Access</x:t>
        </x:is>
      </x:c>
      <x:c r="D14" s="4" t="inlineStr">
        <x:is>
          <x:t xml:space="preserve">Build the required personal-password setup screen</x:t>
        </x:is>
      </x:c>
      <x:c r="E14" s="4" t="inlineStr">
        <x:is>
          <x:t xml:space="preserve">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x:t>
        </x:is>
      </x:c>
      <x:c r="F14" s="4" t="inlineStr">
        <x:is>
          <x:t xml:space="preserve">FB-019</x:t>
        </x:is>
      </x:c>
      <x:c r="G14" s="4" t="str">
        <x:f>IF(H14="Complete","Complete",IF(I14="Blocked","Blocked",IF(I14="In progress","Ready",IF(F14="","Ready",IF(COUNTIFS($B$4:$B$73,F14,$H$4:$H$73,"Complete")=1,"Ready","Waiting")))))</x:f>
        <x:v>Ready</x:v>
      </x:c>
      <x:c r="H14" s="4" t="str">
        <x:f>IF(I14="Not started","Not started",IF(I14="Blocked","Blocked",IF(I14="In progress","In progress",IF(J14&lt;&gt;"Passed","Awaiting code review",IF(OR(K14="",NOT(ISNUMBER(L14))),"Awaiting review evidence",IF(N14&lt;&gt;"Passed","Awaiting test",IF(OR(M14="",O14="",NOT(ISNUMBER(P14))),"Awaiting test evidence","Complete")))))))</x:f>
        <x:v>In progress</x:v>
      </x:c>
      <x:c r="I14" s="10" t="inlineStr">
        <x:is>
          <x:t xml:space="preserve">In progress</x:t>
        </x:is>
      </x:c>
      <x:c r="J14" s="10" t="inlineStr">
        <x:is>
          <x:t xml:space="preserve">Changes needed</x:t>
        </x:is>
      </x:c>
      <x:c r="K14" s="10"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x:t>
        </x:is>
      </x:c>
      <x:c r="L14" s="30" t="n">
        <x:v>46322</x:v>
      </x:c>
      <x:c r="M14" s="10" t="inlineStr">
        <x:is>
          <x:t xml:space="preserve">Assistant (delegated)</x:t>
        </x:is>
      </x:c>
      <x:c r="N14" s="10" t="inlineStr">
        <x:is>
          <x:t xml:space="preserve">Failed</x:t>
        </x:is>
      </x:c>
      <x:c r="O14" s="10"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x:t>
        </x:is>
      </x:c>
      <x:c r="P14" s="30" t="n">
        <x:v>46322</x:v>
      </x:c>
      <x:c r="Q14" s="10" t="inlineStr">
        <x:is>
          <x:t xml:space="preserve">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t>
        </x:is>
      </x:c>
      <x:c r="R14" s="10"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4" s="10" t="n"/>
    </x:row>
    <x:row r="15" ht="105" customHeight="1">
      <x:c r="A15" s="9" t="n">
        <x:v>12</x:v>
      </x:c>
      <x:c r="B15" s="9" t="inlineStr">
        <x:is>
          <x:t xml:space="preserve">FB-007</x:t>
        </x:is>
      </x:c>
      <x:c r="C15" s="9" t="inlineStr">
        <x:is>
          <x:t xml:space="preserve">Access</x:t>
        </x:is>
      </x:c>
      <x:c r="D15" s="9" t="inlineStr">
        <x:is>
          <x:t xml:space="preserve">Save the initial personal password and require login again</x:t>
        </x:is>
      </x:c>
      <x:c r="E15" s="9" t="inlineStr">
        <x:is>
          <x:t xml:space="preserve">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x:t>
        </x:is>
      </x:c>
      <x:c r="F15" s="9" t="inlineStr">
        <x:is>
          <x:t xml:space="preserve">FB-006</x:t>
        </x:is>
      </x:c>
      <x:c r="G15" s="9" t="str">
        <x:f>IF(H15="Complete","Complete",IF(I15="Blocked","Blocked",IF(I15="In progress","Ready",IF(F15="","Ready",IF(COUNTIFS($B$4:$B$73,F15,$H$4:$H$73,"Complete")=1,"Ready","Waiting")))))</x:f>
        <x:v>Ready</x:v>
      </x:c>
      <x:c r="H15" s="9" t="str">
        <x:f>IF(I15="Not started","Not started",IF(I15="Blocked","Blocked",IF(I15="In progress","In progress",IF(J15&lt;&gt;"Passed","Awaiting code review",IF(OR(K15="",NOT(ISNUMBER(L15))),"Awaiting review evidence",IF(N15&lt;&gt;"Passed","Awaiting test",IF(OR(M15="",O15="",NOT(ISNUMBER(P15))),"Awaiting test evidence","Complete")))))))</x:f>
        <x:v>In progress</x:v>
      </x:c>
      <x:c r="I15" s="11" t="inlineStr">
        <x:is>
          <x:t xml:space="preserve">In progress</x:t>
        </x:is>
      </x:c>
      <x:c r="J15" s="11" t="inlineStr">
        <x:is>
          <x:t xml:space="preserve">Changes needed</x:t>
        </x:is>
      </x:c>
      <x:c r="K15" s="11"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x:t>
        </x:is>
      </x:c>
      <x:c r="L15" s="31" t="n">
        <x:v>46322</x:v>
      </x:c>
      <x:c r="M15" s="11" t="inlineStr">
        <x:is>
          <x:t xml:space="preserve">Assistant (delegated)</x:t>
        </x:is>
      </x:c>
      <x:c r="N15" s="11" t="inlineStr">
        <x:is>
          <x:t xml:space="preserve">Failed</x:t>
        </x:is>
      </x:c>
      <x:c r="O15" s="11"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x:t>
        </x:is>
      </x:c>
      <x:c r="P15" s="31" t="n">
        <x:v>46322</x:v>
      </x:c>
      <x:c r="Q15" s="11" t="inlineStr">
        <x:is>
          <x: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t>
        </x:is>
      </x:c>
      <x:c r="R15" s="11"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5" s="11" t="n"/>
    </x:row>
    <x:row r="16" ht="105" customHeight="1">
      <x:c r="A16" s="4" t="n">
        <x:v>13</x:v>
      </x:c>
      <x:c r="B16" s="4" t="inlineStr">
        <x:is>
          <x:t xml:space="preserve">FB-024</x:t>
        </x:is>
      </x:c>
      <x:c r="C16" s="4" t="inlineStr">
        <x:is>
          <x:t xml:space="preserve">Accounts</x:t>
        </x:is>
      </x:c>
      <x:c r="D16" s="4" t="inlineStr">
        <x:is>
          <x:t xml:space="preserve">Change the signed-in user’s password</x:t>
        </x:is>
      </x:c>
      <x:c r="E16" s="4" t="inlineStr">
        <x:is>
          <x:t xml:space="preserve">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x:t>
        </x:is>
      </x:c>
      <x:c r="F16" s="4" t="inlineStr">
        <x:is>
          <x:t xml:space="preserve">FB-007</x:t>
        </x:is>
      </x:c>
      <x:c r="G16" s="4" t="str">
        <x:f>IF(H16="Complete","Complete",IF(I16="Blocked","Blocked",IF(I16="In progress","Ready",IF(F16="","Ready",IF(COUNTIFS($B$4:$B$73,F16,$H$4:$H$73,"Complete")=1,"Ready","Waiting")))))</x:f>
        <x:v>Ready</x:v>
      </x:c>
      <x:c r="H16" s="4" t="str">
        <x:f>IF(I16="Not started","Not started",IF(I16="Blocked","Blocked",IF(I16="In progress","In progress",IF(J16&lt;&gt;"Passed","Awaiting code review",IF(OR(K16="",NOT(ISNUMBER(L16))),"Awaiting review evidence",IF(N16&lt;&gt;"Passed","Awaiting test",IF(OR(M16="",O16="",NOT(ISNUMBER(P16))),"Awaiting test evidence","Complete")))))))</x:f>
        <x:v>In progress</x:v>
      </x:c>
      <x:c r="I16" s="10" t="inlineStr">
        <x:is>
          <x:t xml:space="preserve">In progress</x:t>
        </x:is>
      </x:c>
      <x:c r="J16" s="10" t="inlineStr">
        <x:is>
          <x:t xml:space="preserve">Not reviewed</x:t>
        </x:is>
      </x:c>
      <x:c r="K16" s="10" t="n"/>
      <x:c r="L16" s="30" t="n"/>
      <x:c r="M16" s="10" t="n"/>
      <x:c r="N16" s="10" t="inlineStr">
        <x:is>
          <x:t xml:space="preserve">Not tested</x:t>
        </x:is>
      </x:c>
      <x:c r="O16" s="10" t="n"/>
      <x:c r="P16" s="30" t="n"/>
      <x:c r="Q16" s="10" t="inlineStr">
        <x:is>
          <x: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R16" s="10" t="inlineStr">
        <x:is>
          <x:t xml:space="preserve">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6" s="10" t="n"/>
    </x:row>
    <x:row r="17" ht="105" customHeight="1">
      <x:c r="A17" s="9" t="n">
        <x:v>14</x:v>
      </x:c>
      <x:c r="B17" s="9" t="inlineStr">
        <x:is>
          <x:t xml:space="preserve">FB-009</x:t>
        </x:is>
      </x:c>
      <x:c r="C17" s="9" t="inlineStr">
        <x:is>
          <x:t xml:space="preserve">Accounts</x:t>
        </x:is>
      </x:c>
      <x:c r="D17" s="9" t="inlineStr">
        <x:is>
          <x:t xml:space="preserve">Display the unfiltered user lists</x:t>
        </x:is>
      </x:c>
      <x:c r="E17" s="9" t="inlineStr">
        <x:is>
          <x:t xml:space="preserve">Shared directory available to every signed-in user; all three roles, active and inactive. SIX separate columns First name, Last name, Email, Phone, Role, Status. Fictional props/loops/stable keys first. Separate full-details/management permissions. No pictures now. REQ-041.</x:t>
        </x:is>
      </x:c>
      <x:c r="F17" s="9" t="inlineStr">
        <x:is>
          <x:t xml:space="preserve">FB-024</x:t>
        </x:is>
      </x:c>
      <x:c r="G17" s="9" t="str">
        <x:f>IF(H17="Complete","Complete",IF(I17="Blocked","Blocked",IF(I17="In progress","Ready",IF(F17="","Ready",IF(COUNTIFS($B$4:$B$73,F17,$H$4:$H$73,"Complete")=1,"Ready","Waiting")))))</x:f>
        <x:v>Ready</x:v>
      </x:c>
      <x:c r="H17" s="9" t="str">
        <x:f>IF(I17="Not started","Not started",IF(I17="Blocked","Blocked",IF(I17="In progress","In progress",IF(J17&lt;&gt;"Passed","Awaiting code review",IF(OR(K17="",NOT(ISNUMBER(L17))),"Awaiting review evidence",IF(N17&lt;&gt;"Passed","Awaiting test",IF(OR(M17="",O17="",NOT(ISNUMBER(P17))),"Awaiting test evidence","Complete")))))))</x:f>
        <x:v>In progress</x:v>
      </x:c>
      <x:c r="I17" s="11" t="inlineStr">
        <x:is>
          <x:t xml:space="preserve">In progress</x:t>
        </x:is>
      </x:c>
      <x:c r="J17" s="11" t="inlineStr">
        <x:is>
          <x:t xml:space="preserve">Changes needed</x:t>
        </x:is>
      </x:c>
      <x:c r="K17"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7" s="31" t="n">
        <x:v>46324</x:v>
      </x:c>
      <x:c r="M17" s="11" t="inlineStr">
        <x:is>
          <x:t xml:space="preserve">Developer</x:t>
        </x:is>
      </x:c>
      <x:c r="N17" s="11" t="inlineStr">
        <x:is>
          <x:t xml:space="preserve">Partial</x:t>
        </x:is>
      </x:c>
      <x:c r="O17" s="11" t="inlineStr">
        <x:is>
          <x: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7" s="31" t="inlineStr">
        <x:is>
          <x:t xml:space="preserve">2026-10-29</x:t>
        </x:is>
      </x:c>
      <x:c r="Q17" s="11" t="inlineStr">
        <x:is>
          <x: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17"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7" s="11" t="n"/>
    </x:row>
    <x:row r="18" ht="105" customHeight="1">
      <x:c r="A18" s="4" t="n">
        <x:v>15</x:v>
      </x:c>
      <x:c r="B18" s="4" t="inlineStr">
        <x:is>
          <x:t xml:space="preserve">FB-010</x:t>
        </x:is>
      </x:c>
      <x:c r="C18" s="4" t="inlineStr">
        <x:is>
          <x:t xml:space="preserve">Accounts</x:t>
        </x:is>
      </x:c>
      <x:c r="D18" s="4" t="inlineStr">
        <x:is>
          <x:t xml:space="preserve">Lay out the lists and toolbar</x:t>
        </x:is>
      </x:c>
      <x:c r="E18" s="4" t="inlineStr">
        <x:is>
          <x:t xml:space="preserve">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x:t>
        </x:is>
      </x:c>
      <x:c r="F18" s="4" t="inlineStr">
        <x:is>
          <x:t xml:space="preserve">FB-009</x:t>
        </x:is>
      </x:c>
      <x:c r="G18" s="4" t="str">
        <x:f>IF(H18="Complete","Complete",IF(I18="Blocked","Blocked",IF(I18="In progress","Ready",IF(F18="","Ready",IF(COUNTIFS($B$4:$B$73,F18,$H$4:$H$73,"Complete")=1,"Ready","Waiting")))))</x:f>
        <x:v>Ready</x:v>
      </x:c>
      <x:c r="H18" s="4" t="str">
        <x:f>IF(I18="Not started","Not started",IF(I18="Blocked","Blocked",IF(I18="In progress","In progress",IF(J18&lt;&gt;"Passed","Awaiting code review",IF(OR(K18="",NOT(ISNUMBER(L18))),"Awaiting review evidence",IF(N18&lt;&gt;"Passed","Awaiting test",IF(OR(M18="",O18="",NOT(ISNUMBER(P18))),"Awaiting test evidence","Complete")))))))</x:f>
        <x:v>In progress</x:v>
      </x:c>
      <x:c r="I18" s="10" t="inlineStr">
        <x:is>
          <x:t xml:space="preserve">In progress</x:t>
        </x:is>
      </x:c>
      <x:c r="J18" s="10" t="inlineStr">
        <x:is>
          <x:t xml:space="preserve">Not reviewed</x:t>
        </x:is>
      </x:c>
      <x:c r="K18"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8" s="30" t="n">
        <x:v>46324</x:v>
      </x:c>
      <x:c r="M18" s="10" t="inlineStr">
        <x:is>
          <x:t xml:space="preserve">Developer</x:t>
        </x:is>
      </x:c>
      <x:c r="N18" s="10" t="inlineStr">
        <x:is>
          <x:t xml:space="preserve">Partial</x:t>
        </x:is>
      </x:c>
      <x:c r="O18" s="10" t="inlineStr">
        <x:is>
          <x: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8" s="30" t="n"/>
      <x:c r="Q18" s="10" t="inlineStr">
        <x:is>
          <x:t xml:space="preserve">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18"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8" s="10" t="n"/>
    </x:row>
    <x:row r="19" ht="105" customHeight="1">
      <x:c r="A19" s="9" t="n">
        <x:v>16</x:v>
      </x:c>
      <x:c r="B19" s="9" t="inlineStr">
        <x:is>
          <x:t xml:space="preserve">FB-011</x:t>
        </x:is>
      </x:c>
      <x:c r="C19" s="9" t="inlineStr">
        <x:is>
          <x:t xml:space="preserve">Accounts</x:t>
        </x:is>
      </x:c>
      <x:c r="D19" s="9" t="inlineStr">
        <x:is>
          <x:t xml:space="preserve">Add account search</x:t>
        </x:is>
      </x:c>
      <x:c r="E19" s="9" t="inlineStr">
        <x:is>
          <x:t xml:space="preserve">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x:t>
        </x:is>
      </x:c>
      <x:c r="F19" s="9" t="inlineStr">
        <x:is>
          <x:t xml:space="preserve">FB-010</x:t>
        </x:is>
      </x:c>
      <x:c r="G19" s="9" t="str">
        <x:f>IF(H19="Complete","Complete",IF(I19="Blocked","Blocked",IF(I19="In progress","Ready",IF(F19="","Ready",IF(COUNTIFS($B$4:$B$73,F19,$H$4:$H$73,"Complete")=1,"Ready","Waiting")))))</x:f>
        <x:v>Ready</x:v>
      </x:c>
      <x:c r="H19" s="9" t="str">
        <x:f>IF(I19="Not started","Not started",IF(I19="Blocked","Blocked",IF(I19="In progress","In progress",IF(J19&lt;&gt;"Passed","Awaiting code review",IF(OR(K19="",NOT(ISNUMBER(L19))),"Awaiting review evidence",IF(N19&lt;&gt;"Passed","Awaiting test",IF(OR(M19="",O19="",NOT(ISNUMBER(P19))),"Awaiting test evidence","Complete")))))))</x:f>
        <x:v>In progress</x:v>
      </x:c>
      <x:c r="I19" s="11" t="inlineStr">
        <x:is>
          <x:t xml:space="preserve">In progress</x:t>
        </x:is>
      </x:c>
      <x:c r="J19" s="11" t="inlineStr">
        <x:is>
          <x:t xml:space="preserve">Changes needed</x:t>
        </x:is>
      </x:c>
      <x:c r="K19"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9" s="31" t="n">
        <x:v>46324</x:v>
      </x:c>
      <x:c r="M19" s="11" t="inlineStr">
        <x:is>
          <x:t xml:space="preserve">Developer</x:t>
        </x:is>
      </x:c>
      <x:c r="N19" s="11" t="inlineStr">
        <x:is>
          <x:t xml:space="preserve">Partial</x:t>
        </x:is>
      </x:c>
      <x:c r="O19" s="11" t="inlineStr">
        <x:is>
          <x: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9" s="31" t="n"/>
      <x:c r="Q19" s="11" t="inlineStr">
        <x:is>
          <x:t xml:space="preserve">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19"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9" s="11" t="n"/>
    </x:row>
    <x:row r="20" ht="105" customHeight="1">
      <x:c r="A20" s="4" t="n">
        <x:v>17</x:v>
      </x:c>
      <x:c r="B20" s="4" t="inlineStr">
        <x:is>
          <x:t xml:space="preserve">FB-012</x:t>
        </x:is>
      </x:c>
      <x:c r="C20" s="4" t="inlineStr">
        <x:is>
          <x:t xml:space="preserve">Accounts</x:t>
        </x:is>
      </x:c>
      <x:c r="D20" s="4" t="inlineStr">
        <x:is>
          <x:t xml:space="preserve">Extend directory search to partial role names</x:t>
        </x:is>
      </x:c>
      <x:c r="E20" s="4" t="inlineStr">
        <x:is>
          <x:t xml:space="preserve">Same single search box matches role labels as well as first name, last name, email or phone. manager, mana and manag find Managers. Search applies before pagination; no separate status or role dropdown. Related rule: REQ-041.</x:t>
        </x:is>
      </x:c>
      <x:c r="F20" s="4" t="inlineStr">
        <x:is>
          <x:t xml:space="preserve">FB-011</x:t>
        </x:is>
      </x:c>
      <x:c r="G20" s="4" t="str">
        <x:f>IF(H20="Complete","Complete",IF(I20="Blocked","Blocked",IF(I20="In progress","Ready",IF(F20="","Ready",IF(COUNTIFS($B$4:$B$73,F20,$H$4:$H$73,"Complete")=1,"Ready","Waiting")))))</x:f>
        <x:v>Ready</x:v>
      </x:c>
      <x:c r="H20" s="4" t="str">
        <x:f>IF(I20="Not started","Not started",IF(I20="Blocked","Blocked",IF(I20="In progress","In progress",IF(J20&lt;&gt;"Passed","Awaiting code review",IF(OR(K20="",NOT(ISNUMBER(L20))),"Awaiting review evidence",IF(N20&lt;&gt;"Passed","Awaiting test",IF(OR(M20="",O20="",NOT(ISNUMBER(P20))),"Awaiting test evidence","Complete")))))))</x:f>
        <x:v>In progress</x:v>
      </x:c>
      <x:c r="I20" s="10" t="inlineStr">
        <x:is>
          <x:t xml:space="preserve">In progress</x:t>
        </x:is>
      </x:c>
      <x:c r="J20" s="10" t="inlineStr">
        <x:is>
          <x:t xml:space="preserve">Changes needed</x:t>
        </x:is>
      </x:c>
      <x:c r="K20"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0" s="30" t="n">
        <x:v>46324</x:v>
      </x:c>
      <x:c r="M20" s="10" t="inlineStr">
        <x:is>
          <x:t xml:space="preserve">Developer</x:t>
        </x:is>
      </x:c>
      <x:c r="N20" s="10" t="inlineStr">
        <x:is>
          <x:t xml:space="preserve">Partial</x:t>
        </x:is>
      </x:c>
      <x:c r="O20" s="10" t="inlineStr">
        <x:is>
          <x:t xml:space="preserve">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0" s="30" t="n"/>
      <x:c r="Q20" s="10" t="inlineStr">
        <x:is>
          <x:t xml:space="preserve">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0"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0" s="10" t="n"/>
    </x:row>
    <x:row r="21" ht="105" customHeight="1">
      <x:c r="A21" s="9" t="n">
        <x:v>18</x:v>
      </x:c>
      <x:c r="B21" s="9" t="inlineStr">
        <x:is>
          <x:t xml:space="preserve">FB-013</x:t>
        </x:is>
      </x:c>
      <x:c r="C21" s="9" t="inlineStr">
        <x:is>
          <x:t xml:space="preserve">Accounts</x:t>
        </x:is>
      </x:c>
      <x:c r="D21" s="9" t="inlineStr">
        <x:is>
          <x:t xml:space="preserve">Handle cleared searches and no matching users</x:t>
        </x:is>
      </x:c>
      <x:c r="E21" s="9" t="inlineStr">
        <x:is>
          <x:t xml:space="preserve">Clearing the single search restores the full permitted directory; a search with no matches displays an understandable empty result. Include contact and partial-role searches. No separate role/status dropdowns. Related rule: REQ-041.</x:t>
        </x:is>
      </x:c>
      <x:c r="F21" s="9" t="inlineStr">
        <x:is>
          <x:t xml:space="preserve">FB-012</x:t>
        </x:is>
      </x:c>
      <x:c r="G21" s="9" t="str">
        <x:f>IF(H21="Complete","Complete",IF(I21="Blocked","Blocked",IF(I21="In progress","Ready",IF(F21="","Ready",IF(COUNTIFS($B$4:$B$73,F21,$H$4:$H$73,"Complete")=1,"Ready","Waiting")))))</x:f>
        <x:v>Ready</x:v>
      </x:c>
      <x:c r="H21" s="9" t="str">
        <x:f>IF(I21="Not started","Not started",IF(I21="Blocked","Blocked",IF(I21="In progress","In progress",IF(J21&lt;&gt;"Passed","Awaiting code review",IF(OR(K21="",NOT(ISNUMBER(L21))),"Awaiting review evidence",IF(N21&lt;&gt;"Passed","Awaiting test",IF(OR(M21="",O21="",NOT(ISNUMBER(P21))),"Awaiting test evidence","Complete")))))))</x:f>
        <x:v>In progress</x:v>
      </x:c>
      <x:c r="I21" s="11" t="inlineStr">
        <x:is>
          <x:t xml:space="preserve">In progress</x:t>
        </x:is>
      </x:c>
      <x:c r="J21" s="11" t="inlineStr">
        <x:is>
          <x:t xml:space="preserve">Changes needed</x:t>
        </x:is>
      </x:c>
      <x:c r="K21"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1" s="31" t="n">
        <x:v>46324</x:v>
      </x:c>
      <x:c r="M21" s="11" t="inlineStr">
        <x:is>
          <x:t xml:space="preserve">Developer</x:t>
        </x:is>
      </x:c>
      <x:c r="N21" s="11" t="inlineStr">
        <x:is>
          <x:t xml:space="preserve">Passed</x:t>
        </x:is>
      </x:c>
      <x:c r="O21" s="11" t="inlineStr">
        <x:is>
          <x:t xml:space="preserve">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1" s="31" t="n">
        <x:v>46324</x:v>
      </x:c>
      <x:c r="Q21" s="11" t="inlineStr">
        <x:is>
          <x:t xml:space="preserve">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1"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1" s="11" t="n"/>
    </x:row>
    <x:row r="22" ht="105" customHeight="1">
      <x:c r="A22" s="4" t="n">
        <x:v>19</x:v>
      </x:c>
      <x:c r="B22" s="4" t="inlineStr">
        <x:is>
          <x:t xml:space="preserve">FB-014</x:t>
        </x:is>
      </x:c>
      <x:c r="C22" s="4" t="inlineStr">
        <x:is>
          <x:t xml:space="preserve">Accounts</x:t>
        </x:is>
      </x:c>
      <x:c r="D22" s="4" t="inlineStr">
        <x:is>
          <x:t xml:space="preserve">Paginate the user lists</x:t>
        </x:is>
      </x:c>
      <x:c r="E22" s="4" t="inlineStr">
        <x:is>
          <x:t xml:space="preserve">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x:t>
        </x:is>
      </x:c>
      <x:c r="F22" s="4" t="inlineStr">
        <x:is>
          <x:t xml:space="preserve">FB-013</x:t>
        </x:is>
      </x:c>
      <x:c r="G22" s="4" t="str">
        <x:f>IF(H22="Complete","Complete",IF(I22="Blocked","Blocked",IF(I22="In progress","Ready",IF(F22="","Ready",IF(COUNTIFS($B$4:$B$73,F22,$H$4:$H$73,"Complete")=1,"Ready","Waiting")))))</x:f>
        <x:v>Ready</x:v>
      </x:c>
      <x:c r="H22" s="4" t="str">
        <x:f>IF(I22="Not started","Not started",IF(I22="Blocked","Blocked",IF(I22="In progress","In progress",IF(J22&lt;&gt;"Passed","Awaiting code review",IF(OR(K22="",NOT(ISNUMBER(L22))),"Awaiting review evidence",IF(N22&lt;&gt;"Passed","Awaiting test",IF(OR(M22="",O22="",NOT(ISNUMBER(P22))),"Awaiting test evidence","Complete")))))))</x:f>
        <x:v>In progress</x:v>
      </x:c>
      <x:c r="I22" s="10" t="inlineStr">
        <x:is>
          <x:t xml:space="preserve">In progress</x:t>
        </x:is>
      </x:c>
      <x:c r="J22" s="10" t="inlineStr">
        <x:is>
          <x:t xml:space="preserve">Changes needed</x:t>
        </x:is>
      </x:c>
      <x:c r="K22"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2" s="30" t="n">
        <x:v>46324</x:v>
      </x:c>
      <x:c r="M22" s="10" t="inlineStr">
        <x:is>
          <x:t xml:space="preserve">Developer</x:t>
        </x:is>
      </x:c>
      <x:c r="N22" s="10" t="inlineStr">
        <x:is>
          <x:t xml:space="preserve">Passed</x:t>
        </x:is>
      </x:c>
      <x:c r="O22" s="10" t="inlineStr">
        <x:is>
          <x: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2" s="30" t="n">
        <x:v>46324</x:v>
      </x:c>
      <x:c r="Q22" s="10" t="inlineStr">
        <x:is>
          <x:t xml:space="preserve">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2"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2" s="10" t="n"/>
    </x:row>
    <x:row r="23" ht="105" customHeight="1">
      <x:c r="A23" s="9" t="n">
        <x:v>20</x:v>
      </x:c>
      <x:c r="B23" s="9" t="inlineStr">
        <x:is>
          <x:t xml:space="preserve">FB-015</x:t>
        </x:is>
      </x:c>
      <x:c r="C23" s="9" t="inlineStr">
        <x:is>
          <x:t xml:space="preserve">Accounts</x:t>
        </x:is>
      </x:c>
      <x:c r="D23" s="9" t="inlineStr">
        <x:is>
          <x:t xml:space="preserve">Verify shared directory access on the server</x:t>
        </x:is>
      </x:c>
      <x:c r="E23" s="9" t="inlineStr">
        <x:is>
          <x:t xml:space="preserve">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x:t>
        </x:is>
      </x:c>
      <x:c r="F23" s="9" t="inlineStr">
        <x:is>
          <x:t xml:space="preserve">FB-014</x:t>
        </x:is>
      </x:c>
      <x:c r="G23" s="9" t="str">
        <x:f>IF(H23="Complete","Complete",IF(I23="Blocked","Blocked",IF(I23="In progress","Ready",IF(F23="","Ready",IF(COUNTIFS($B$4:$B$73,F23,$H$4:$H$73,"Complete")=1,"Ready","Waiting")))))</x:f>
        <x:v>Ready</x:v>
      </x:c>
      <x:c r="H23" s="9" t="str">
        <x:f>IF(I23="Not started","Not started",IF(I23="Blocked","Blocked",IF(I23="In progress","In progress",IF(J23&lt;&gt;"Passed","Awaiting code review",IF(OR(K23="",NOT(ISNUMBER(L23))),"Awaiting review evidence",IF(N23&lt;&gt;"Passed","Awaiting test",IF(OR(M23="",O23="",NOT(ISNUMBER(P23))),"Awaiting test evidence","Complete")))))))</x:f>
        <x:v>In progress</x:v>
      </x:c>
      <x:c r="I23" s="11" t="inlineStr">
        <x:is>
          <x:t xml:space="preserve">In progress</x:t>
        </x:is>
      </x:c>
      <x:c r="J23" s="11" t="inlineStr">
        <x:is>
          <x:t xml:space="preserve">Changes needed</x:t>
        </x:is>
      </x:c>
      <x:c r="K23"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3" s="31" t="n">
        <x:v>46324</x:v>
      </x:c>
      <x:c r="M23" s="11" t="inlineStr">
        <x:is>
          <x:t xml:space="preserve">Developer</x:t>
        </x:is>
      </x:c>
      <x:c r="N23" s="11" t="inlineStr">
        <x:is>
          <x:t xml:space="preserve">Partial</x:t>
        </x:is>
      </x:c>
      <x:c r="O23" s="11" t="inlineStr">
        <x:is>
          <x: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3" s="31" t="n"/>
      <x:c r="Q23" s="11" t="inlineStr">
        <x:is>
          <x: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3"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3" s="11" t="n"/>
    </x:row>
    <x:row r="24" ht="105" customHeight="1">
      <x:c r="A24" s="4" t="n">
        <x:v>21</x:v>
      </x:c>
      <x:c r="B24" s="4" t="inlineStr">
        <x:is>
          <x:t xml:space="preserve">FB-008</x:t>
        </x:is>
      </x:c>
      <x:c r="C24" s="4" t="inlineStr">
        <x:is>
          <x:t xml:space="preserve">Access</x:t>
        </x:is>
      </x:c>
      <x:c r="D24" s="4" t="inlineStr">
        <x:is>
          <x:t xml:space="preserve">Display role landing pages and navigation</x:t>
        </x:is>
      </x:c>
      <x:c r="E24" s="4" t="inlineStr">
        <x:is>
          <x:t xml:space="preserve">After normal login: manager volunteer list, Super Admin combined list, volunteer welcome page. Setup takes priority. Welcome offers password change/logout; add inventory links as those features become available.</x:t>
        </x:is>
      </x:c>
      <x:c r="F24" s="4" t="inlineStr">
        <x:is>
          <x:t xml:space="preserve">FB-068</x:t>
        </x:is>
      </x:c>
      <x:c r="G24" s="4" t="str">
        <x:f>IF(H24="Complete","Complete",IF(I24="Blocked","Blocked",IF(I24="In progress","Ready",IF(F24="","Ready",IF(COUNTIFS($B$4:$B$73,F24,$H$4:$H$73,"Complete")=1,"Ready","Waiting")))))</x:f>
        <x:v>Waiting</x:v>
      </x:c>
      <x:c r="H24" s="4" t="str">
        <x:f>IF(I24="Not started","Not started",IF(I24="Blocked","Blocked",IF(I24="In progress","In progress",IF(J24&lt;&gt;"Passed","Awaiting code review",IF(OR(K24="",NOT(ISNUMBER(L24))),"Awaiting review evidence",IF(N24&lt;&gt;"Passed","Awaiting test",IF(OR(M24="",O24="",NOT(ISNUMBER(P24))),"Awaiting test evidence","Complete")))))))</x:f>
        <x:v>Not started</x:v>
      </x:c>
      <x:c r="I24" s="10" t="inlineStr">
        <x:is>
          <x:t xml:space="preserve">Not started</x:t>
        </x:is>
      </x:c>
      <x:c r="J24" s="10" t="inlineStr">
        <x:is>
          <x:t xml:space="preserve">Not reviewed</x:t>
        </x:is>
      </x:c>
      <x:c r="K24" s="10" t="n"/>
      <x:c r="L24" s="30" t="n"/>
      <x:c r="M24" s="10" t="n"/>
      <x:c r="N24" s="10" t="inlineStr">
        <x:is>
          <x:t xml:space="preserve">Not tested</x:t>
        </x:is>
      </x:c>
      <x:c r="O24" s="10" t="n"/>
      <x:c r="P24" s="30" t="n"/>
      <x:c r="Q24" s="10" t="inlineStr">
        <x:is>
          <x:t xml:space="preserv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R24" s="10" t="inlineStr">
        <x:is>
          <x:t xml:space="preserve">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S24" s="10" t="n"/>
    </x:row>
    <x:row r="25" ht="105" customHeight="1">
      <x:c r="A25" s="9" t="n">
        <x:v>22</x:v>
      </x:c>
      <x:c r="B25" s="9" t="inlineStr">
        <x:is>
          <x:t xml:space="preserve">FB-021</x:t>
        </x:is>
      </x:c>
      <x:c r="C25" s="9" t="inlineStr">
        <x:is>
          <x:t xml:space="preserve">Accounts</x:t>
        </x:is>
      </x:c>
      <x:c r="D25" s="9" t="inlineStr">
        <x:is>
          <x:t xml:space="preserve">Build and save the separate edit page</x:t>
        </x:is>
      </x:c>
      <x:c r="E25" s="9" t="inlineStr">
        <x:is>
          <x:t xml:space="preserve">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x:t>
        </x:is>
      </x:c>
      <x:c r="F25" s="9" t="inlineStr">
        <x:is>
          <x:t xml:space="preserve">FB-015</x:t>
        </x:is>
      </x:c>
      <x:c r="G25" s="9" t="str">
        <x:f>IF(H25="Complete","Complete",IF(I25="Blocked","Blocked",IF(I25="In progress","Ready",IF(F25="","Ready",IF(COUNTIFS($B$4:$B$73,F25,$H$4:$H$73,"Complete")=1,"Ready","Waiting")))))</x:f>
        <x:v>Ready</x:v>
      </x:c>
      <x:c r="H25" s="9" t="str">
        <x:f>IF(I25="Not started","Not started",IF(I25="Blocked","Blocked",IF(I25="In progress","In progress",IF(J25&lt;&gt;"Passed","Awaiting code review",IF(OR(K25="",NOT(ISNUMBER(L25))),"Awaiting review evidence",IF(N25&lt;&gt;"Passed","Awaiting test",IF(OR(M25="",O25="",NOT(ISNUMBER(P25))),"Awaiting test evidence","Complete")))))))</x:f>
        <x:v>In progress</x:v>
      </x:c>
      <x:c r="I25" s="11" t="inlineStr">
        <x:is>
          <x:t xml:space="preserve">In progress</x:t>
        </x:is>
      </x:c>
      <x:c r="J25" s="11" t="inlineStr">
        <x:is>
          <x:t xml:space="preserve">Changes needed</x:t>
        </x:is>
      </x:c>
      <x:c r="K25" s="11" t="inlineStr">
        <x:is>
          <x:t xml:space="preserve">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5" s="31" t="n">
        <x:v>46324</x:v>
      </x:c>
      <x:c r="M25" s="11" t="inlineStr">
        <x:is>
          <x:t xml:space="preserve">Assistant (delegated; browser Cancel user-assisted)</x:t>
        </x:is>
      </x:c>
      <x:c r="N25" s="11" t="inlineStr">
        <x:is>
          <x:t xml:space="preserve">Failed</x:t>
        </x:is>
      </x:c>
      <x:c r="O25" s="11" t="inlineStr">
        <x:is>
          <x: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5" s="31" t="n">
        <x:v>46324</x:v>
      </x:c>
      <x:c r="Q25" s="11" t="inlineStr">
        <x:is>
          <x:t xml:space="preserve">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R25" s="11" t="inlineStr">
        <x:is>
          <x: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S25" s="11" t="n"/>
    </x:row>
    <x:row r="26" ht="105" customHeight="1">
      <x:c r="A26" s="4" t="n">
        <x:v>23</x:v>
      </x:c>
      <x:c r="B26" s="4" t="inlineStr">
        <x:is>
          <x:t xml:space="preserve">FB-022</x:t>
        </x:is>
      </x:c>
      <x:c r="C26" s="4" t="inlineStr">
        <x:is>
          <x:t xml:space="preserve">Accounts</x:t>
        </x:is>
      </x:c>
      <x:c r="D26" s="4" t="inlineStr">
        <x:is>
          <x:t xml:space="preserve">Deactivate and reactivate accounts</x:t>
        </x:is>
      </x:c>
      <x:c r="E26" s="4" t="inlineStr">
        <x:is>
          <x:t xml:space="preserve">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F26" s="4" t="inlineStr">
        <x:is>
          <x:t xml:space="preserve">FB-021</x:t>
        </x:is>
      </x:c>
      <x:c r="G26" s="4" t="str">
        <x:f>IF(H26="Complete","Complete",IF(I26="Blocked","Blocked",IF(I26="In progress","Ready",IF(F26="","Ready",IF(COUNTIFS($B$4:$B$73,F26,$H$4:$H$73,"Complete")=1,"Ready","Waiting")))))</x:f>
        <x:v>Ready</x:v>
      </x:c>
      <x:c r="H26" s="4" t="str">
        <x:f>IF(I26="Not started","Not started",IF(I26="Blocked","Blocked",IF(I26="In progress","In progress",IF(J26&lt;&gt;"Passed","Awaiting code review",IF(OR(K26="",NOT(ISNUMBER(L26))),"Awaiting review evidence",IF(N26&lt;&gt;"Passed","Awaiting test",IF(OR(M26="",O26="",NOT(ISNUMBER(P26))),"Awaiting test evidence","Complete")))))))</x:f>
        <x:v>In progress</x:v>
      </x:c>
      <x:c r="I26" s="10" t="inlineStr">
        <x:is>
          <x:t xml:space="preserve">In progress</x:t>
        </x:is>
      </x:c>
      <x:c r="J26" s="10" t="inlineStr">
        <x:is>
          <x:t xml:space="preserve">Not reviewed</x:t>
        </x:is>
      </x:c>
      <x:c r="K26" s="10" t="inlineStr">
        <x:is>
          <x: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6" s="30" t="n"/>
      <x:c r="M26" s="10" t="inlineStr">
        <x:is>
          <x:t xml:space="preserve">Assistant (explicit narrow test delegation)</x:t>
        </x:is>
      </x:c>
      <x:c r="N26" s="10" t="inlineStr">
        <x:is>
          <x:t xml:space="preserve">Partial</x:t>
        </x:is>
      </x:c>
      <x:c r="O26" s="10" t="inlineStr">
        <x:is>
          <x: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6" s="30" t="n">
        <x:v>46324</x:v>
      </x:c>
      <x:c r="Q26" s="10" t="inlineStr">
        <x:is>
          <x: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x:t>
        </x:is>
      </x:c>
      <x:c r="R26" s="10" t="inlineStr">
        <x:is>
          <x:t xml:space="preserve">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x:t>
        </x:is>
      </x:c>
      <x:c r="S26" s="10" t="n"/>
    </x:row>
    <x:row r="27" ht="105" customHeight="1">
      <x:c r="A27" s="9" t="n">
        <x:v>24</x:v>
      </x:c>
      <x:c r="B27" s="9" t="inlineStr">
        <x:is>
          <x:t xml:space="preserve">FB-023</x:t>
        </x:is>
      </x:c>
      <x:c r="C27" s="9" t="inlineStr">
        <x:is>
          <x:t xml:space="preserve">Accounts</x:t>
        </x:is>
      </x:c>
      <x:c r="D27" s="9" t="inlineStr">
        <x:is>
          <x:t xml:space="preserve">Reset manager and volunteer passwords</x:t>
        </x:is>
      </x:c>
      <x:c r="E27" s="9" t="inlineStr">
        <x:is>
          <x:t xml:space="preserve">Confirm reset; managers reset volunteers, Super Admin resets both roles. Set common password, invalidate old password/all sessions, require setup. Preserve Active/Inactive status. Check form/action permissions and next-login cycle.</x:t>
        </x:is>
      </x:c>
      <x:c r="F27" s="9" t="inlineStr">
        <x:is>
          <x:t xml:space="preserve">FB-008</x:t>
        </x:is>
      </x:c>
      <x:c r="G27" s="9" t="str">
        <x:f>IF(H27="Complete","Complete",IF(I27="Blocked","Blocked",IF(I27="In progress","Ready",IF(F27="","Ready",IF(COUNTIFS($B$4:$B$73,F27,$H$4:$H$73,"Complete")=1,"Ready","Waiting")))))</x:f>
        <x:v>Waiting</x:v>
      </x:c>
      <x:c r="H27" s="9" t="str">
        <x:f>IF(I27="Not started","Not started",IF(I27="Blocked","Blocked",IF(I27="In progress","In progress",IF(J27&lt;&gt;"Passed","Awaiting code review",IF(OR(K27="",NOT(ISNUMBER(L27))),"Awaiting review evidence",IF(N27&lt;&gt;"Passed","Awaiting test",IF(OR(M27="",O27="",NOT(ISNUMBER(P27))),"Awaiting test evidence","Complete")))))))</x:f>
        <x:v>Not started</x:v>
      </x:c>
      <x:c r="I27" s="11" t="inlineStr">
        <x:is>
          <x:t xml:space="preserve">Not started</x:t>
        </x:is>
      </x:c>
      <x:c r="J27" s="11" t="inlineStr">
        <x:is>
          <x:t xml:space="preserve">Not reviewed</x:t>
        </x:is>
      </x:c>
      <x:c r="K27" s="11" t="n"/>
      <x:c r="L27" s="31" t="n"/>
      <x:c r="M27" s="11" t="n"/>
      <x:c r="N27" s="11" t="inlineStr">
        <x:is>
          <x:t xml:space="preserve">Not tested</x:t>
        </x:is>
      </x:c>
      <x:c r="O27" s="11" t="n"/>
      <x:c r="P27" s="31" t="n"/>
      <x:c r="Q27" s="11" t="inlineStr">
        <x:is>
          <x: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R27" s="11" t="inlineStr">
        <x:is>
          <x:t xml:space="preserve">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S27" s="11" t="n"/>
    </x:row>
    <x:row r="28" ht="105" customHeight="1">
      <x:c r="A28" s="4" t="n">
        <x:v>25</x:v>
      </x:c>
      <x:c r="B28" s="4" t="inlineStr">
        <x:is>
          <x:t xml:space="preserve">FB-025</x:t>
        </x:is>
      </x:c>
      <x:c r="C28" s="4" t="inlineStr">
        <x:is>
          <x:t xml:space="preserve">Accounts</x:t>
        </x:is>
      </x:c>
      <x:c r="D28" s="4" t="inlineStr">
        <x:is>
          <x:t xml:space="preserve">Verify the complete account journey</x:t>
        </x:is>
      </x:c>
      <x:c r="E28" s="4" t="inlineStr">
        <x:is>
          <x:t xml:space="preserve">Developer first tests all three roles, creation/edit/details, search/filter/pagination, inactive sessions and password flows; record automated/direct-request checks as applicable. Review code and retain evidence, not assumptions.</x:t>
        </x:is>
      </x:c>
      <x:c r="F28" s="4" t="inlineStr">
        <x:is>
          <x:t xml:space="preserve">FB-022</x:t>
        </x:is>
      </x:c>
      <x:c r="G28" s="4" t="str">
        <x:f>IF(H28="Complete","Complete",IF(I28="Blocked","Blocked",IF(I28="In progress","Ready",IF(F28="","Ready",IF(COUNTIFS($B$4:$B$73,F28,$H$4:$H$73,"Complete")=1,"Ready","Waiting")))))</x:f>
        <x:v>Ready</x:v>
      </x:c>
      <x:c r="H28" s="4" t="str">
        <x:f>IF(I28="Not started","Not started",IF(I28="Blocked","Blocked",IF(I28="In progress","In progress",IF(J28&lt;&gt;"Passed","Awaiting code review",IF(OR(K28="",NOT(ISNUMBER(L28))),"Awaiting review evidence",IF(N28&lt;&gt;"Passed","Awaiting test",IF(OR(M28="",O28="",NOT(ISNUMBER(P28))),"Awaiting test evidence","Complete")))))))</x:f>
        <x:v>In progress</x:v>
      </x:c>
      <x:c r="I28" s="10" t="inlineStr">
        <x:is>
          <x:t xml:space="preserve">In progress</x:t>
        </x:is>
      </x:c>
      <x:c r="J28" s="10" t="inlineStr">
        <x:is>
          <x:t xml:space="preserve">Changes needed</x:t>
        </x:is>
      </x:c>
      <x:c r="K28" s="10" t="str">
        <x:v>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
2026-10-30 user delegated full tests for Product save. Full suite192/174 pass/17 failed/1 error; isolated HEAD snapshot150/132 pass/17 failed/1 error has identical failing/error test names. Auth/logout/email verification/password confirmation/verification notifications/dashboard/example/settings/security fixtures and UserSeeding assumptions are existing baseline failures. Source inspection: factory does not explicitly set active/setup-complete flags for in-memory auth tests; seeding tests expect one user while DatabaseSeeder includes DemoUserSeeder. No account/source fixes made; earlier project-end deferrals preserved. Full PHPStan7 existing unrelated catalogue annotation/empty-controller-stub issues unchanged; new Product scope PHPStan0 errors.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28" s="30" t="n">
        <x:v>46324</x:v>
      </x:c>
      <x:c r="M28" s="10" t="inlineStr">
        <x:is>
          <x:t xml:space="preserve">Assistant (delegated; browser Cancel user-assisted)</x:t>
        </x:is>
      </x:c>
      <x:c r="N28" s="10" t="inlineStr">
        <x:is>
          <x:t xml:space="preserve">Failed</x:t>
        </x:is>
      </x:c>
      <x:c r="O28" s="10" t="inlineStr">
        <x:is>
          <x: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8" s="30" t="n">
        <x:v>46324</x:v>
      </x:c>
      <x:c r="Q28" s="10" t="inlineStr">
        <x:is>
          <x: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R28" s="10" t="inlineStr">
        <x:is>
          <x: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S28" s="10" t="n"/>
    </x:row>
    <x:row r="29" ht="105" customHeight="1">
      <x:c r="A29" s="9" t="n">
        <x:v>26</x:v>
      </x:c>
      <x:c r="B29" s="9" t="inlineStr">
        <x:is>
          <x:t xml:space="preserve">FB-026</x:t>
        </x:is>
      </x:c>
      <x:c r="C29" s="9" t="inlineStr">
        <x:is>
          <x:t xml:space="preserve">Departments</x:t>
        </x:is>
      </x:c>
      <x:c r="D29" s="9" t="inlineStr">
        <x:is>
          <x:t xml:space="preserve">Build Department storage and complete creation</x:t>
        </x:is>
      </x:c>
      <x:c r="E29" s="9" t="inlineStr">
        <x:is>
          <x:t xml:space="preserve">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x:t>
        </x:is>
      </x:c>
      <x:c r="F29" s="9" t="inlineStr">
        <x:is>
          <x:t xml:space="preserve">FB-025</x:t>
        </x:is>
      </x:c>
      <x:c r="G29" s="9" t="str">
        <x:f>IF(H29="Complete","Complete",IF(I29="Blocked","Blocked",IF(I29="In progress","Ready",IF(F29="","Ready",IF(COUNTIFS($B$4:$B$73,F29,$H$4:$H$73,"Complete")=1,"Ready","Waiting")))))</x:f>
        <x:v>Complete</x:v>
      </x:c>
      <x:c r="H29" s="9" t="str">
        <x:f>IF(I29="Not started","Not started",IF(I29="Blocked","Blocked",IF(I29="In progress","In progress",IF(J29&lt;&gt;"Passed","Awaiting code review",IF(OR(K29="",NOT(ISNUMBER(L29))),"Awaiting review evidence",IF(N29&lt;&gt;"Passed","Awaiting test",IF(OR(M29="",O29="",NOT(ISNUMBER(P29))),"Awaiting test evidence","Complete")))))))</x:f>
        <x:v>Complete</x:v>
      </x:c>
      <x:c r="I29" s="11" t="inlineStr">
        <x:is>
          <x:t xml:space="preserve">Ready for review</x:t>
        </x:is>
      </x:c>
      <x:c r="J29" s="11" t="inlineStr">
        <x:is>
          <x:t xml:space="preserve">Passed</x:t>
        </x:is>
      </x:c>
      <x:c r="K29" s="11" t="str">
        <x:v>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29" s="31" t="n">
        <x:v>46324</x:v>
      </x:c>
      <x:c r="M29" s="11" t="inlineStr">
        <x:is>
          <x:t xml:space="preserve">Developer</x:t>
        </x:is>
      </x:c>
      <x:c r="N29" s="11" t="inlineStr">
        <x:is>
          <x:t xml:space="preserve">Passed</x:t>
        </x:is>
      </x:c>
      <x:c r="O29" s="11" t="inlineStr">
        <x:is>
          <x:t xml:space="preserve">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x:t>
        </x:is>
      </x:c>
      <x:c r="P29" s="31" t="n">
        <x:v>46324</x:v>
      </x:c>
      <x:c r="Q29" s="11" t="inlineStr">
        <x:is>
          <x:t xml:space="preserve">2026-10-29 creation complete based on passed source review and overall developer-reported creation testing. No assistant application testing. Seeder added under explicit permission and developer ran successfully.</x:t>
        </x:is>
      </x:c>
      <x:c r="R29" s="11" t="inlineStr">
        <x:is>
          <x:t xml:space="preserve">Before starting/resuming this item or feature: reread AGENTS.md from disk; apply teaching/testing rules. FB-026 complete; continue FB-027 Department list then rename.</x:t>
        </x:is>
      </x:c>
      <x:c r="S29" s="11" t="n"/>
    </x:row>
    <x:row r="30" ht="105" customHeight="1">
      <x:c r="A30" s="4" t="n">
        <x:v>27</x:v>
      </x:c>
      <x:c r="B30" s="4" t="inlineStr">
        <x:is>
          <x:t xml:space="preserve">FB-027</x:t>
        </x:is>
      </x:c>
      <x:c r="C30" s="4" t="inlineStr">
        <x:is>
          <x:t xml:space="preserve">Departments</x:t>
        </x:is>
      </x:c>
      <x:c r="D30" s="4" t="inlineStr">
        <x:is>
          <x:t xml:space="preserve">Display Department list, then rename departments</x:t>
        </x:is>
      </x:c>
      <x:c r="E30" s="4" t="inlineStr">
        <x:is>
          <x:t xml:space="preserve">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x:t>
        </x:is>
      </x:c>
      <x:c r="F30" s="4" t="inlineStr">
        <x:is>
          <x:t xml:space="preserve">FB-026</x:t>
        </x:is>
      </x:c>
      <x:c r="G30" s="4" t="str">
        <x:f>IF(H30="Complete","Complete",IF(I30="Blocked","Blocked",IF(I30="In progress","Ready",IF(F30="","Ready",IF(COUNTIFS($B$4:$B$73,F30,$H$4:$H$73,"Complete")=1,"Ready","Waiting")))))</x:f>
        <x:v>Complete</x:v>
      </x:c>
      <x:c r="H30" s="4" t="str">
        <x:f>IF(I30="Not started","Not started",IF(I30="Blocked","Blocked",IF(I30="In progress","In progress",IF(J30&lt;&gt;"Passed","Awaiting code review",IF(OR(K30="",NOT(ISNUMBER(L30))),"Awaiting review evidence",IF(N30&lt;&gt;"Passed","Awaiting test",IF(OR(M30="",O30="",NOT(ISNUMBER(P30))),"Awaiting test evidence","Complete")))))))</x:f>
        <x:v>Complete</x:v>
      </x:c>
      <x:c r="I30" s="10" t="inlineStr">
        <x:is>
          <x:t xml:space="preserve">Ready for review</x:t>
        </x:is>
      </x:c>
      <x:c r="J30" s="10" t="inlineStr">
        <x:is>
          <x:t xml:space="preserve">Passed</x:t>
        </x:is>
      </x:c>
      <x:c r="K30" s="10" t="str">
        <x:v>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0" s="30" t="n">
        <x:v>46324</x:v>
      </x:c>
      <x:c r="M30" s="10" t="inlineStr">
        <x:is>
          <x:t xml:space="preserve">Developer</x:t>
        </x:is>
      </x:c>
      <x:c r="N30" s="10" t="inlineStr">
        <x:is>
          <x:t xml:space="preserve">Passed</x:t>
        </x:is>
      </x:c>
      <x:c r="O30" s="10" t="inlineStr">
        <x:is>
          <x:t xml:space="preserve">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x:t>
        </x:is>
      </x:c>
      <x:c r="P30" s="30" t="n">
        <x:v>46324</x:v>
      </x:c>
      <x:c r="Q30" s="10" t="inlineStr">
        <x:is>
          <x:t xml:space="preserve">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x:t>
        </x:is>
      </x:c>
      <x:c r="R30" s="10" t="inlineStr">
        <x:is>
          <x:t xml:space="preserve">Before starting/resuming this item or feature: reread AGENTS.md from disk; apply teaching/testing rules. Developer checks full-width Department edit input and right-aligned buttons on wide and narrow screens; record result, then resume FB-028.</x:t>
        </x:is>
      </x:c>
      <x:c r="S30" s="10" t="n"/>
    </x:row>
    <x:row r="31" ht="105" customHeight="1">
      <x:c r="A31" s="9" t="n">
        <x:v>28</x:v>
      </x:c>
      <x:c r="B31" s="9" t="inlineStr">
        <x:is>
          <x:t xml:space="preserve">FB-028</x:t>
        </x:is>
      </x:c>
      <x:c r="C31" s="9" t="inlineStr">
        <x:is>
          <x:t xml:space="preserve">Categories</x:t>
        </x:is>
      </x:c>
      <x:c r="D31" s="9" t="inlineStr">
        <x:is>
          <x:t xml:space="preserve">Build and verify Category within Department</x:t>
        </x:is>
      </x:c>
      <x:c r="E31" s="9" t="inlineStr">
        <x:is>
          <x:t xml:space="preserve">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Department may change after confirmation; no deletion. Manager/Super Admin only for display/write. Verify the full module and parent rename preserving links before Subcategory. REQ-182: list search matches category or department name before pagination and retains filter in page links. REQ-183: confirmed department changes, selected-parent validation/uniqueness.</x:t>
        </x:is>
      </x:c>
      <x:c r="F31" s="9" t="inlineStr">
        <x:is>
          <x:t xml:space="preserve">FB-027</x:t>
        </x:is>
      </x:c>
      <x:c r="G31" s="9" t="str">
        <x:f>IF(H31="Complete","Complete",IF(I31="Blocked","Blocked",IF(I31="In progress","Ready",IF(F31="","Ready",IF(COUNTIFS($B$4:$B$73,F31,$H$4:$H$73,"Complete")=1,"Ready","Waiting")))))</x:f>
        <x:v>Complete</x:v>
      </x:c>
      <x:c r="H31" s="9" t="str">
        <x:f>IF(I31="Not started","Not started",IF(I31="Blocked","Blocked",IF(I31="In progress","In progress",IF(J31&lt;&gt;"Passed","Awaiting code review",IF(OR(K31="",NOT(ISNUMBER(L31))),"Awaiting review evidence",IF(N31&lt;&gt;"Passed","Awaiting test",IF(OR(M31="",O31="",NOT(ISNUMBER(P31))),"Awaiting test evidence","Complete")))))))</x:f>
        <x:v>Complete</x:v>
      </x:c>
      <x:c r="I31" s="11" t="inlineStr">
        <x:is>
          <x:t xml:space="preserve">Ready for review</x:t>
        </x:is>
      </x:c>
      <x:c r="J31" s="11" t="inlineStr">
        <x:is>
          <x:t xml:space="preserve">Passed</x:t>
        </x:is>
      </x:c>
      <x:c r="K31" s="11" t="str">
        <x:v>2026-10-29 completed Category module source review passed: reviewed app/Http/Controllers/CategoryController.php, app/Policies/CategoryPolicy.php, app/Http/Requests/Categories/StoreCategoryRequest.php, app/Http/Requests/Categories/UpdateCategoryRequest.php, app/Http/Requests/Categories/IndexCategoriesRequest.php, app/Actions/Categories/ListCategories.php, app/Models/Category.php, app/Models/Department.php, database/migrations/2026_10_29_210437_create_categories_table.php, routes/web.php, resources/js/pages/categories/Create.vue, resources/js/pages/categories/Index.vue, resources/js/pages/categories/Edit.vue, tests/Feature/CategoryEditTest.php. Protected create/viewAny/update routes; repeated create/update request authorization; scoped name uniqueness; update ignores submitted parent/ID and validates only name against SAVED department; existing ID and parent retained. Eager-loaded parent on list/edit; stable pagination, OR name search, Vue form error/processing/cancel and success feedback. Following inspected Poker controller/request/route patterns and current Department edit. No blocking findings. Snapshots: app/Http/Controllers/CategoryController.php 8bd02ab4a46c; app/Policies/CategoryPolicy.php 727780b74cc6; app/Http/Requests/Categories/StoreCategoryRequest.php 5819301d79ab; app/Http/Requests/Categories/UpdateCategoryRequest.php fa34e0cb7cab; app/Http/Requests/Categories/IndexCategoriesRequest.php 6167bfe92ae6; app/Actions/Categories/ListCategories.php 0b8499c42ea0; app/Models/Category.php 714239df06eb; app/Models/Department.php 77c81e2ce045; database/migrations/2026_10_29_210437_create_categories_table.php 50ae1cd2d815; routes/web.php dab57df7c166; resources/js/pages/categories/Create.vue b47f65a7e2b2; resources/js/pages/categories/Index.vue ca004b43eb2e; resources/js/pages/categories/Edit.vue a4ee52f1f872; tests/Feature/CategoryEditTest.php b87e2c7bcb0a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1" s="31" t="n">
        <x:v>46324</x:v>
      </x:c>
      <x:c r="M31" s="11" t="inlineStr">
        <x:is>
          <x:t xml:space="preserve">Developer (create/list); Assistant (delegated edit tests and browser)</x:t>
        </x:is>
      </x:c>
      <x:c r="N31" s="11" t="inlineStr">
        <x:is>
          <x:t xml:space="preserve">Passed</x:t>
        </x:is>
      </x:c>
      <x:c r="O31" s="11" t="inlineStr">
        <x:is>
          <x:t xml:space="preserve">
2026-10-29 Developer-reported: php artisan migrate completed successfully for Category migration. Storage command only; full feature behavior not yet tested.
2026-10-29 Developer-reported PASS after requested creation display checks: page and department dropdown work; Volunteer direct URL returns403. These verify display only, not saving or full feature.
2026-10-29 Developer-reported PASS: done after explicit checks for Manager/Super Admin creation, feedback/reset/stored parent, missing fields, duplicate same-department names including case/outer spaces, allowed same name across departments and phone layout. No assistant execution; no precise suite count or malformed-parent/denied POST result inferred.
2026-10-29 developer replied done and explicitly confirmed category list/search working after requested checks. Recorded as developer-reported pass, not assistant execution.
2026-10-29 user delegated all Category edit tests. Assistant ran php artisan test tests/Feature/CategoryEditTest.php tests/Feature/DepartmentEditTest.php: PASS 23 tests,158 assertions (SQLite in-memory). Covers both permitted roles, fixed parent/ID despite forged fields, saved-parent scoped duplicate validation, unchanged name, same name in other department, blank/null/array/long/trimmed duplicate names, Volunteer403 GET/PATCH, guest login redirects, missing records404, Department rename preserving category links/current names in edit and searched list. Real local MySQL browser checks via existing Super Admin session: edit prefill/read-only parent; duplicate " diapers " rejected against Diapers under same parent, proving case/outer-space handling; blank required error; rename Baby Wipes -&gt; Baby Wipes QA saved, redirected and showed success toast; reopened then restored original name Baby Wipes and verified list. Cancel of Unsaved QA name retained original. Wide screenshot and390px responsive screenshot passed (stacked full-width inputs, right-aligned buttons). Device preview disabled/DevTools closed afterward. No full application suite run; unrelated parked account issues unchanged.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x:t>
        </x:is>
      </x:c>
      <x:c r="P31" s="31" t="n">
        <x:v>46324</x:v>
      </x:c>
      <x:c r="Q31" s="11" t="inlineStr">
        <x:is>
          <x:t xml:space="preserve">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
2026-10-29 explicit intermediate scaffold review requested by developer: read app/Models/Category.php, database/migrations/2026_10_29_210437_create_categories_table.php, app/Http/Controllers/CategoryController.php, app/Http/Requests/StoreCategoryRequest.php, app/Http/Requests/UpdateCategoryRequest.php, app/Policies/CategoryPolicy.php, database/seeders/CategorySeeder.php. All are generated starter files: model empty, migration id/timestamps only, controller and seeder methods empty; requests and policy deny access with no validation rules. Request classes currently in Requests root with matching controller imports; later align with Departments/Users module folders before implementation. Unused generated policy/seeder imports cosmetic only. No feature implementation or behavior verification claimed; no application files modified or tests run. Snapshot: app/Models/Category.php e84cd2296cf7; database/migrations/2026_10_29_210437_create_categories_table.php f1e745a2e1be; app/Http/Controllers/CategoryController.php 90adf470daa5; app/Http/Requests/StoreCategoryRequest.php d3a4707c4324; app/Http/Requests/UpdateCategoryRequest.php e926ff1724ef; app/Policies/CategoryPolicy.php 06652cfa909f; database/seeders/CategorySeeder.php ea7d075e11e1
2026-10-29 developer explicitly authorized Category request directory refactor. Moved StoreCategoryRequest.php and UpdateCategoryRequest.php into app/Http/Requests/Categories, changed namespaces to App\Http\Requests\Categories and updated CategoryController imports. No validation or authorization behavior changed. Source review and PHP syntax/whitespace checks passed; no application tests run. Earlier scaffold review paths in Requests root are historical; current paths use Categories subfolder.
2026-10-29 migration lesson: explain name and required department_id together, IDs preserve links during Department rename. Existing Category migration still generated scaffold on lesson-context read. Poker migration examples found: database/migrations/2026_10_24_015321_create_player_game_visits_table.php uses foreignId()-&gt;constrained()-&gt;restrictOnDelete() and multi-column unique; create_payments_table.php uses same restricted foreign-key pattern. Selected same pattern for required Category parent; composite uniqueness taught next before execution. No behavior evidence or completion inferred.
2026-10-29 developer confirmed migration name and department_id step applied. Supplied next small lesson: unique([department_id,name]) after timestamps. Same name allowed across departments; same department/name pair rejected. Configured MySQL collation handles case; trim via Laravel requests later. Not reviewed or tested; no completion claim.
2026-10-29 developer confirmed composite uniqueness step applied and requested migration next. Explained developer-run php artisan migrate applies all pending migrations and creates categories table with parent constraint/unique pair. Await actual command result; no migration success inferred from coding-step done, no assistant source inspection or execution.
2026-10-29 developer reported migration successful. Recorded as developer-reported migration execution pass only, not full Category behavior verification. Category model lesson supplied: protected $fillable with name and department_id; no assistant application edits or tests, no unsolicited inspection. Required Department relationship is next small step.
2026-10-29 developer confirmed Category fillable applied and requested Department relationship. Focused Poker reference read: app/Models/PlayerGame.php player()/gameSession() use imported BelongsTo, generic @return BelongsTo&lt;Target,$this&gt; and belongsTo(Target::class); adapted same pattern for Category department(). Lesson includes import and one method only. No new Department inverse or Subcategory relationship taught. Developer implementation not inspected; no completion inferred.
2026-10-29 developer approved keeping standard belongsTo approach after official Laravel13 documentation comparison, and confirmed department relationship added. No intermediate inspection. Next small creation prerequisite: CategoryPolicy create ability for Manager/Super Admin, matching previously inspected DepartmentPolicy role enum checks. Explain authentication vs permission and future GET/POST enforcement; policy alone not yet attached. No new scope or completion inferred.
2026-10-29 developer asked to add inverse Department hasMany Categories before permissions. Explained independent directions, same department_id column/no migration; supplied HasMany import and categories() with generic return annotation following inspected Poker Player hasMany pattern. Developer confirmed added. Not source-reviewed or behavior-tested. Permission lesson paused; no evidence create ability has been applied. Next supportive understanding checkpoint before resuming.
2026-10-29 developer correctly explained $department-&gt;categories because Department has many Categories. Understanding checkpoint passed (not runtime behavior evidence). Developer requested resume permissions; repeated small CategoryPolicy create method/import lesson. No permission implementation confirmation yet.
2026-10-29 developer explicitly requested assistant apply CategoryPolicy create lesson. Added RoleCode import and role comparison only; source review, PHP syntax and whitespace checks passed. No application behavior tests or route enforcement yet. CategoryPolicy sha256 0277f642ef56. Read CategoryController existing scaffold to establish next lesson context; next controller/page code remains developer-written.
2026-10-29 explicit scoped developer authorization: implemented CategoryController Inertia and Response imports and create method selecting categories/Create. Read existing create scaffold first; PHP syntax and whitespace checks passed. Page and route not yet created by assistant, no behavior completion claimed.
2026-10-29 explicitly authorized assistant creation of resources/js/pages/categories/Create.vue following Department Create. Read Department Create and User Create shared Select pattern; adapted same card width, border, flex row at sm/stacked mobile, two flexible fields plus input-aligned submit button. Required departments array prop; backend data supply and routes/save still pending, not behavior-tested. Source-reviewed page and formatted. Page sha256 b47f65a7e2b2.
2026-10-29 developer explicitly authorized controller dropdown data update. Added Department import; create method builds alphabetical id/name collection in intermediate variable and supplies departments Inertia prop matching Category Create.vue contract. Source reviewed; PHP syntax/Pint/whitespace checks requested. No migration or application behavior tests executed. Snapshot CategoryController sha256 c8a547811d71.
2026-10-29 developer explicitly authorized protected creation display route. Added CategoryController/Category imports and GET categories/create -&gt;name(categories.create)-&gt;can(create,Category::class) inside existing auth group. PHP syntax, targeted Pint and whitespace checks passed. Display permission enforced before controller Department query. No POST route/save implementation. Requested developer display/dropdown/denied-access checks; no assistant execution.
2026-10-29 developer reported page/dropdown working and Volunteer403 after requested display checks. Explicitly authorized saving route only: added POST categories -&gt;CategoryController store, named categories.store, with create policy inside auth group. Syntax/Pint/whitespace checks passed. Request authorization/validation and controller store remain pending; no assistant source edits beyond route or behavior tests.
2026-10-29 explicitly authorized StoreCategoryRequest change. Added Category/Rule imports; authorize checks user can(create,Category::class) with guest false fallback. Validation: department_id bail|required|integer|exists departments.id; name bail|required|string|max255|unique scoped department_id. integer accessor gives safe scalar scope even if invalid department input; department rule separately rejects bad IDs. PHP syntax/targeted Pint/whitespace checks passed. No application tests or save claimed. Request sha256 5819301d79ab.
2026-10-29 developer explicitly authorized store method following Department Create. Added RedirectResponse import/type; Category::create(validated), success toast and back(). PHP syntax/targeted Pint/whitespace pass. Connected CREATION checkpoint source review passed: protected GET/POST policy and request authorization, required existing parent/name scoped unique, fillable and inverse relations, migration FK restrict/composite uniqueness, Vue props/binding/errors/processing/reset and flash response. Minor preexisting blank-line formatting in models/unused generated policy import cosmetic only; not changed. No application tests/browser checks run by assistant. Whole Category module not reviewed or complete (list/rename pending). Working snapshot hashes: app/Http/Controllers/CategoryController.php 43117b4ffd44; app/Http/Requests/Categories/StoreCategoryRequest.php 5819301d79ab; app/Policies/CategoryPolicy.php 0277f642ef56; app/Models/Category.php c6b71ccfa049; app/Models/Department.php 02f8798b6af4; database/migrations/2026_10_29_210437_create_categories_table.php 50ae1cd2d815; routes/web.php 4977eeab000c; resources/js/pages/categories/Create.vue b47f65a7e2b2
2026-10-29 developer replied done after explicit Category creation checks, then requested three real-life categories under each department using seeder. Implemented CategorySeeder map (30 examples), finds existing Department by name and uses categories()-&gt;firstOrCreate(name), preserving existing categories. Read-only tinker pluck confirmed10 exact DepartmentSeeder names; no database writes by assistant. PHP syntax/Pint/whitespace passed. Seeder execution delegated to developer; rerun/idempotence not yet verified. No extra category scope approved by example records.
2026-10-29 developer explicitly authorized full Category list and search implementation, matching Users/Departments. GET /categories -&gt; categories.index enforces viewAny Category policy for Manager/Super Admin before query. IndexCategoriesRequest validates search max100 and positive page; controller passes validated search to ListCategories action. Action loads department id/name, groups category-name OR related department-name partial matches before alphabetical name/id ordering and paginate(10), appending validated search. Vue categories/Index shows category/department columns, empty state, responsive overflow and wrapping controls; ref/watch 300ms search, immediate Enter, timer cleanup and preserveState follow Department pattern. Source review of this list/search scope passed; PHP syntax/Pint, Vue type check, formatter and whitespace checks passed. No application tests or browser checks executed. Full Category module review/rename/parent rename-link checks remain pending. Seeder execution/rerun still unconfirmed; request to continue list is not seeding evidence. Poker references inspected this chat: app/Http/Controllers/PlayerController.php (action-driven index and Inertia props), app/Actions/Players/ListPlayers.php (filter-before-pagination/appends), routes/web.php (viewAny route permission). Snapshot: app/Actions/Categories/ListCategories.php 0b8499c42ea0; app/Http/Requests/Categories/IndexCategoriesRequest.php 6167bfe92ae6; app/Http/Controllers/CategoryController.php c6bb380bb96a; app/Policies/CategoryPolicy.php 81e2bdb4f4f4; routes/web.php 991d0c87dab1; resources/js/pages/categories/Index.vue 3d0371ce716c
2026-10-29 explicit authorization to implement complete Category editing and run necessary tests. Added Edit Vue and CategoryEditTest, implemented update request/controller/policy and protected routes, added list Edit buttons. PHP Pint, Vue formatting/typecheck and whitespace checks passed. Full module review and evidence now recorded; FB-028 verified. Seeder execution/idempotence itself remains unconfirmed and is not claimed as tested.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x:t>
        </x:is>
      </x:c>
      <x:c r="R31" s="11" t="inlineStr">
        <x:is>
          <x:t xml:space="preserve">Before starting/resuming this item or feature: reread AGENTS.md from disk; apply teaching/testing rules. FB-028 Category verified. Next ready item FB-029: introduce Subcategory storage and required Category relationship, then creation in small developer-written lessons; read its full story/requirements before teaching. Do not infer permission to implement next module from prior Category authorization.</x:t>
        </x:is>
      </x:c>
      <x:c r="S31" s="11" t="n"/>
    </x:row>
    <x:row r="32" ht="105" customHeight="1">
      <x:c r="A32" s="4" t="n">
        <x:v>29</x:v>
      </x:c>
      <x:c r="B32" s="4" t="inlineStr">
        <x:is>
          <x:t xml:space="preserve">FB-029</x:t>
        </x:is>
      </x:c>
      <x:c r="C32" s="4" t="inlineStr">
        <x:is>
          <x:t xml:space="preserve">Subcategories</x:t>
        </x:is>
      </x:c>
      <x:c r="D32" s="4" t="inlineStr">
        <x:is>
          <x:t xml:space="preserve">Build Subcategory storage, complete creation, then list</x:t>
        </x:is>
      </x:c>
      <x:c r="E32" s="4" t="inlineStr">
        <x:is>
          <x:t xml:space="preserve">Subcategory creation has Department and dependent Category dropdowns plus required name. Only selected Department categories appear; changing Department clears Category. Server validates matching parent selection; save category_id/name only. Names unique within Category ignoring case/outer spaces. Managers/Super Admin only. No sizes/units/quantities. Complete/verify creation before list; no speculative Product relationship. REQ-187: list search across all three names with ten-row pagination.</x:t>
        </x:is>
      </x:c>
      <x:c r="F32" s="4" t="inlineStr">
        <x:is>
          <x:t xml:space="preserve">FB-028</x:t>
        </x:is>
      </x:c>
      <x:c r="G32" s="4" t="str">
        <x:f>IF(H32="Complete","Complete",IF(I32="Blocked","Blocked",IF(I32="In progress","Ready",IF(F32="","Ready",IF(COUNTIFS($B$4:$B$73,F32,$H$4:$H$73,"Complete")=1,"Ready","Waiting")))))</x:f>
        <x:v>Complete</x:v>
      </x:c>
      <x:c r="H32" s="4" t="str">
        <x:f>IF(I32="Not started","Not started",IF(I32="Blocked","Blocked",IF(I32="In progress","In progress",IF(J32&lt;&gt;"Passed","Awaiting code review",IF(OR(K32="",NOT(ISNUMBER(L32))),"Awaiting review evidence",IF(N32&lt;&gt;"Passed","Awaiting test",IF(OR(M32="",O32="",NOT(ISNUMBER(P32))),"Awaiting test evidence","Complete")))))))</x:f>
        <x:v>Complete</x:v>
      </x:c>
      <x:c r="I32" s="10" t="str">
        <x:v>Ready for review</x:v>
      </x:c>
      <x:c r="J32" s="10" t="str">
        <x:v>Passed</x:v>
      </x:c>
      <x:c r="K32" s="10" t="str">
        <x:v>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2" s="30" t="n">
        <x:v>46325</x:v>
      </x:c>
      <x:c r="M32" s="10" t="str">
        <x:v>Assistant (explicitly delegated browser and earlier automated checks)</x:v>
      </x:c>
      <x:c r="N32" s="10" t="str">
        <x:v>Passed</x:v>
      </x:c>
      <x:c r="O32" s="10" t="str">
        <x:v>
2026-10-29 delegated tests: initial targeted suite failed7 page requests due stale Vite manifest (Subcategory and existing edit pages absent); npm run build PASS regenerated assets. Rerun php artisan test tests/Feature/SubcategoryCreateTest.php tests/Feature/CategoryEditTest.php tests/Feature/DepartmentEditTest.php PASS53 tests324 assertions (SQLite in-memory), covering both permitted roles, invalid fields, required name/parents, scoped duplicates, mismatched parent pair, stale Category moved after form load, guest redirects, Volunteer403 GET/POST, ignored stock/forged fields, relationship retention across Category rename/move; no full unrelated account suite run. npm run types:check PASS, targeted Pint/Vue formatter PASS, syntax and diff whitespace PASS. Applied only Subcategory migration successfully to local MySQL. Browser existing Super Admin /subcategories/create PASS: Category initially disabled; blank errors for all3 fields; Baby Care shows Baby Wipes/Diapers/Infant Formula only; selected Baby Wipes then switching to Bakery clears category; Bakery shows Bread/Pastries/Rolls and Buns. Created temporary QA Dropdown Creation 20261029 under Bakery/Bread, success toast and Department/Category/name reset with Category disabled. Database row relationship verified; MySQL case-insensitive duplicate validator PASS. Removed only that self-created fixture. Wide and390px screenshots passed; phone stacked controls/full-width button. DevTools/device preview restored/closed. No sizes/units/quantities anywhere in creation UI/model/table. List/edit not implemented or verified.
2026-10-29 user explicitly requested assistant run database seeding for five realistic Subcategories per Category. Inspected local database:30 categories under10 named departments, zero existing Subcategories. Implemented database/seeders/SubcategorySeeder.php mapping five name-only examples under each exact Department/Category pair, DB transaction and relationship firstOrCreate. Source review/Pint/PHP syntax/whitespace PASS. Executed php artisan db:seed --class=SubcategorySeeder successfully. Repeated via Artisan and compared ordered id/category_id/name snapshots: unchanged. Verified all30 categories have exactly5 Subcategories,150 total, no duplicates on rerun. No sizes/units/quantity fields or new scope. SHA256:23edc5ca69b9. Creation remains verified; list/rename and full module review pending.
2026-10-29 assistant-run delegated catalogue tests PASS: php artisan test tests/Feature/SubcategoryListTest.php tests/Feature/SubcategoryCreateTest.php tests/Feature/CategoryEditTest.php tests/Feature/DepartmentEditTest.php,70 tests509 assertions. List tests cover permitted roles/full parent path, partial matches on all3 names incl trimmed search, clear/no-match, search-before-pagination and retained link filter, multi-level match without duplicated row, empty catalogue, invalid filter/page, Volunteer403 including search and guest login redirect. npm run build PASS; npm run types:check PASS; targeted PHP Pint/Vue formatter, PHP syntax and whitespace PASS. Native Brave UI attempts interrupted repeatedly with user-changed-application responses; no new list browser/UI behavior or mobile verification performed. Preserve prior creation/browser and seed evidence; do not claim list browser pass or module completion.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P32" s="30" t="n">
        <x:v>46325</x:v>
      </x:c>
      <x:c r="Q32" s="10" t="str">
        <x:v>2026-10-30 completed-feature review consolidated; code review and recorded behaviour checks pass. Subcategory module verified; proceed to Tags FB-031.</x:v>
      </x:c>
      <x:c r="R32" s="10" t="str">
        <x:v>Before starting/resuming this item or feature: reread AGENTS.md from disk; apply teaching/testing rules. Completed; continue Tags FB-031.</x:v>
      </x:c>
      <x:c r="S32" s="10" t="n"/>
    </x:row>
    <x:row r="33" ht="105" customHeight="1">
      <x:c r="A33" s="9" t="n">
        <x:v>30</x:v>
      </x:c>
      <x:c r="B33" s="9" t="inlineStr">
        <x:is>
          <x:t xml:space="preserve">FB-030</x:t>
        </x:is>
      </x:c>
      <x:c r="C33" s="9" t="inlineStr">
        <x:is>
          <x:t xml:space="preserve">Subcategories</x:t>
        </x:is>
      </x:c>
      <x:c r="D33" s="9" t="inlineStr">
        <x:is>
          <x:t xml:space="preserve">Rename and move subcategories; verify catalogue permissions</x:t>
        </x:is>
      </x:c>
      <x:c r="E33" s="9" t="inlineStr">
        <x:is>
          <x:t xml:space="preserve">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 Verify creation/list/edit and parent rename preserving links before proceeding; no Product relationships introduced early.</x:t>
        </x:is>
      </x:c>
      <x:c r="F33" s="9" t="inlineStr">
        <x:is>
          <x:t xml:space="preserve">FB-029</x:t>
        </x:is>
      </x:c>
      <x:c r="G33" s="9" t="str">
        <x:f>IF(H33="Complete","Complete",IF(I33="Blocked","Blocked",IF(I33="In progress","Ready",IF(F33="","Ready",IF(COUNTIFS($B$4:$B$73,F33,$H$4:$H$73,"Complete")=1,"Ready","Waiting")))))</x:f>
        <x:v>Complete</x:v>
      </x:c>
      <x:c r="H33" s="9" t="str">
        <x:f>IF(I33="Not started","Not started",IF(I33="Blocked","Blocked",IF(I33="In progress","In progress",IF(J33&lt;&gt;"Passed","Awaiting code review",IF(OR(K33="",NOT(ISNUMBER(L33))),"Awaiting review evidence",IF(N33&lt;&gt;"Passed","Awaiting test",IF(OR(M33="",O33="",NOT(ISNUMBER(P33))),"Awaiting test evidence","Complete")))))))</x:f>
        <x:v>Complete</x:v>
      </x:c>
      <x:c r="I33" s="11" t="str">
        <x:v>Ready for review</x:v>
      </x:c>
      <x:c r="J33" s="11" t="str">
        <x:v>Passed</x:v>
      </x:c>
      <x:c r="K33" s="11" t="str">
        <x:v>2026-10-29 user explicitly authorized Subcategory edit, authorized list buttons, all necessary tests. Read full AGENTS.md and full FB-030/related REQ-100/101/102/141. Followed Department Edit/Update request and ListUsers row-canEdit preparation. Read-only Department/Category context, prefilled editable name only; useForm PATCH/error/processing/Cancel; server update policy at GET/PATCH and request; name uniqueness scoped to SAVED category ignoring bound record; validated name only so forged id/category/department/stock fields cannot change identity or links. ListSubcategories now receives actor and returns prepared arrays with nested parents/canEdit from policy; Vue v-if canEdit Edit button and four-column empty state. Source review passed, no blocking findings. Snapshots: app/Http/Controllers/SubcategoryController.php 5578c0981f7c; app/Http/Requests/Subcategories/UpdateSubcategoryRequest.php eebe7e5599cf; app/Policies/SubcategoryPolicy.php 6d7c31bf3b34; app/Actions/Subcategories/ListSubcategories.php 36b8a8835b06; routes/web.php c7a64ff3ab36; resources/js/pages/subcategories/Index.vue 2066c12b396d; resources/js/pages/subcategories/Edit.vue fdaba55ae3ce; tests/Feature/SubcategoryEditTest.php cb49ff90bf11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L33" s="31" t="n">
        <x:v>46325</x:v>
      </x:c>
      <x:c r="M33" s="11" t="str">
        <x:v>Assistant (explicitly delegated browser and earlier automated checks)</x:v>
      </x:c>
      <x:c r="N33" s="11" t="str">
        <x:v>Passed</x:v>
      </x:c>
      <x:c r="O33" s="11" t="str">
        <x:v>2026-10-29 delegated tests: first85-test catalogue run84 pass, one synthetic-denial test failed because separately defined Gate update ability does not override registered model policy. Corrected ONLY test to register ReadOnlySubcategoryTestPolicy; rerun PASS85 tests617 assertions. Command: php artisan test tests/Feature/SubcategoryEditTest.php tests/Feature/SubcategoryListTest.php tests/Feature/SubcategoryCreateTest.php tests/Feature/CategoryEditTest.php tests/Feature/DepartmentEditTest.php. Covers both allowed roles, canEdit true/false, independent list/edit permissions and forbidden routes, prefill parents, successful trimmed rename preserving ID/category despite forged fields, same name/current record and across categories,255-char success, blank/null/array/256-char/duplicate rejection, forged category duplicate bypass rejected, guest redirects/missing records404, full create/list/search regressions. Actual UpdateSubcategoryRequest rules checked read-only on local MySQL Body Lotion versus body wash under same category: case-insensitive duplicate rejected/current name accepted; no DB writes. npm run build PASS, npm run types:check PASS, Pint/Vue formatter/PHP syntax/whitespace PASS. Browser observed list page2 with Edit links (including Body Lotion135); attempted click was interrupted by user-changed-application response. No browser edit save/Cancel/error/mobile checks performed; no successful browser form claim. Previous list typing/layout verification remains pending. No full unrelated application suite run.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
2026-10-30 developer explicitly authorized fixing all7 PHP analysis issues only. Updated ListSubcategories precise paginator row-shape annotation and explicit scalar field mapping (same outgoing keys/values); added void return types to empty show/destroy methods in DepartmentController, CategoryController and SubcategoryController, matching inspected Poker empty destroy convention. No runtime features, account tests, suppression comments or config/baselines changed. Scoped source/diff review PASS; full vendor/bin/phpstan analyse --memory-limit=512M --no-progress PASS0 errors; scoped Pint and whitespace PASS. Delegated affected regression php artisan test tests/Feature/SubcategoryListTest.php tests/Feature/SubcategoryEditTest.php PASS43 tests357 assertions. This supersedes earlier notes that7 PHP analysis issues remain unresolved. Previously recorded18 baseline account/auth test failures remain separate and unfixed; no full-suite rerun for this typing-only fix.</x:v>
      </x:c>
      <x:c r="P33" s="31" t="n">
        <x:v>46325</x:v>
      </x:c>
      <x:c r="Q33" s="11" t="str">
        <x:v>2026-10-30 completed-feature review consolidated; code review and recorded behaviour checks pass. Subcategory module verified; proceed to Tags FB-031.</x:v>
      </x:c>
      <x:c r="R33" s="11" t="str">
        <x:v>Before starting/resuming this item or feature: reread AGENTS.md from disk; apply teaching/testing rules. Completed; continue Tags FB-031.</x:v>
      </x:c>
      <x:c r="S33" s="11" t="n"/>
    </x:row>
    <x:row r="34" ht="105" customHeight="1">
      <x:c r="A34" s="4" t="n">
        <x:v>31</x:v>
      </x:c>
      <x:c r="B34" s="4" t="inlineStr">
        <x:is>
          <x:t xml:space="preserve">FB-031</x:t>
        </x:is>
      </x:c>
      <x:c r="C34" s="4" t="inlineStr">
        <x:is>
          <x:t xml:space="preserve">Tags</x:t>
        </x:is>
      </x:c>
      <x:c r="D34" s="4" t="inlineStr">
        <x:is>
          <x:t xml:space="preserve">Create shared tags, then list and rename them</x:t>
        </x:is>
      </x:c>
      <x:c r="E34" s="4" t="inlineStr">
        <x:is>
          <x:t xml:space="preserve">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x:t>
        </x:is>
      </x:c>
      <x:c r="F34" s="4" t="inlineStr">
        <x:is>
          <x:t xml:space="preserve">FB-030</x:t>
        </x:is>
      </x:c>
      <x:c r="G34" s="4" t="str">
        <x:f>IF(H34="Complete","Complete",IF(I34="Blocked","Blocked",IF(I34="In progress","Ready",IF(F34="","Ready",IF(COUNTIFS($B$4:$B$73,F34,$H$4:$H$73,"Complete")=1,"Ready","Waiting")))))</x:f>
        <x:v>Complete</x:v>
      </x:c>
      <x:c r="H34" s="4" t="str">
        <x:f>IF(I34="Not started","Not started",IF(I34="Blocked","Blocked",IF(I34="In progress","In progress",IF(J34&lt;&gt;"Passed","Awaiting code review",IF(OR(K34="",NOT(ISNUMBER(L34))),"Awaiting review evidence",IF(N34&lt;&gt;"Passed","Awaiting test",IF(OR(M34="",O34="",NOT(ISNUMBER(P34))),"Awaiting test evidence","Complete")))))))</x:f>
        <x:v>Complete</x:v>
      </x:c>
      <x:c r="I34" s="10" t="str">
        <x:v>Ready for review</x:v>
      </x:c>
      <x:c r="J34" s="10" t="str">
        <x:v>Passed</x:v>
      </x:c>
      <x:c r="K34" s="10" t="str">
        <x:v>2026-10-30 reference inspection for upcoming Tags: skander app/Models/Player.php protected $fillable; PlayerController create/store/edit/update uses Inertia pages, simple direct model persistence, flash toast/back; routes/web.php checks create on GET/POST and update on GET/PATCH; PlayerPolicy defines abilities. StorePlayerRequest holds validation. Follow these responsibilities with FoodBank roles. No Tag code reviewed or implemented.
2026-10-30 developer-requested intermediate scaffold check: read Tag model, TagController, StoreTagRequest, UpdateTagRequest, TagPolicy, create_tags_table migration and TagSeeder. All are generated scaffolds; migration currently id/timestamps only, requests/policy deny by default, no tag routes or Vue page. No implemented behaviour or passed feature test claimed. Requests currently at root Http/Requests; organize under Tags with matching namespaces/imports in a later small lesson. No application changes made.
2026-10-30 developer explicitly delegated all current Tag work and testing, following this project catalogue UI/coding/workflows. Completed-feature source review PASS at HEAD eabb3204ee4e2f9dbea824ef3b5939230e379d20 plus uncommitted Tag implementation: app/Models/Tag.php, app/Http/Controllers/TagController.php, app/Http/Requests/Tags/{IndexTagsRequest,StoreTagRequest,UpdateTagRequest}.php, app/Actions/Tags/ListTags.php, app/Policies/TagPolicy.php, routes/web.php, database/migrations/2026_10_30_061953_create_tags_table.php, resources/js/pages/tags/{Create,Index,Edit}.vue, tests/Feature/TagTest.php. Department screen/controller/request conventions and Subcategory per-row canEdit preparation reused. Protected GET list/create/edit and POST/PATCH; Manager/Super Admin allowed, Volunteer denied. Required unique max255 name; Laravel trims, local MySQL collation ignores case. Rename preserves ID, ignores self in uniqueness. Protected fillable/validated fields. Search before alphabetical paginate(10), links retain search; 300ms typing/Enter/empty states. Forms errors, processing, success reset/toast, Cancel/list redirect, accessible labels/error links and phone layout. No blocking findings. No Product/pivot/stock work or deletion endpoint; Product tag attachment FB-037 and deletion rule FB-048 remain open. TagSeeder remains original empty scaffold; no production seed data requested.
2026-10-30 developer explicitly requested TagSeeder file with50 realistic tags so developer can run it. Updated database/seeders/TagSeeder.php only:50 distinct dietary/storage/preparation/meal/personal-care/household labels; Tag::firstOrCreate inside DB::transaction follows current catalogue seeder conventions and preserves existing names/records on reruns. Source review, PHP syntax, scoped Pint and static count/case-folded uniqueness checks PASS. Seeder NOT executed; no database changes or runtime/idempotence pass claimed. Supplied php artisan db:seed --class=TagSeeder for developer to run. Product lesson remains pending; no Product code read/changed.
2026-10-30 developer explicitly requested removing assistant-added defineOptions({ inheritAttrs:false }) from Product Create, Tag Create/Index/Edit and Subcategory Create/Index/Edit; follow Poker pages and avoid unnecessary code. Removed only those declarations, associated explanatory comments and blank separators in all7 pages. Shared components unchanged. Poker page scan confirmed no inheritAttrs declarations. Scoped source diff/absence/whitespace check, Vue typecheck and asset build PASS. No browser/feature acceptance tests rerun; prior behaviour evidence remains historical. Earlier page-scaffold instructions including inheritAttrs are superseded by this explicit correction. No other Product implementation authorization.
2026-10-30 Tag inverse products relationship reviewed and tested with Product creation; TagTest regressions included in157-test pass. Shared tag rename preserves product links.</x:v>
      </x:c>
      <x:c r="L34" s="30" t="n">
        <x:v>46325</x:v>
      </x:c>
      <x:c r="M34" s="10" t="str">
        <x:v>Assistant (explicitly delegated automated, MySQL and browser checks)</x:v>
      </x:c>
      <x:c r="N34" s="10" t="str">
        <x:v>Passed</x:v>
      </x:c>
      <x:c r="O34" s="10" t="str">
        <x:v>2026-10-30 Assistant, explicitly delegated: PASS php artisan test tests/Feature/TagTest.php tests/Feature/SubcategoryCreateTest.php tests/Feature/SubcategoryListTest.php tests/Feature/SubcategoryEditTest.php tests/Feature/CategoryEditTest.php tests/Feature/DepartmentEditTest.php —115 tests926 assertions. Tag-only final rerun after removing unused controller scaffolds PASS19 tests245 assertions. Covers both allowed roles, denied GET/write/guests, create/rename preserved ID/ignored forged fields, max255/self-name, invalid/null/array/blank/long/duplicate names, search/pagination/no-match/empty/clear, invalid list filters, missing records and deletion unavailable, independent update-policy denial and row permission. Build, Vue typecheck, scoped Pint and whitespace PASS. Tag-only PHPStan PASS0 errors; broader PHPStan found7 pre-existing catalogue issues (ListSubcategories return annotation and6 unused untyped show/destroy stubs in Category/Department/Subcategory controllers), left unchanged. Applied only Tag migration to local MySQL. Local MySQL validator create/update case-insensitive duplicates/self-ignore and unique database index PASS. Browser in-app signed-in Super Admin PASS: empty list; required create error; spaced QA name saved/trimmed, toast/reset; uppercase spaced duplicate rejected/input retained/button reenabled; edit prefill/blank validation, rename success/list redirect/preserved id1; search typing without Enter ten matching rows, Next retained filter/page2 two rows; Enter no-match reset page1; clear restores full list. At390x844 list document width390/no page overflow; create stacked/full-width button and readable errors; edit duplicate rename retained text/error/reenabled Save; Cancel/reopen preserved original name. Viewport restored. All13 tracked QA tags removed, local tags table empty. No unrelated full application suite run.</x:v>
      </x:c>
      <x:c r="P34" s="30" t="n">
        <x:v>46325</x:v>
      </x:c>
      <x:c r="Q34" s="10" t="str">
        <x:v>2026-10-30 FB-031 complete: implemented/reviewed/tested tag creation, paginated search list and rename. Product-related tag work remains at FB-037/048.</x:v>
      </x:c>
      <x:c r="R34" s="10" t="str">
        <x:v>Before starting/resuming this item or feature: reread AGENTS.md from disk; apply teaching/testing rules. Verified complete. Next ready module Products FB-032; resume developer-written small lessons unless explicitly delegated.</x:v>
      </x:c>
      <x:c r="S34" s="10" t="str"/>
    </x:row>
    <x:row r="35" ht="105" customHeight="1">
      <x:c r="A35" s="9" t="n">
        <x:v>32</x:v>
      </x:c>
      <x:c r="B35" s="9" t="inlineStr">
        <x:is>
          <x:t xml:space="preserve">FB-032</x:t>
        </x:is>
      </x:c>
      <x:c r="C35" s="9" t="inlineStr">
        <x:is>
          <x:t xml:space="preserve">Products</x:t>
        </x:is>
      </x:c>
      <x:c r="D35" s="9" t="inlineStr">
        <x:is>
          <x:t xml:space="preserve">Introduce Product storage and its hierarchy form</x:t>
        </x:is>
      </x:c>
      <x:c r="E35" s="9" t="str">
        <x:v>Product belongs to Subcategory. Required name/hierarchy/status; optional brand/tags. Build without product codes; retain internal database id. No sizes, packaging, counting/contents units, balances or quantities. Introduce tag persistence at FB-037. Reconsider codes after FB-067 at FB-035.</x:v>
      </x:c>
      <x:c r="F35" s="9" t="inlineStr">
        <x:is>
          <x:t xml:space="preserve">FB-031</x:t>
        </x:is>
      </x:c>
      <x:c r="G35" s="9" t="str">
        <x:f>IF(H35="Complete","Complete",IF(I35="Blocked","Blocked",IF(I35="In progress","Ready",IF(F35="","Ready",IF(COUNTIFS($B$4:$B$73,F35,$H$4:$H$73,"Complete")=1,"Ready","Waiting")))))</x:f>
        <x:v>Complete</x:v>
      </x:c>
      <x:c r="H35" s="9" t="str">
        <x:f>IF(I35="Not started","Not started",IF(I35="Blocked","Blocked",IF(I35="In progress","In progress",IF(J35&lt;&gt;"Passed","Awaiting code review",IF(OR(K35="",NOT(ISNUMBER(L35))),"Awaiting review evidence",IF(N35&lt;&gt;"Passed","Awaiting test",IF(OR(M35="",O35="",NOT(ISNUMBER(P35))),"Awaiting test evidence","Complete")))))))</x:f>
        <x:v>Complete</x:v>
      </x:c>
      <x:c r="I35" s="11" t="str">
        <x:v>Ready for review</x:v>
      </x:c>
      <x:c r="J35" s="11" t="str">
        <x:v>Passed</x:v>
      </x:c>
      <x:c r="K35" s="11"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x:v>
      </x:c>
      <x:c r="L35" s="31" t="n">
        <x:v>46325</x:v>
      </x:c>
      <x:c r="M35" s="11" t="str">
        <x:v>Assistant (explicitly delegated automated, MySQL and browser checks)</x:v>
      </x:c>
      <x:c r="N35" s="11" t="str">
        <x:v>Passed</x:v>
      </x:c>
      <x:c r="O35" s="11" t="str">
        <x:v>
2026-10-30 developer explicitly reported scoped Product migration ran successfully. Record as developer-reported migration check only; not source review or full Product feature behaviour verification.
2026-10-30 developer replied done to explicit protected Create Product page check and stated page opens successfully. Developer-reported PASS for minimal page display only; role-specific denial, saving and full feature not verified.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5" s="31" t="n">
        <x:v>46325</x:v>
      </x:c>
      <x:c r="Q35" s="11" t="str">
        <x:v>2026-10-30 Product creation feature implemented/reviewed/tested; this item verified. Product list next; no product code/stock features implemented.</x:v>
      </x:c>
      <x:c r="R35" s="11" t="str">
        <x:v>Before starting/resuming this item or feature: reread AGENTS.md from disk; apply teaching/testing rules. Completed. Next ready item FB-038 Product list; show proposed changes before applying, preserve Poker coding/current catalogue UI and name-or-tag search checkpoints.</x:v>
      </x:c>
      <x:c r="S35" s="11" t="str"/>
    </x:row>
    <x:row r="36" ht="105" customHeight="1">
      <x:c r="A36" s="4" t="n">
        <x:v>33</x:v>
      </x:c>
      <x:c r="B36" s="4" t="inlineStr">
        <x:is>
          <x:t xml:space="preserve">FB-033</x:t>
        </x:is>
      </x:c>
      <x:c r="C36" s="4" t="inlineStr">
        <x:is>
          <x:t xml:space="preserve">Products</x:t>
        </x:is>
      </x:c>
      <x:c r="D36" s="4" t="inlineStr">
        <x:is>
          <x:t xml:space="preserve">Lay out the product form and bind its inputs</x:t>
        </x:is>
      </x:c>
      <x:c r="E36" s="4" t="inlineStr">
        <x:is>
          <x:t xml:space="preserve">Teach responsive layout and temporary state for catalogue identity fields only. No package preview or stock values.</x:t>
        </x:is>
      </x:c>
      <x:c r="F36" s="4" t="inlineStr">
        <x:is>
          <x:t xml:space="preserve">FB-032</x:t>
        </x:is>
      </x:c>
      <x:c r="G36" s="4" t="str">
        <x:f>IF(H36="Complete","Complete",IF(I36="Blocked","Blocked",IF(I36="In progress","Ready",IF(F36="","Ready",IF(COUNTIFS($B$4:$B$73,F36,$H$4:$H$73,"Complete")=1,"Ready","Waiting")))))</x:f>
        <x:v>Complete</x:v>
      </x:c>
      <x:c r="H36" s="4" t="str">
        <x:f>IF(I36="Not started","Not started",IF(I36="Blocked","Blocked",IF(I36="In progress","In progress",IF(J36&lt;&gt;"Passed","Awaiting code review",IF(OR(K36="",NOT(ISNUMBER(L36))),"Awaiting review evidence",IF(N36&lt;&gt;"Passed","Awaiting test",IF(OR(M36="",O36="",NOT(ISNUMBER(P36))),"Awaiting test evidence","Complete")))))))</x:f>
        <x:v>Complete</x:v>
      </x:c>
      <x:c r="I36" s="10" t="str">
        <x:v>Ready for review</x:v>
      </x:c>
      <x:c r="J36" s="10" t="str">
        <x:v>Passed</x:v>
      </x:c>
      <x:c r="K36" s="10"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x:v>
      </x:c>
      <x:c r="L36" s="30" t="n">
        <x:v>46325</x:v>
      </x:c>
      <x:c r="M36" s="10" t="str">
        <x:v>Assistant (explicitly delegated automated, MySQL and browser checks)</x:v>
      </x:c>
      <x:c r="N36" s="10" t="str">
        <x:v>Passed</x:v>
      </x:c>
      <x:c r="O36" s="10" t="str">
        <x: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6" s="30" t="n">
        <x:v>46325</x:v>
      </x:c>
      <x:c r="Q36" s="10" t="str">
        <x:v>2026-10-30 Product creation feature implemented/reviewed/tested; this item verified. Product list next; no product code/stock features implemented.</x:v>
      </x:c>
      <x:c r="R36" s="10" t="str">
        <x:v>Before starting/resuming this item or feature: reread AGENTS.md from disk; apply teaching/testing rules. Completed. Next ready item FB-038 Product list; show proposed changes before applying, preserve Poker coding/current catalogue UI and name-or-tag search checkpoints.</x:v>
      </x:c>
      <x:c r="S36" s="10" t="str"/>
    </x:row>
    <x:row r="37" ht="105" customHeight="1">
      <x:c r="A37" s="4" t="n">
        <x:v>48</x:v>
      </x:c>
      <x:c r="B37" s="4" t="inlineStr">
        <x:is>
          <x:t xml:space="preserve">FB-035</x:t>
        </x:is>
      </x:c>
      <x:c r="C37" s="4" t="inlineStr">
        <x:is>
          <x:t xml:space="preserve">Products</x:t>
        </x:is>
      </x:c>
      <x:c r="D37" s="4" t="str">
        <x:v>Reconsider product codes and stock connections after the catalogue works</x:v>
      </x:c>
      <x:c r="E37" s="4" t="str">
        <x:v>After FB-067 verified functional catalogue, discuss whether human-readable codes are needed and revisit the connection to Stock Management. No mandatory code format/generation/backfill or replacement design approved. Record developer decision and affected requirements before any implementation. Preserve prior PRD design as history only.</x:v>
      </x:c>
      <x:c r="F37" s="4" t="str">
        <x:v>FB-067</x:v>
      </x:c>
      <x:c r="G37" s="4" t="str">
        <x:f>IF(H37="Complete","Complete",IF(I37="Blocked","Blocked",IF(I37="In progress","Ready",IF(F37="","Ready",IF(COUNTIFS($B$4:$B$73,F37,$H$4:$H$73,"Complete")=1,"Ready","Waiting")))))</x:f>
        <x:v>Waiting</x:v>
      </x:c>
      <x:c r="H37" s="4" t="str">
        <x:f>IF(I37="Not started","Not started",IF(I37="Blocked","Blocked",IF(I37="In progress","In progress",IF(J37&lt;&gt;"Passed","Awaiting code review",IF(OR(K37="",NOT(ISNUMBER(L37))),"Awaiting review evidence",IF(N37&lt;&gt;"Passed","Awaiting test",IF(OR(M37="",O37="",NOT(ISNUMBER(P37))),"Awaiting test evidence","Complete")))))))</x:f>
        <x:v>Not started</x:v>
      </x:c>
      <x:c r="I37" s="10" t="inlineStr">
        <x:is>
          <x:t xml:space="preserve">Not started</x:t>
        </x:is>
      </x:c>
      <x:c r="J37" s="10" t="inlineStr">
        <x:is>
          <x:t xml:space="preserve">Not reviewed</x:t>
        </x:is>
      </x:c>
      <x:c r="K37" s="10" t="n"/>
      <x:c r="L37" s="30" t="n"/>
      <x:c r="M37" s="10" t="n"/>
      <x:c r="N37" s="10" t="inlineStr">
        <x:is>
          <x:t xml:space="preserve">Not tested</x:t>
        </x:is>
      </x:c>
      <x:c r="O37" s="10" t="n"/>
      <x:c r="P37" s="30" t="n"/>
      <x:c r="Q37" s="10" t="str">
        <x:v>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R37" s="10" t="str">
        <x:v>Before starting/resuming this item or feature: reread AGENTS.md from disk; apply teaching/testing rules. Do not start before FB-067 verified. Brainstorm code need and stock connections with developer, record approved decisions, then decide whether any code implementation/backfill is needed before FB-034. No automatic implementation of old PRD proposal.</x:v>
      </x:c>
      <x:c r="S37" s="10" t="n"/>
    </x:row>
    <x:row r="38" ht="105" customHeight="1">
      <x:c r="A38" s="9" t="n">
        <x:v>34</x:v>
      </x:c>
      <x:c r="B38" s="9" t="inlineStr">
        <x:is>
          <x:t xml:space="preserve">FB-036</x:t>
        </x:is>
      </x:c>
      <x:c r="C38" s="9" t="inlineStr">
        <x:is>
          <x:t xml:space="preserve">Products</x:t>
        </x:is>
      </x:c>
      <x:c r="D38" s="9" t="inlineStr">
        <x:is>
          <x:t xml:space="preserve">Prevent duplicate catalogue products</x:t>
        </x:is>
      </x:c>
      <x:c r="E38" s="9" t="inlineStr">
        <x:is>
          <x:t xml:space="preserve">Compare name/brand/Subcategory, ignore case/outer spaces and include inactive products. No package contents, counting unit or size in catalogue duplicate identity.</x:t>
        </x:is>
      </x:c>
      <x:c r="F38" s="9" t="str">
        <x:v>FB-033</x:v>
      </x:c>
      <x:c r="G38" s="9" t="str">
        <x:f>IF(H38="Complete","Complete",IF(I38="Blocked","Blocked",IF(I38="In progress","Ready",IF(F38="","Ready",IF(COUNTIFS($B$4:$B$73,F38,$H$4:$H$73,"Complete")=1,"Ready","Waiting")))))</x:f>
        <x:v>Complete</x:v>
      </x:c>
      <x:c r="H38" s="9" t="str">
        <x:f>IF(I38="Not started","Not started",IF(I38="Blocked","Blocked",IF(I38="In progress","In progress",IF(J38&lt;&gt;"Passed","Awaiting code review",IF(OR(K38="",NOT(ISNUMBER(L38))),"Awaiting review evidence",IF(N38&lt;&gt;"Passed","Awaiting test",IF(OR(M38="",O38="",NOT(ISNUMBER(P38))),"Awaiting test evidence","Complete")))))))</x:f>
        <x:v>Complete</x:v>
      </x:c>
      <x:c r="I38" s="11" t="str">
        <x:v>Ready for review</x:v>
      </x:c>
      <x:c r="J38" s="11" t="str">
        <x:v>Passed</x:v>
      </x:c>
      <x:c r="K38" s="11"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x:v>
      </x:c>
      <x:c r="L38" s="31" t="n">
        <x:v>46325</x:v>
      </x:c>
      <x:c r="M38" s="11" t="str">
        <x:v>Assistant (explicitly delegated automated, MySQL and browser checks)</x:v>
      </x:c>
      <x:c r="N38" s="11" t="str">
        <x:v>Passed</x:v>
      </x:c>
      <x:c r="O38" s="11" t="str">
        <x: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8" s="31" t="n">
        <x:v>46325</x:v>
      </x:c>
      <x:c r="Q38" s="11" t="str">
        <x:v>2026-10-30 Product creation feature implemented/reviewed/tested; this item verified. Product list next; no product code/stock features implemented.</x:v>
      </x:c>
      <x:c r="R38" s="11" t="str">
        <x:v>Before starting/resuming this item or feature: reread AGENTS.md from disk; apply teaching/testing rules. Completed. Next ready item FB-038 Product list; show proposed changes before applying, preserve Poker coding/current catalogue UI and name-or-tag search checkpoints.</x:v>
      </x:c>
      <x:c r="S38" s="11" t="str"/>
    </x:row>
    <x:row r="39" ht="105" customHeight="1">
      <x:c r="A39" s="4" t="n">
        <x:v>35</x:v>
      </x:c>
      <x:c r="B39" s="4" t="inlineStr">
        <x:is>
          <x:t xml:space="preserve">FB-037</x:t>
        </x:is>
      </x:c>
      <x:c r="C39" s="4" t="inlineStr">
        <x:is>
          <x:t xml:space="preserve">Products</x:t>
        </x:is>
      </x:c>
      <x:c r="D39" s="4" t="inlineStr">
        <x:is>
          <x:t xml:space="preserve">Save products and attach optional tags</x:t>
        </x:is>
      </x:c>
      <x:c r="E39" s="4" t="str">
        <x:v>Managers/Super Admin create; Volunteers denied display/write. Save catalogue identity/classification/status only; no stock quantity/packaging. Optional shared tags; errors/retained input/processing and persisted fields. Both Product::tags() and Tag::products() use same product_tag pivot; tag-based lookup is required, verified in list/search phase.</x:v>
      </x:c>
      <x:c r="F39" s="4" t="inlineStr">
        <x:is>
          <x:t xml:space="preserve">FB-036</x:t>
        </x:is>
      </x:c>
      <x:c r="G39" s="4" t="str">
        <x:f>IF(H39="Complete","Complete",IF(I39="Blocked","Blocked",IF(I39="In progress","Ready",IF(F39="","Ready",IF(COUNTIFS($B$4:$B$73,F39,$H$4:$H$73,"Complete")=1,"Ready","Waiting")))))</x:f>
        <x:v>Complete</x:v>
      </x:c>
      <x:c r="H39" s="4" t="str">
        <x:f>IF(I39="Not started","Not started",IF(I39="Blocked","Blocked",IF(I39="In progress","In progress",IF(J39&lt;&gt;"Passed","Awaiting code review",IF(OR(K39="",NOT(ISNUMBER(L39))),"Awaiting review evidence",IF(N39&lt;&gt;"Passed","Awaiting test",IF(OR(M39="",O39="",NOT(ISNUMBER(P39))),"Awaiting test evidence","Complete")))))))</x:f>
        <x:v>Complete</x:v>
      </x:c>
      <x:c r="I39" s="10" t="str">
        <x:v>Ready for review</x:v>
      </x:c>
      <x:c r="J39" s="10" t="str">
        <x:v>Passed</x:v>
      </x:c>
      <x:c r="K39" s="10" t="str">
        <x:v>
2026-10-30 completed Product CREATION feature source review PASS; no blocking findings. Developer explicitly approved save workflow including both relationship directions and delegated all tests. Read together ProductController, ProductPolicy, StoreProductRequest, CreateProduct action, Product/Subcategory/Tag models, Product and product_tag migrations, full products/Create.vue, protected GET/POST routes and ProductCreateTest. Follows inspected Poker Player request/controller/flash/back, Inertia Form+generated action/errors/processing/resetOnSuccess; CreatePlayerGame/CreateGameSession action Gate+transaction+row lock conventions. StoreProductRequest organized under Products; productData normalizes already-validated scalar/list values for typed action input. Duplicate business guard executes under Subcategory exclusive lock inside transaction after Category shared lock/current hierarchy recheck; ignores name/brand case/outer spaces, blank brands equivalent, includes inactive products. Selected tag existence rechecked/locked. Save only name/brand/subcategory_id/is_active; no forged IDs/code/quantity/parent duplication. Product::tags and Tag::products both belongsToMany through same unique-pair product_tag with restrictive FKs. Form transform sends all selected tag IDs even when search hides inputs; invalid submissions retain state; success clears controls/search/tags/restores Active and resets Select display. Existing layout/tag search/checkbox status preserved. Removed unused empty ProductController scaffold methods, leaving create/store only; unused UpdateProductRequest scaffold unchanged. No list/search-by-tag UI added early; FB-040/044 remain upcoming. HEAD 3c9d80b6e737c9c750d0eaadc5e9bec3b2f71123 plus current uncommitted Product creation implementation, reviewed2026-10-30. SHA256 prefixes: action3659726855ae; request3bfa3f723881; controllercad1463244ea; Product068970cd06b8; Tagd8f3fd7ceb8f; policy12099f89fdad; Vue8f12052c3721; Product migration3f2353b33f65; pivot migratione210a481a24a; testeeef404a32c0; routes900151e5ce7a.</x:v>
      </x:c>
      <x:c r="L39" s="30" t="n">
        <x:v>46325</x:v>
      </x:c>
      <x:c r="M39" s="10" t="str">
        <x:v>Assistant (explicitly delegated automated, MySQL and browser checks)</x:v>
      </x:c>
      <x:c r="N39" s="10" t="str">
        <x:v>Passed</x:v>
      </x:c>
      <x:c r="O39" s="10" t="str">
        <x:v>
2026-10-30 Assistant (explicitly delegated) PASS creation-scoped catalogue regression: php artisan test ProductCreateTest,TagTest,SubcategoryCreateTest,SubcategoryListTest,SubcategoryEditTest,CategoryEditTest,DepartmentEditTest —157 tests1162 assertions; rerun after request normalization/controller cleanup same pass.42 new Product tests cover both permitted roles, page data, successful trimmed create, Active/Inactive casts, ignored forged fields, both tag relationships/shared rename, optional blank/null/omitted tags and brand,255-char fields, null/blank/array/long inputs, existing/matching parents, invalid/status/tag IDs, repeated tag IDs, duplicate identity incl inactive/unbranded/case/spaces, distinct brand/Subcategory acceptance, guest/Volunteer denied GET/POST, action authorization, stale parent/tag rechecks, forced real pivot-insert failure rolls product back, pivot uniqueness/used-tag FK. Vue typecheck, build, scoped Pint/PHPStan(0 errors)/PHP syntax/whitespace PASS. Applied only new product_tag migration to local MySQL. Browser in-app existing Super Admin PASS blank errors; Pantry Staples/Rice and Grains/White Rice choices; inactive QA product with trimmed name/brand saved; selected Halal then Vegan while Halal hidden, both persisted and Tag-&gt;products inverse verified in MySQL. Toast and complete form/search/tag reset/restored Active; Category/Subcategory disabled/reset. Uppercase/spaced duplicate of INACTIVE saved product rejected despite new Active status; hierarchy/text/selected Halal retained and button reenabled. Search300ms case-insensitive, Enter, no-match/clear; optional unbranded/untagged Active save passed on390x844 phone and DB null brand/zero links verified. Category change cleared Subcategory; Department change cleared both children. Phone document width390/no overflow, stacked controls/readable error; normal1280 viewport restored, Department and tag-search widths both289.328px. MySQL two simultaneous action processes on same Subcategory: one SAVED, second DUPLICATE_REJECTED; one row created. All3 exact QA products/pivot links removed, shared tags untouched. Full suite192 tests174 pass17 failed1 error; separate isolated clean HEAD baseline150 tests132 pass17 failed1 error, identical failing/error test names (account/auth/settings/seeding), no additional failures. Full PHPStan still7 pre-existing unrelated catalogue issues; no scope expansion to fix deferred accounts or other controllers. Product-list Halal search remains later FB-040/044.</x:v>
      </x:c>
      <x:c r="P39" s="30" t="n">
        <x:v>46325</x:v>
      </x:c>
      <x:c r="Q39" s="10" t="str">
        <x:v>2026-10-30 Product creation feature implemented/reviewed/tested; this item verified. Product list next; no product code/stock features implemented.</x:v>
      </x:c>
      <x:c r="R39" s="10" t="str">
        <x:v>Before starting/resuming this item or feature: reread AGENTS.md from disk; apply teaching/testing rules. Completed. Next ready item FB-038 Product list; show proposed changes before applying, preserve Poker coding/current catalogue UI and name-or-tag search checkpoints.</x:v>
      </x:c>
      <x:c r="S39" s="10" t="str"/>
    </x:row>
    <x:row r="40" ht="105" customHeight="1">
      <x:c r="A40" s="9" t="n">
        <x:v>36</x:v>
      </x:c>
      <x:c r="B40" s="9" t="inlineStr">
        <x:is>
          <x:t xml:space="preserve">FB-038</x:t>
        </x:is>
      </x:c>
      <x:c r="C40" s="9" t="inlineStr">
        <x:is>
          <x:t xml:space="preserve">Products</x:t>
        </x:is>
      </x:c>
      <x:c r="D40" s="9" t="inlineStr">
        <x:is>
          <x:t xml:space="preserve">Display the unfiltered catalogue product list</x:t>
        </x:is>
      </x:c>
      <x:c r="E40" s="9" t="str">
        <x:v>All roles see product name/category path/brand/status; no user-facing code. No size, measurement units, available quantity or totals. Verify server permissions.</x:v>
      </x:c>
      <x:c r="F40" s="9" t="inlineStr">
        <x:is>
          <x:t xml:space="preserve">FB-037</x:t>
        </x:is>
      </x:c>
      <x:c r="G40" s="9" t="str">
        <x:f>IF(H40="Complete","Complete",IF(I40="Blocked","Blocked",IF(I40="In progress","Ready",IF(F40="","Ready",IF(COUNTIFS($B$4:$B$73,F40,$H$4:$H$73,"Complete")=1,"Ready","Waiting")))))</x:f>
        <x:v>Ready</x:v>
      </x:c>
      <x:c r="H40" s="9" t="str">
        <x:f>IF(I40="Not started","Not started",IF(I40="Blocked","Blocked",IF(I40="In progress","In progress",IF(J40&lt;&gt;"Passed","Awaiting code review",IF(OR(K40="",NOT(ISNUMBER(L40))),"Awaiting review evidence",IF(N40&lt;&gt;"Passed","Awaiting test",IF(OR(M40="",O40="",NOT(ISNUMBER(P40))),"Awaiting test evidence","Complete")))))))</x:f>
        <x:v>Not started</x:v>
      </x:c>
      <x:c r="I40" s="11" t="inlineStr">
        <x:is>
          <x:t xml:space="preserve">Not started</x:t>
        </x:is>
      </x:c>
      <x:c r="J40" s="11" t="inlineStr">
        <x:is>
          <x:t xml:space="preserve">Not reviewed</x:t>
        </x:is>
      </x:c>
      <x:c r="K40" s="11" t="n"/>
      <x:c r="L40" s="31" t="n"/>
      <x:c r="M40" s="11" t="n"/>
      <x:c r="N40" s="11" t="inlineStr">
        <x:is>
          <x:t xml:space="preserve">Not tested</x:t>
        </x:is>
      </x:c>
      <x:c r="O40" s="11" t="n"/>
      <x:c r="P40" s="31" t="n"/>
      <x:c r="Q40" s="11" t="n"/>
      <x:c r="R40" s="11" t="str">
        <x: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0" s="11" t="n"/>
    </x:row>
    <x:row r="41" ht="105" customHeight="1">
      <x:c r="A41" s="4" t="n">
        <x:v>37</x:v>
      </x:c>
      <x:c r="B41" s="4" t="inlineStr">
        <x:is>
          <x:t xml:space="preserve">FB-039</x:t>
        </x:is>
      </x:c>
      <x:c r="C41" s="4" t="inlineStr">
        <x:is>
          <x:t xml:space="preserve">Products</x:t>
        </x:is>
      </x:c>
      <x:c r="D41" s="4" t="inlineStr">
        <x:is>
          <x:t xml:space="preserve">Arrange catalogue rows and filter toolbar</x:t>
        </x:is>
      </x:c>
      <x:c r="E41" s="4" t="inlineStr">
        <x:is>
          <x:t xml:space="preserve">Teach responsive widths, wrapping/table overflow/stacked toolbar for product identity/classification. No stock/size columns.</x:t>
        </x:is>
      </x:c>
      <x:c r="F41" s="4" t="inlineStr">
        <x:is>
          <x:t xml:space="preserve">FB-038</x:t>
        </x:is>
      </x:c>
      <x:c r="G41" s="4" t="str">
        <x:f>IF(H41="Complete","Complete",IF(I41="Blocked","Blocked",IF(I41="In progress","Ready",IF(F41="","Ready",IF(COUNTIFS($B$4:$B$73,F41,$H$4:$H$73,"Complete")=1,"Ready","Waiting")))))</x:f>
        <x:v>Waiting</x:v>
      </x:c>
      <x:c r="H41" s="4" t="str">
        <x:f>IF(I41="Not started","Not started",IF(I41="Blocked","Blocked",IF(I41="In progress","In progress",IF(J41&lt;&gt;"Passed","Awaiting code review",IF(OR(K41="",NOT(ISNUMBER(L41))),"Awaiting review evidence",IF(N41&lt;&gt;"Passed","Awaiting test",IF(OR(M41="",O41="",NOT(ISNUMBER(P41))),"Awaiting test evidence","Complete")))))))</x:f>
        <x:v>Not started</x:v>
      </x:c>
      <x:c r="I41" s="10" t="inlineStr">
        <x:is>
          <x:t xml:space="preserve">Not started</x:t>
        </x:is>
      </x:c>
      <x:c r="J41" s="10" t="inlineStr">
        <x:is>
          <x:t xml:space="preserve">Not reviewed</x:t>
        </x:is>
      </x:c>
      <x:c r="K41" s="10" t="n"/>
      <x:c r="L41" s="30" t="n"/>
      <x:c r="M41" s="10" t="n"/>
      <x:c r="N41" s="10" t="inlineStr">
        <x:is>
          <x:t xml:space="preserve">Not tested</x:t>
        </x:is>
      </x:c>
      <x:c r="O41" s="10" t="n"/>
      <x:c r="P41" s="30" t="n"/>
      <x:c r="Q41" s="10" t="n"/>
      <x:c r="R41" s="10" t="str">
        <x: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1" s="10" t="n"/>
    </x:row>
    <x:row r="42" ht="105" customHeight="1">
      <x:c r="A42" s="9" t="n">
        <x:v>38</x:v>
      </x:c>
      <x:c r="B42" s="9" t="inlineStr">
        <x:is>
          <x:t xml:space="preserve">FB-040</x:t>
        </x:is>
      </x:c>
      <x:c r="C42" s="9" t="inlineStr">
        <x:is>
          <x:t xml:space="preserve">Products</x:t>
        </x:is>
      </x:c>
      <x:c r="D42" s="9" t="str">
        <x:v>Add search by product name or tag name</x:v>
      </x:c>
      <x:c r="E42" s="9" t="str">
        <x:v>Search product names OR attached tag names across full catalogue before pagination. Halal finds products attached to Halal tag. Case-insensitive partial matching; avoid duplicate product rows for multiple matching tags; clear/no-result checks and combine with separate filters. Product-code search remains deferred to post-catalogue decision FB-035.</x:v>
      </x:c>
      <x:c r="F42" s="9" t="inlineStr">
        <x:is>
          <x:t xml:space="preserve">FB-039</x:t>
        </x:is>
      </x:c>
      <x:c r="G42" s="9" t="str">
        <x:f>IF(H42="Complete","Complete",IF(I42="Blocked","Blocked",IF(I42="In progress","Ready",IF(F42="","Ready",IF(COUNTIFS($B$4:$B$73,F42,$H$4:$H$73,"Complete")=1,"Ready","Waiting")))))</x:f>
        <x:v>Waiting</x:v>
      </x:c>
      <x:c r="H42" s="9" t="str">
        <x:f>IF(I42="Not started","Not started",IF(I42="Blocked","Blocked",IF(I42="In progress","In progress",IF(J42&lt;&gt;"Passed","Awaiting code review",IF(OR(K42="",NOT(ISNUMBER(L42))),"Awaiting review evidence",IF(N42&lt;&gt;"Passed","Awaiting test",IF(OR(M42="",O42="",NOT(ISNUMBER(P42))),"Awaiting test evidence","Complete")))))))</x:f>
        <x:v>Not started</x:v>
      </x:c>
      <x:c r="I42" s="11" t="inlineStr">
        <x:is>
          <x:t xml:space="preserve">Not started</x:t>
        </x:is>
      </x:c>
      <x:c r="J42" s="11" t="inlineStr">
        <x:is>
          <x:t xml:space="preserve">Not reviewed</x:t>
        </x:is>
      </x:c>
      <x:c r="K42" s="11" t="n"/>
      <x:c r="L42" s="31" t="n"/>
      <x:c r="M42" s="11" t="n"/>
      <x:c r="N42" s="11" t="inlineStr">
        <x:is>
          <x:t xml:space="preserve">Not tested</x:t>
        </x:is>
      </x:c>
      <x:c r="O42" s="11" t="n"/>
      <x:c r="P42" s="31" t="n"/>
      <x:c r="Q42" s="11" t="n"/>
      <x:c r="R42" s="11" t="str">
        <x: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2" s="11" t="n"/>
    </x:row>
    <x:row r="43" ht="105" customHeight="1">
      <x:c r="A43" s="4" t="n">
        <x:v>39</x:v>
      </x:c>
      <x:c r="B43" s="4" t="inlineStr">
        <x:is>
          <x:t xml:space="preserve">FB-041</x:t>
        </x:is>
      </x:c>
      <x:c r="C43" s="4" t="inlineStr">
        <x:is>
          <x:t xml:space="preserve">Products</x:t>
        </x:is>
      </x:c>
      <x:c r="D43" s="4" t="inlineStr">
        <x:is>
          <x:t xml:space="preserve">Add the department filter</x:t>
        </x:is>
      </x:c>
      <x:c r="E43" s="4" t="inlineStr">
        <x:is>
          <x:t xml:space="preserve">Filter by department alone and with search. Explain selected state and request values; do not introduce remaining filters yet.</x:t>
        </x:is>
      </x:c>
      <x:c r="F43" s="4" t="inlineStr">
        <x:is>
          <x:t xml:space="preserve">FB-040</x:t>
        </x:is>
      </x:c>
      <x:c r="G43" s="4" t="str">
        <x:f>IF(H43="Complete","Complete",IF(I43="Blocked","Blocked",IF(I43="In progress","Ready",IF(F43="","Ready",IF(COUNTIFS($B$4:$B$73,F43,$H$4:$H$73,"Complete")=1,"Ready","Waiting")))))</x:f>
        <x:v>Waiting</x:v>
      </x:c>
      <x:c r="H43" s="4" t="str">
        <x:f>IF(I43="Not started","Not started",IF(I43="Blocked","Blocked",IF(I43="In progress","In progress",IF(J43&lt;&gt;"Passed","Awaiting code review",IF(OR(K43="",NOT(ISNUMBER(L43))),"Awaiting review evidence",IF(N43&lt;&gt;"Passed","Awaiting test",IF(OR(M43="",O43="",NOT(ISNUMBER(P43))),"Awaiting test evidence","Complete")))))))</x:f>
        <x:v>Not started</x:v>
      </x:c>
      <x:c r="I43" s="10" t="inlineStr">
        <x:is>
          <x:t xml:space="preserve">Not started</x:t>
        </x:is>
      </x:c>
      <x:c r="J43" s="10" t="inlineStr">
        <x:is>
          <x:t xml:space="preserve">Not reviewed</x:t>
        </x:is>
      </x:c>
      <x:c r="K43" s="10" t="n"/>
      <x:c r="L43" s="30" t="n"/>
      <x:c r="M43" s="10" t="n"/>
      <x:c r="N43" s="10" t="inlineStr">
        <x:is>
          <x:t xml:space="preserve">Not tested</x:t>
        </x:is>
      </x:c>
      <x:c r="O43" s="10" t="n"/>
      <x:c r="P43" s="30" t="n"/>
      <x:c r="Q43" s="10" t="n"/>
      <x:c r="R43" s="10" t="str">
        <x: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3" s="10" t="n"/>
    </x:row>
    <x:row r="44" ht="105" customHeight="1">
      <x:c r="A44" s="9" t="n">
        <x:v>40</x:v>
      </x:c>
      <x:c r="B44" s="9" t="inlineStr">
        <x:is>
          <x:t xml:space="preserve">FB-042</x:t>
        </x:is>
      </x:c>
      <x:c r="C44" s="9" t="inlineStr">
        <x:is>
          <x:t xml:space="preserve">Products</x:t>
        </x:is>
      </x:c>
      <x:c r="D44" s="9" t="inlineStr">
        <x:is>
          <x:t xml:space="preserve">Add the category filter</x:t>
        </x:is>
      </x:c>
      <x:c r="E44" s="9" t="inlineStr">
        <x:is>
          <x:t xml:space="preserve">Filter by category and combine with department/search; changing parent must not leave incompatible selections.</x:t>
        </x:is>
      </x:c>
      <x:c r="F44" s="9" t="inlineStr">
        <x:is>
          <x:t xml:space="preserve">FB-041</x:t>
        </x:is>
      </x:c>
      <x:c r="G44" s="9" t="str">
        <x:f>IF(H44="Complete","Complete",IF(I44="Blocked","Blocked",IF(I44="In progress","Ready",IF(F44="","Ready",IF(COUNTIFS($B$4:$B$73,F44,$H$4:$H$73,"Complete")=1,"Ready","Waiting")))))</x:f>
        <x:v>Waiting</x:v>
      </x:c>
      <x:c r="H44" s="9" t="str">
        <x:f>IF(I44="Not started","Not started",IF(I44="Blocked","Blocked",IF(I44="In progress","In progress",IF(J44&lt;&gt;"Passed","Awaiting code review",IF(OR(K44="",NOT(ISNUMBER(L44))),"Awaiting review evidence",IF(N44&lt;&gt;"Passed","Awaiting test",IF(OR(M44="",O44="",NOT(ISNUMBER(P44))),"Awaiting test evidence","Complete")))))))</x:f>
        <x:v>Not started</x:v>
      </x:c>
      <x:c r="I44" s="11" t="inlineStr">
        <x:is>
          <x:t xml:space="preserve">Not started</x:t>
        </x:is>
      </x:c>
      <x:c r="J44" s="11" t="inlineStr">
        <x:is>
          <x:t xml:space="preserve">Not reviewed</x:t>
        </x:is>
      </x:c>
      <x:c r="K44" s="11" t="n"/>
      <x:c r="L44" s="31" t="n"/>
      <x:c r="M44" s="11" t="n"/>
      <x:c r="N44" s="11" t="inlineStr">
        <x:is>
          <x:t xml:space="preserve">Not tested</x:t>
        </x:is>
      </x:c>
      <x:c r="O44" s="11" t="n"/>
      <x:c r="P44" s="31" t="n"/>
      <x:c r="Q44" s="11" t="n"/>
      <x:c r="R44" s="11" t="str">
        <x: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4" s="11" t="n"/>
    </x:row>
    <x:row r="45" ht="105" customHeight="1">
      <x:c r="A45" s="4" t="n">
        <x:v>41</x:v>
      </x:c>
      <x:c r="B45" s="4" t="inlineStr">
        <x:is>
          <x:t xml:space="preserve">FB-043</x:t>
        </x:is>
      </x:c>
      <x:c r="C45" s="4" t="inlineStr">
        <x:is>
          <x:t xml:space="preserve">Products</x:t>
        </x:is>
      </x:c>
      <x:c r="D45" s="4" t="inlineStr">
        <x:is>
          <x:t xml:space="preserve">Add the subcategory filter</x:t>
        </x:is>
      </x:c>
      <x:c r="E45" s="4" t="inlineStr">
        <x:is>
          <x:t xml:space="preserve">Filter by subcategory alongside existing selections; verify full path and no skipped/contradictory parent selection.</x:t>
        </x:is>
      </x:c>
      <x:c r="F45" s="4" t="inlineStr">
        <x:is>
          <x:t xml:space="preserve">FB-042</x:t>
        </x:is>
      </x:c>
      <x:c r="G45" s="4" t="str">
        <x:f>IF(H45="Complete","Complete",IF(I45="Blocked","Blocked",IF(I45="In progress","Ready",IF(F45="","Ready",IF(COUNTIFS($B$4:$B$73,F45,$H$4:$H$73,"Complete")=1,"Ready","Waiting")))))</x:f>
        <x:v>Waiting</x:v>
      </x:c>
      <x:c r="H45" s="4" t="str">
        <x:f>IF(I45="Not started","Not started",IF(I45="Blocked","Blocked",IF(I45="In progress","In progress",IF(J45&lt;&gt;"Passed","Awaiting code review",IF(OR(K45="",NOT(ISNUMBER(L45))),"Awaiting review evidence",IF(N45&lt;&gt;"Passed","Awaiting test",IF(OR(M45="",O45="",NOT(ISNUMBER(P45))),"Awaiting test evidence","Complete")))))))</x:f>
        <x:v>Not started</x:v>
      </x:c>
      <x:c r="I45" s="10" t="inlineStr">
        <x:is>
          <x:t xml:space="preserve">Not started</x:t>
        </x:is>
      </x:c>
      <x:c r="J45" s="10" t="inlineStr">
        <x:is>
          <x:t xml:space="preserve">Not reviewed</x:t>
        </x:is>
      </x:c>
      <x:c r="K45" s="10" t="n"/>
      <x:c r="L45" s="30" t="n"/>
      <x:c r="M45" s="10" t="n"/>
      <x:c r="N45" s="10" t="inlineStr">
        <x:is>
          <x:t xml:space="preserve">Not tested</x:t>
        </x:is>
      </x:c>
      <x:c r="O45" s="10" t="n"/>
      <x:c r="P45" s="30" t="n"/>
      <x:c r="Q45" s="10" t="n"/>
      <x:c r="R45" s="10" t="str">
        <x: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5" s="10" t="n"/>
    </x:row>
    <x:row r="46" ht="105" customHeight="1">
      <x:c r="A46" s="9" t="n">
        <x:v>42</x:v>
      </x:c>
      <x:c r="B46" s="9" t="inlineStr">
        <x:is>
          <x:t xml:space="preserve">FB-044</x:t>
        </x:is>
      </x:c>
      <x:c r="C46" s="9" t="inlineStr">
        <x:is>
          <x:t xml:space="preserve">Products</x:t>
        </x:is>
      </x:c>
      <x:c r="D46" s="9" t="inlineStr">
        <x:is>
          <x:t xml:space="preserve">Add the tag filter</x:t>
        </x:is>
      </x:c>
      <x:c r="E46" s="9" t="inlineStr">
        <x:is>
          <x:t xml:space="preserve">Show products with the selected shared tag; combine with prior filters and search. Untagged products remain visible when tag filter is cleared.</x:t>
        </x:is>
      </x:c>
      <x:c r="F46" s="9" t="inlineStr">
        <x:is>
          <x:t xml:space="preserve">FB-043</x:t>
        </x:is>
      </x:c>
      <x:c r="G46" s="9" t="str">
        <x:f>IF(H46="Complete","Complete",IF(I46="Blocked","Blocked",IF(I46="In progress","Ready",IF(F46="","Ready",IF(COUNTIFS($B$4:$B$73,F46,$H$4:$H$73,"Complete")=1,"Ready","Waiting")))))</x:f>
        <x:v>Waiting</x:v>
      </x:c>
      <x:c r="H46" s="9" t="str">
        <x:f>IF(I46="Not started","Not started",IF(I46="Blocked","Blocked",IF(I46="In progress","In progress",IF(J46&lt;&gt;"Passed","Awaiting code review",IF(OR(K46="",NOT(ISNUMBER(L46))),"Awaiting review evidence",IF(N46&lt;&gt;"Passed","Awaiting test",IF(OR(M46="",O46="",NOT(ISNUMBER(P46))),"Awaiting test evidence","Complete")))))))</x:f>
        <x:v>Not started</x:v>
      </x:c>
      <x:c r="I46" s="11" t="inlineStr">
        <x:is>
          <x:t xml:space="preserve">Not started</x:t>
        </x:is>
      </x:c>
      <x:c r="J46" s="11" t="inlineStr">
        <x:is>
          <x:t xml:space="preserve">Not reviewed</x:t>
        </x:is>
      </x:c>
      <x:c r="K46" s="11" t="n"/>
      <x:c r="L46" s="31" t="n"/>
      <x:c r="M46" s="11" t="n"/>
      <x:c r="N46" s="11" t="inlineStr">
        <x:is>
          <x:t xml:space="preserve">Not tested</x:t>
        </x:is>
      </x:c>
      <x:c r="O46" s="11" t="n"/>
      <x:c r="P46" s="31" t="n"/>
      <x:c r="Q46" s="11" t="n"/>
      <x:c r="R46" s="11" t="str">
        <x: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6" s="11" t="n"/>
    </x:row>
    <x:row r="47" ht="105" customHeight="1">
      <x:c r="A47" s="4" t="n">
        <x:v>43</x:v>
      </x:c>
      <x:c r="B47" s="4" t="inlineStr">
        <x:is>
          <x:t xml:space="preserve">FB-045</x:t>
        </x:is>
      </x:c>
      <x:c r="C47" s="4" t="inlineStr">
        <x:is>
          <x:t xml:space="preserve">Products</x:t>
        </x:is>
      </x:c>
      <x:c r="D47" s="4" t="inlineStr">
        <x:is>
          <x:t xml:space="preserve">Add the product status filter</x:t>
        </x:is>
      </x:c>
      <x:c r="E47" s="4" t="inlineStr">
        <x:is>
          <x:t xml:space="preserve">All/Active/Inactive works with existing filters. General product list may show inactive/zero-stock products; distribution picker later has stricter rules.</x:t>
        </x:is>
      </x:c>
      <x:c r="F47" s="4" t="inlineStr">
        <x:is>
          <x:t xml:space="preserve">FB-044</x:t>
        </x:is>
      </x:c>
      <x:c r="G47" s="4" t="str">
        <x:f>IF(H47="Complete","Complete",IF(I47="Blocked","Blocked",IF(I47="In progress","Ready",IF(F47="","Ready",IF(COUNTIFS($B$4:$B$73,F47,$H$4:$H$73,"Complete")=1,"Ready","Waiting")))))</x:f>
        <x:v>Waiting</x:v>
      </x:c>
      <x:c r="H47" s="4" t="str">
        <x:f>IF(I47="Not started","Not started",IF(I47="Blocked","Blocked",IF(I47="In progress","In progress",IF(J47&lt;&gt;"Passed","Awaiting code review",IF(OR(K47="",NOT(ISNUMBER(L47))),"Awaiting review evidence",IF(N47&lt;&gt;"Passed","Awaiting test",IF(OR(M47="",O47="",NOT(ISNUMBER(P47))),"Awaiting test evidence","Complete")))))))</x:f>
        <x:v>Not started</x:v>
      </x:c>
      <x:c r="I47" s="10" t="inlineStr">
        <x:is>
          <x:t xml:space="preserve">Not started</x:t>
        </x:is>
      </x:c>
      <x:c r="J47" s="10" t="inlineStr">
        <x:is>
          <x:t xml:space="preserve">Not reviewed</x:t>
        </x:is>
      </x:c>
      <x:c r="K47" s="10" t="n"/>
      <x:c r="L47" s="30" t="n"/>
      <x:c r="M47" s="10" t="n"/>
      <x:c r="N47" s="10" t="inlineStr">
        <x:is>
          <x:t xml:space="preserve">Not tested</x:t>
        </x:is>
      </x:c>
      <x:c r="O47" s="10" t="n"/>
      <x:c r="P47" s="30" t="n"/>
      <x:c r="Q47" s="10" t="n"/>
      <x:c r="R47" s="10" t="str">
        <x: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7" s="10" t="n"/>
    </x:row>
    <x:row r="48" ht="105" customHeight="1">
      <x:c r="A48" s="9" t="n">
        <x:v>44</x:v>
      </x:c>
      <x:c r="B48" s="9" t="inlineStr">
        <x:is>
          <x:t xml:space="preserve">FB-046</x:t>
        </x:is>
      </x:c>
      <x:c r="C48" s="9" t="inlineStr">
        <x:is>
          <x:t xml:space="preserve">Products</x:t>
        </x:is>
      </x:c>
      <x:c r="D48" s="9" t="inlineStr">
        <x:is>
          <x:t xml:space="preserve">Paginate and verify the full product list</x:t>
        </x:is>
      </x:c>
      <x:c r="E48" s="9" t="inlineStr">
        <x:is>
          <x:t xml:space="preserve">10 products per page after all search/filters. Preserve selections across pages; all roles may list/search/filter. Verify combinations and boundary/empty pages.</x:t>
        </x:is>
      </x:c>
      <x:c r="F48" s="9" t="inlineStr">
        <x:is>
          <x:t xml:space="preserve">FB-045</x:t>
        </x:is>
      </x:c>
      <x:c r="G48" s="9" t="str">
        <x:f>IF(H48="Complete","Complete",IF(I48="Blocked","Blocked",IF(I48="In progress","Ready",IF(F48="","Ready",IF(COUNTIFS($B$4:$B$73,F48,$H$4:$H$73,"Complete")=1,"Ready","Waiting")))))</x:f>
        <x:v>Waiting</x:v>
      </x:c>
      <x:c r="H48" s="9" t="str">
        <x:f>IF(I48="Not started","Not started",IF(I48="Blocked","Blocked",IF(I48="In progress","In progress",IF(J48&lt;&gt;"Passed","Awaiting code review",IF(OR(K48="",NOT(ISNUMBER(L48))),"Awaiting review evidence",IF(N48&lt;&gt;"Passed","Awaiting test",IF(OR(M48="",O48="",NOT(ISNUMBER(P48))),"Awaiting test evidence","Complete")))))))</x:f>
        <x:v>Not started</x:v>
      </x:c>
      <x:c r="I48" s="11" t="inlineStr">
        <x:is>
          <x:t xml:space="preserve">Not started</x:t>
        </x:is>
      </x:c>
      <x:c r="J48" s="11" t="inlineStr">
        <x:is>
          <x:t xml:space="preserve">Not reviewed</x:t>
        </x:is>
      </x:c>
      <x:c r="K48" s="11" t="n"/>
      <x:c r="L48" s="31" t="n"/>
      <x:c r="M48" s="11" t="n"/>
      <x:c r="N48" s="11" t="inlineStr">
        <x:is>
          <x:t xml:space="preserve">Not tested</x:t>
        </x:is>
      </x:c>
      <x:c r="O48" s="11" t="n"/>
      <x:c r="P48" s="31" t="n"/>
      <x:c r="Q48" s="11" t="n"/>
      <x:c r="R48" s="11" t="str">
        <x:v>Before starting this item or feature: reread AGENTS.md from disk; apply its teaching and testing rules.
Next: Start this item after the previous item is complete.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48" s="11" t="n"/>
    </x:row>
    <x:row r="49" ht="105" customHeight="1">
      <x:c r="A49" s="4" t="n">
        <x:v>45</x:v>
      </x:c>
      <x:c r="B49" s="4" t="inlineStr">
        <x:is>
          <x:t xml:space="preserve">FB-047</x:t>
        </x:is>
      </x:c>
      <x:c r="C49" s="4" t="inlineStr">
        <x:is>
          <x:t xml:space="preserve">Products</x:t>
        </x:is>
      </x:c>
      <x:c r="D49" s="4" t="inlineStr">
        <x:is>
          <x:t xml:space="preserve">Edit catalogue product details</x:t>
        </x:is>
      </x:c>
      <x:c r="E49" s="4" t="str">
        <x:v>Managers/Super Admin edit catalogue fields with duplicate checks. No code, packaging or stock fields. Stock-related classification constraints remain for the post-catalogue design checkpoint.</x:v>
      </x:c>
      <x:c r="F49" s="4" t="inlineStr">
        <x:is>
          <x:t xml:space="preserve">FB-046</x:t>
        </x:is>
      </x:c>
      <x:c r="G49" s="4" t="str">
        <x:f>IF(H49="Complete","Complete",IF(I49="Blocked","Blocked",IF(I49="In progress","Ready",IF(F49="","Ready",IF(COUNTIFS($B$4:$B$73,F49,$H$4:$H$73,"Complete")=1,"Ready","Waiting")))))</x:f>
        <x:v>Waiting</x:v>
      </x:c>
      <x:c r="H49" s="4" t="str">
        <x:f>IF(I49="Not started","Not started",IF(I49="Blocked","Blocked",IF(I49="In progress","In progress",IF(J49&lt;&gt;"Passed","Awaiting code review",IF(OR(K49="",NOT(ISNUMBER(L49))),"Awaiting review evidence",IF(N49&lt;&gt;"Passed","Awaiting test",IF(OR(M49="",O49="",NOT(ISNUMBER(P49))),"Awaiting test evidence","Complete")))))))</x:f>
        <x:v>Not started</x:v>
      </x:c>
      <x:c r="I49" s="10" t="inlineStr">
        <x:is>
          <x:t xml:space="preserve">Not started</x:t>
        </x:is>
      </x:c>
      <x:c r="J49" s="10" t="inlineStr">
        <x:is>
          <x:t xml:space="preserve">Not reviewed</x:t>
        </x:is>
      </x:c>
      <x:c r="K49" s="10" t="n"/>
      <x:c r="L49" s="30" t="n"/>
      <x:c r="M49" s="10" t="n"/>
      <x:c r="N49" s="10" t="inlineStr">
        <x:is>
          <x:t xml:space="preserve">Not tested</x:t>
        </x:is>
      </x:c>
      <x:c r="O49" s="10" t="n"/>
      <x:c r="P49" s="30" t="n"/>
      <x:c r="Q49" s="10" t="n"/>
      <x:c r="R49" s="10" t="str">
        <x: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When adding Product edits later, preserve same duplicate identity semantics and serialize conflicting creates/edits on affected Subcategory records; current CreateProduct action is verified for creation, not future concurrent edit workflows.</x:v>
      </x:c>
      <x:c r="S49" s="10" t="n"/>
    </x:row>
    <x:row r="50" ht="105" customHeight="1">
      <x:c r="A50" s="9" t="n">
        <x:v>46</x:v>
      </x:c>
      <x:c r="B50" s="9" t="inlineStr">
        <x:is>
          <x:t xml:space="preserve">FB-048</x:t>
        </x:is>
      </x:c>
      <x:c r="C50" s="9" t="inlineStr">
        <x:is>
          <x:t xml:space="preserve">Products</x:t>
        </x:is>
      </x:c>
      <x:c r="D50" s="9" t="inlineStr">
        <x:is>
          <x:t xml:space="preserve">Activate/deactivate products and manage tag removal</x:t>
        </x:is>
      </x:c>
      <x:c r="E50" s="9" t="inlineStr">
        <x:is>
          <x:t xml:space="preserve">Deactivate only when Stock Management reports no remaining stock across product records. Server checks, generic blocked message without numbers/sizes. Reactivation and optional tag removal; shared tag deletion only if unused including inactive products. Verify nonzero check after stock setup at FB-053.</x:t>
        </x:is>
      </x:c>
      <x:c r="F50" s="9" t="inlineStr">
        <x:is>
          <x:t xml:space="preserve">FB-047</x:t>
        </x:is>
      </x:c>
      <x:c r="G50" s="9" t="str">
        <x:f>IF(H50="Complete","Complete",IF(I50="Blocked","Blocked",IF(I50="In progress","Ready",IF(F50="","Ready",IF(COUNTIFS($B$4:$B$73,F50,$H$4:$H$73,"Complete")=1,"Ready","Waiting")))))</x:f>
        <x:v>Waiting</x:v>
      </x:c>
      <x:c r="H50" s="9" t="str">
        <x:f>IF(I50="Not started","Not started",IF(I50="Blocked","Blocked",IF(I50="In progress","In progress",IF(J50&lt;&gt;"Passed","Awaiting code review",IF(OR(K50="",NOT(ISNUMBER(L50))),"Awaiting review evidence",IF(N50&lt;&gt;"Passed","Awaiting test",IF(OR(M50="",O50="",NOT(ISNUMBER(P50))),"Awaiting test evidence","Complete")))))))</x:f>
        <x:v>Not started</x:v>
      </x:c>
      <x:c r="I50" s="11" t="inlineStr">
        <x:is>
          <x:t xml:space="preserve">Not started</x:t>
        </x:is>
      </x:c>
      <x:c r="J50" s="11" t="inlineStr">
        <x:is>
          <x:t xml:space="preserve">Not reviewed</x:t>
        </x:is>
      </x:c>
      <x:c r="K50" s="11" t="n"/>
      <x:c r="L50" s="31" t="n"/>
      <x:c r="M50" s="11" t="n"/>
      <x:c r="N50" s="11" t="inlineStr">
        <x:is>
          <x:t xml:space="preserve">Not tested</x:t>
        </x:is>
      </x:c>
      <x:c r="O50" s="11" t="n"/>
      <x:c r="P50" s="31" t="n"/>
      <x:c r="Q50" s="11" t="n"/>
      <x:c r="R50" s="11" t="str">
        <x: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50" s="11" t="n"/>
    </x:row>
    <x:row r="51" ht="105" customHeight="1">
      <x:c r="A51" s="4" t="n">
        <x:v>47</x:v>
      </x:c>
      <x:c r="B51" s="4" t="inlineStr">
        <x:is>
          <x:t xml:space="preserve">FB-067</x:t>
        </x:is>
      </x:c>
      <x:c r="C51" s="4" t="inlineStr">
        <x:is>
          <x:t xml:space="preserve">Verification</x:t>
        </x:is>
      </x:c>
      <x:c r="D51" s="4" t="inlineStr">
        <x:is>
          <x:t xml:space="preserve">Verify completed Product Catalogue before Stock Management</x:t>
        </x:is>
      </x:c>
      <x:c r="E51" s="4" t="str">
        <x:v>Review/test hierarchy/tags/product identity, duplicate/required fields, name search, filters/pagination, responsive views and permissions. No product-code requirement in this phase. Verify no sizes/units/quantities/history/totals appear. Stock integration/deactivation checks remain at FB-053. Next discuss whether codes are needed at FB-035 before Stock Management FB-034.</x:v>
      </x:c>
      <x:c r="F51" s="4" t="inlineStr">
        <x:is>
          <x:t xml:space="preserve">FB-048</x:t>
        </x:is>
      </x:c>
      <x:c r="G51" s="4" t="str">
        <x:f>IF(H51="Complete","Complete",IF(I51="Blocked","Blocked",IF(I51="In progress","Ready",IF(F51="","Ready",IF(COUNTIFS($B$4:$B$73,F51,$H$4:$H$73,"Complete")=1,"Ready","Waiting")))))</x:f>
        <x:v>Waiting</x:v>
      </x:c>
      <x:c r="H51" s="4" t="str">
        <x:f>IF(I51="Not started","Not started",IF(I51="Blocked","Blocked",IF(I51="In progress","In progress",IF(J51&lt;&gt;"Passed","Awaiting code review",IF(OR(K51="",NOT(ISNUMBER(L51))),"Awaiting review evidence",IF(N51&lt;&gt;"Passed","Awaiting test",IF(OR(M51="",O51="",NOT(ISNUMBER(P51))),"Awaiting test evidence","Complete")))))))</x:f>
        <x:v>Not started</x:v>
      </x:c>
      <x:c r="I51" s="10" t="inlineStr">
        <x:is>
          <x:t xml:space="preserve">Not started</x:t>
        </x:is>
      </x:c>
      <x:c r="J51" s="10" t="inlineStr">
        <x:is>
          <x:t xml:space="preserve">Not reviewed</x:t>
        </x:is>
      </x:c>
      <x:c r="K51" s="10" t="n"/>
      <x:c r="L51" s="30" t="n"/>
      <x:c r="M51" s="10" t="n"/>
      <x:c r="N51" s="10" t="inlineStr">
        <x:is>
          <x:t xml:space="preserve">Not tested</x:t>
        </x:is>
      </x:c>
      <x:c r="O51" s="10" t="n"/>
      <x:c r="P51" s="30" t="n"/>
      <x:c r="Q51" s="10" t="n"/>
      <x:c r="R51" s="10" t="str">
        <x:v>Before starting/resuming this item or feature: reread AGENTS.md from disk; apply teaching/testing rules. Follow revised module separation and dependencies; implement only this item’s approved scope in small lessons. Record source review and developer-first/delegated test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51" s="10" t="n"/>
    </x:row>
    <x:row r="52" ht="105" customHeight="1">
      <x:c r="A52" s="9" t="n">
        <x:v>49</x:v>
      </x:c>
      <x:c r="B52" s="9" t="inlineStr">
        <x:is>
          <x:t xml:space="preserve">FB-034</x:t>
        </x:is>
      </x:c>
      <x:c r="C52" s="9" t="inlineStr">
        <x:is>
          <x:t xml:space="preserve">Stock Management</x:t>
        </x:is>
      </x:c>
      <x:c r="D52" s="9" t="inlineStr">
        <x:is>
          <x:t xml:space="preserve">Build reusable package sizes and product stock items</x:t>
        </x:is>
      </x:c>
      <x:c r="E52" s="9" t="inlineStr">
        <x:is>
          <x:t xml:space="preserve">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 Build and verify package definitions first, then stock_items connected to existing catalogue Products before Receive; preserve module order and review/testing evidence.</x:t>
        </x:is>
      </x:c>
      <x:c r="F52" s="9" t="str">
        <x:v>FB-035</x:v>
      </x:c>
      <x:c r="G52" s="9" t="str">
        <x:f>IF(H52="Complete","Complete",IF(I52="Blocked","Blocked",IF(I52="In progress","Ready",IF(F52="","Ready",IF(COUNTIFS($B$4:$B$73,F52,$H$4:$H$73,"Complete")=1,"Ready","Waiting")))))</x:f>
        <x:v>Waiting</x:v>
      </x:c>
      <x:c r="H52" s="9" t="str">
        <x:f>IF(I52="Not started","Not started",IF(I52="Blocked","Blocked",IF(I52="In progress","In progress",IF(J52&lt;&gt;"Passed","Awaiting code review",IF(OR(K52="",NOT(ISNUMBER(L52))),"Awaiting review evidence",IF(N52&lt;&gt;"Passed","Awaiting test",IF(OR(M52="",O52="",NOT(ISNUMBER(P52))),"Awaiting test evidence","Complete")))))))</x:f>
        <x:v>Not started</x:v>
      </x:c>
      <x:c r="I52" s="11" t="inlineStr">
        <x:is>
          <x:t xml:space="preserve">Not started</x:t>
        </x:is>
      </x:c>
      <x:c r="J52" s="11" t="inlineStr">
        <x:is>
          <x:t xml:space="preserve">Not reviewed</x:t>
        </x:is>
      </x:c>
      <x:c r="K52" s="11" t="n"/>
      <x:c r="L52" s="31" t="n"/>
      <x:c r="M52" s="11" t="n"/>
      <x:c r="N52" s="11" t="inlineStr">
        <x:is>
          <x:t xml:space="preserve">Not tested</x:t>
        </x:is>
      </x:c>
      <x:c r="O52" s="11" t="n"/>
      <x:c r="P52" s="31" t="n"/>
      <x:c r="Q52" s="11" t="inlineStr">
        <x:is>
          <x:t xml:space="preserve">
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x:t>
        </x:is>
      </x:c>
      <x:c r="R52" s="11" t="str">
        <x:v>Before starting/resuming this item or feature: reread AGENTS.md from disk; apply teaching/testing rules. Read shared package-size requirement; first settle package-management permissions and remaining summary/classification details, then teach package definitions and product/package stock_items in dependency order after FB-067. Approval is planning only; no implementation or completion evidence.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52" s="11" t="n"/>
    </x:row>
    <x:row r="53" ht="105" customHeight="1">
      <x:c r="A53" s="9" t="n">
        <x:v>50</x:v>
      </x:c>
      <x:c r="B53" s="9" t="inlineStr">
        <x:is>
          <x:t xml:space="preserve">FB-049</x:t>
        </x:is>
      </x:c>
      <x:c r="C53" s="9" t="inlineStr">
        <x:is>
          <x:t xml:space="preserve">Receive</x:t>
        </x:is>
      </x:c>
      <x:c r="D53" s="9" t="inlineStr">
        <x:is>
          <x:t xml:space="preserve">Display and lay out a multi-product Receive form</x:t>
        </x:is>
      </x:c>
      <x:c r="E53" s="9" t="inlineStr">
        <x:is>
          <x:t xml:space="preserve">All three roles may receive active products, including zero-stock products. Show saved package size; quantities are whole packages; one optional note for whole entry. Teach one row before multiple rows.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3" s="9" t="inlineStr">
        <x:is>
          <x:t xml:space="preserve">FB-034</x:t>
        </x:is>
      </x:c>
      <x:c r="G53" s="9" t="str">
        <x:f>IF(H53="Complete","Complete",IF(I53="Blocked","Blocked",IF(I53="In progress","Ready",IF(F53="","Ready",IF(COUNTIFS($B$4:$B$73,F53,$H$4:$H$73,"Complete")=1,"Ready","Waiting")))))</x:f>
        <x:v>Waiting</x:v>
      </x:c>
      <x:c r="H53" s="9" t="str">
        <x:f>IF(I53="Not started","Not started",IF(I53="Blocked","Blocked",IF(I53="In progress","In progress",IF(J53&lt;&gt;"Passed","Awaiting code review",IF(OR(K53="",NOT(ISNUMBER(L53))),"Awaiting review evidence",IF(N53&lt;&gt;"Passed","Awaiting test",IF(OR(M53="",O53="",NOT(ISNUMBER(P53))),"Awaiting test evidence","Complete")))))))</x:f>
        <x:v>Not started</x:v>
      </x:c>
      <x:c r="I53" s="11" t="inlineStr">
        <x:is>
          <x:t xml:space="preserve">Not started</x:t>
        </x:is>
      </x:c>
      <x:c r="J53" s="11" t="inlineStr">
        <x:is>
          <x:t xml:space="preserve">Not reviewed</x:t>
        </x:is>
      </x:c>
      <x:c r="K53" s="11" t="n"/>
      <x:c r="L53" s="31" t="n"/>
      <x:c r="M53" s="11" t="n"/>
      <x:c r="N53" s="11" t="inlineStr">
        <x:is>
          <x:t xml:space="preserve">Not tested</x:t>
        </x:is>
      </x:c>
      <x:c r="O53" s="11" t="n"/>
      <x:c r="P53" s="31" t="n"/>
      <x:c r="Q53" s="11" t="n"/>
      <x:c r="R53"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3" s="11" t="n"/>
    </x:row>
    <x:row r="54" ht="105" customHeight="1">
      <x:c r="A54" s="4" t="n">
        <x:v>51</x:v>
      </x:c>
      <x:c r="B54" s="4" t="inlineStr">
        <x:is>
          <x:t xml:space="preserve">FB-050</x:t>
        </x:is>
      </x:c>
      <x:c r="C54" s="4" t="inlineStr">
        <x:is>
          <x:t xml:space="preserve">Receive</x:t>
        </x:is>
      </x:c>
      <x:c r="D54" s="4" t="inlineStr">
        <x:is>
          <x:t xml:space="preserve">Add reactive product rows and whole quantities</x:t>
        </x:is>
      </x:c>
      <x:c r="E54" s="4" t="inlineStr">
        <x:is>
          <x:t xml:space="preserve">Each product appears once; update its quantity instead of duplicate rows. Multiple different products allowed. Reject zero/negative/fractional quantities; unit choice is on product creation, not movements.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4" s="4" t="inlineStr">
        <x:is>
          <x:t xml:space="preserve">FB-049</x:t>
        </x:is>
      </x:c>
      <x:c r="G54" s="4" t="str">
        <x:f>IF(H54="Complete","Complete",IF(I54="Blocked","Blocked",IF(I54="In progress","Ready",IF(F54="","Ready",IF(COUNTIFS($B$4:$B$73,F54,$H$4:$H$73,"Complete")=1,"Ready","Waiting")))))</x:f>
        <x:v>Waiting</x:v>
      </x:c>
      <x:c r="H54" s="4" t="str">
        <x:f>IF(I54="Not started","Not started",IF(I54="Blocked","Blocked",IF(I54="In progress","In progress",IF(J54&lt;&gt;"Passed","Awaiting code review",IF(OR(K54="",NOT(ISNUMBER(L54))),"Awaiting review evidence",IF(N54&lt;&gt;"Passed","Awaiting test",IF(OR(M54="",O54="",NOT(ISNUMBER(P54))),"Awaiting test evidence","Complete")))))))</x:f>
        <x:v>Not started</x:v>
      </x:c>
      <x:c r="I54" s="10" t="inlineStr">
        <x:is>
          <x:t xml:space="preserve">Not started</x:t>
        </x:is>
      </x:c>
      <x:c r="J54" s="10" t="inlineStr">
        <x:is>
          <x:t xml:space="preserve">Not reviewed</x:t>
        </x:is>
      </x:c>
      <x:c r="K54" s="10" t="n"/>
      <x:c r="L54" s="30" t="n"/>
      <x:c r="M54" s="10" t="n"/>
      <x:c r="N54" s="10" t="inlineStr">
        <x:is>
          <x:t xml:space="preserve">Not tested</x:t>
        </x:is>
      </x:c>
      <x:c r="O54" s="10" t="n"/>
      <x:c r="P54" s="30" t="n"/>
      <x:c r="Q54" s="10" t="n"/>
      <x:c r="R54"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4" s="10" t="n"/>
    </x:row>
    <x:row r="55" ht="105" customHeight="1">
      <x:c r="A55" s="9" t="n">
        <x:v>52</x:v>
      </x:c>
      <x:c r="B55" s="9" t="inlineStr">
        <x:is>
          <x:t xml:space="preserve">FB-051</x:t>
        </x:is>
      </x:c>
      <x:c r="C55" s="9" t="inlineStr">
        <x:is>
          <x:t xml:space="preserve">Receive</x:t>
        </x:is>
      </x:c>
      <x:c r="D55" s="9" t="inlineStr">
        <x:is>
          <x:t xml:space="preserve">Save an entire receipt and record stock changes</x:t>
        </x:is>
      </x:c>
      <x:c r="E55" s="9" t="inlineStr">
        <x:is>
          <x:t xml:space="preserve">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5" s="9" t="inlineStr">
        <x:is>
          <x:t xml:space="preserve">FB-050</x:t>
        </x:is>
      </x:c>
      <x:c r="G55" s="9" t="str">
        <x:f>IF(H55="Complete","Complete",IF(I55="Blocked","Blocked",IF(I55="In progress","Ready",IF(F55="","Ready",IF(COUNTIFS($B$4:$B$73,F55,$H$4:$H$73,"Complete")=1,"Ready","Waiting")))))</x:f>
        <x:v>Waiting</x:v>
      </x:c>
      <x:c r="H55" s="9" t="str">
        <x:f>IF(I55="Not started","Not started",IF(I55="Blocked","Blocked",IF(I55="In progress","In progress",IF(J55&lt;&gt;"Passed","Awaiting code review",IF(OR(K55="",NOT(ISNUMBER(L55))),"Awaiting review evidence",IF(N55&lt;&gt;"Passed","Awaiting test",IF(OR(M55="",O55="",NOT(ISNUMBER(P55))),"Awaiting test evidence","Complete")))))))</x:f>
        <x:v>Not started</x:v>
      </x:c>
      <x:c r="I55" s="11" t="inlineStr">
        <x:is>
          <x:t xml:space="preserve">Not started</x:t>
        </x:is>
      </x:c>
      <x:c r="J55" s="11" t="inlineStr">
        <x:is>
          <x:t xml:space="preserve">Not reviewed</x:t>
        </x:is>
      </x:c>
      <x:c r="K55" s="11" t="n"/>
      <x:c r="L55" s="31" t="n"/>
      <x:c r="M55" s="11" t="n"/>
      <x:c r="N55" s="11" t="inlineStr">
        <x:is>
          <x:t xml:space="preserve">Not tested</x:t>
        </x:is>
      </x:c>
      <x:c r="O55" s="11" t="n"/>
      <x:c r="P55" s="31" t="n"/>
      <x:c r="Q55" s="11" t="n"/>
      <x:c r="R55"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5" s="11" t="n"/>
    </x:row>
    <x:row r="56" ht="105" customHeight="1">
      <x:c r="A56" s="4" t="n">
        <x:v>53</x:v>
      </x:c>
      <x:c r="B56" s="4" t="inlineStr">
        <x:is>
          <x:t xml:space="preserve">FB-052</x:t>
        </x:is>
      </x:c>
      <x:c r="C56" s="4" t="inlineStr">
        <x:is>
          <x:t xml:space="preserve">Receive</x:t>
        </x:is>
      </x:c>
      <x:c r="D56" s="4" t="inlineStr">
        <x:is>
          <x:t xml:space="preserve">Connect submission feedback and protect stock rules</x:t>
        </x:is>
      </x:c>
      <x:c r="E56" s="4" t="inlineStr">
        <x:is>
          <x:t xml:space="preserve">Show processing/errors/success; prevent repeated clicks while processing. Enforce active-account and movement permissions on server; opening stock uses Receive. Test a multiple-product receipt against actual balances.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6" s="4" t="inlineStr">
        <x:is>
          <x:t xml:space="preserve">FB-051</x:t>
        </x:is>
      </x:c>
      <x:c r="G56" s="4" t="str">
        <x:f>IF(H56="Complete","Complete",IF(I56="Blocked","Blocked",IF(I56="In progress","Ready",IF(F56="","Ready",IF(COUNTIFS($B$4:$B$73,F56,$H$4:$H$73,"Complete")=1,"Ready","Waiting")))))</x:f>
        <x:v>Waiting</x:v>
      </x:c>
      <x:c r="H56" s="4" t="str">
        <x:f>IF(I56="Not started","Not started",IF(I56="Blocked","Blocked",IF(I56="In progress","In progress",IF(J56&lt;&gt;"Passed","Awaiting code review",IF(OR(K56="",NOT(ISNUMBER(L56))),"Awaiting review evidence",IF(N56&lt;&gt;"Passed","Awaiting test",IF(OR(M56="",O56="",NOT(ISNUMBER(P56))),"Awaiting test evidence","Complete")))))))</x:f>
        <x:v>Not started</x:v>
      </x:c>
      <x:c r="I56" s="10" t="inlineStr">
        <x:is>
          <x:t xml:space="preserve">Not started</x:t>
        </x:is>
      </x:c>
      <x:c r="J56" s="10" t="inlineStr">
        <x:is>
          <x:t xml:space="preserve">Not reviewed</x:t>
        </x:is>
      </x:c>
      <x:c r="K56" s="10" t="n"/>
      <x:c r="L56" s="30" t="n"/>
      <x:c r="M56" s="10" t="n"/>
      <x:c r="N56" s="10" t="inlineStr">
        <x:is>
          <x:t xml:space="preserve">Not tested</x:t>
        </x:is>
      </x:c>
      <x:c r="O56" s="10" t="n"/>
      <x:c r="P56" s="30" t="n"/>
      <x:c r="Q56" s="10" t="n"/>
      <x:c r="R56"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6" s="10" t="n"/>
    </x:row>
    <x:row r="57" ht="105" customHeight="1">
      <x:c r="A57" s="9" t="n">
        <x:v>54</x:v>
      </x:c>
      <x:c r="B57" s="9" t="inlineStr">
        <x:is>
          <x:t xml:space="preserve">FB-053</x:t>
        </x:is>
      </x:c>
      <x:c r="C57" s="9" t="inlineStr">
        <x:is>
          <x:t xml:space="preserve">Receive</x:t>
        </x:is>
      </x:c>
      <x:c r="D57" s="9" t="inlineStr">
        <x:is>
          <x:t xml:space="preserve">Verify stock measurement locks and catalogue deactivation guard</x:t>
        </x:is>
      </x:c>
      <x:c r="E57" s="9" t="inlineStr">
        <x:is>
          <x:t xml:space="preserve">Enforce immutable stock package measurement after movements; summary-configuration locks within Stock Management. Catalogue deactivation blocked if any stock remains, without exposing size/quantity. Confirm classification constraints at stock design checkpoint before implementing. Verify direct-write safeguards. Shared-package design: movement rows target stock_item_id; balances/history are per stock item, not per package definition; duplicate entry rows checked by stock_item_id. Package definition immutable as soon as referenced. Preserve approved movement safeguards.</x:t>
        </x:is>
      </x:c>
      <x:c r="F57" s="9" t="inlineStr">
        <x:is>
          <x:t xml:space="preserve">FB-052</x:t>
        </x:is>
      </x:c>
      <x:c r="G57" s="9" t="str">
        <x:f>IF(H57="Complete","Complete",IF(I57="Blocked","Blocked",IF(I57="In progress","Ready",IF(F57="","Ready",IF(COUNTIFS($B$4:$B$73,F57,$H$4:$H$73,"Complete")=1,"Ready","Waiting")))))</x:f>
        <x:v>Waiting</x:v>
      </x:c>
      <x:c r="H57" s="9" t="str">
        <x:f>IF(I57="Not started","Not started",IF(I57="Blocked","Blocked",IF(I57="In progress","In progress",IF(J57&lt;&gt;"Passed","Awaiting code review",IF(OR(K57="",NOT(ISNUMBER(L57))),"Awaiting review evidence",IF(N57&lt;&gt;"Passed","Awaiting test",IF(OR(M57="",O57="",NOT(ISNUMBER(P57))),"Awaiting test evidence","Complete")))))))</x:f>
        <x:v>Not started</x:v>
      </x:c>
      <x:c r="I57" s="11" t="inlineStr">
        <x:is>
          <x:t xml:space="preserve">Not started</x:t>
        </x:is>
      </x:c>
      <x:c r="J57" s="11" t="inlineStr">
        <x:is>
          <x:t xml:space="preserve">Not reviewed</x:t>
        </x:is>
      </x:c>
      <x:c r="K57" s="11" t="n"/>
      <x:c r="L57" s="31" t="n"/>
      <x:c r="M57" s="11" t="n"/>
      <x:c r="N57" s="11" t="inlineStr">
        <x:is>
          <x:t xml:space="preserve">Not tested</x:t>
        </x:is>
      </x:c>
      <x:c r="O57" s="11" t="n"/>
      <x:c r="P57" s="31" t="n"/>
      <x:c r="Q57" s="11" t="n"/>
      <x:c r="R57"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7" s="11" t="n"/>
    </x:row>
    <x:row r="58" ht="105" customHeight="1">
      <x:c r="A58" s="4" t="n">
        <x:v>55</x:v>
      </x:c>
      <x:c r="B58" s="4" t="inlineStr">
        <x:is>
          <x:t xml:space="preserve">FB-054</x:t>
        </x:is>
      </x:c>
      <x:c r="C58" s="4" t="inlineStr">
        <x:is>
          <x:t xml:space="preserve">History</x:t>
        </x:is>
      </x:c>
      <x:c r="D58" s="4" t="inlineStr">
        <x:is>
          <x:t xml:space="preserve">Show stock movement history within Stock Management</x:t>
        </x:is>
      </x:c>
      <x:c r="E58" s="4" t="inlineStr">
        <x:is>
          <x:t xml:space="preserve">Managers/Super Admin only; type/quantity/time/result/recorder/receipt/household/reason. History absent from catalogue product detail. Volunteer direct history access denied. Shared-package design: movement rows target stock_item_id; balances/history are per stock item, not per package definition; duplicate entry rows checked by stock_item_id. Package definition immutable as soon as referenced. Preserve approved movement safeguards.</x:t>
        </x:is>
      </x:c>
      <x:c r="F58" s="4" t="inlineStr">
        <x:is>
          <x:t xml:space="preserve">FB-053</x:t>
        </x:is>
      </x:c>
      <x:c r="G58" s="4" t="str">
        <x:f>IF(H58="Complete","Complete",IF(I58="Blocked","Blocked",IF(I58="In progress","Ready",IF(F58="","Ready",IF(COUNTIFS($B$4:$B$73,F58,$H$4:$H$73,"Complete")=1,"Ready","Waiting")))))</x:f>
        <x:v>Waiting</x:v>
      </x:c>
      <x:c r="H58" s="4" t="str">
        <x:f>IF(I58="Not started","Not started",IF(I58="Blocked","Blocked",IF(I58="In progress","In progress",IF(J58&lt;&gt;"Passed","Awaiting code review",IF(OR(K58="",NOT(ISNUMBER(L58))),"Awaiting review evidence",IF(N58&lt;&gt;"Passed","Awaiting test",IF(OR(M58="",O58="",NOT(ISNUMBER(P58))),"Awaiting test evidence","Complete")))))))</x:f>
        <x:v>Not started</x:v>
      </x:c>
      <x:c r="I58" s="10" t="inlineStr">
        <x:is>
          <x:t xml:space="preserve">Not started</x:t>
        </x:is>
      </x:c>
      <x:c r="J58" s="10" t="inlineStr">
        <x:is>
          <x:t xml:space="preserve">Not reviewed</x:t>
        </x:is>
      </x:c>
      <x:c r="K58" s="10" t="n"/>
      <x:c r="L58" s="30" t="n"/>
      <x:c r="M58" s="10" t="n"/>
      <x:c r="N58" s="10" t="inlineStr">
        <x:is>
          <x:t xml:space="preserve">Not tested</x:t>
        </x:is>
      </x:c>
      <x:c r="O58" s="10" t="n"/>
      <x:c r="P58" s="30" t="n"/>
      <x:c r="Q58" s="10" t="n"/>
      <x:c r="R58"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8" s="10" t="n"/>
    </x:row>
    <x:row r="59" ht="105" customHeight="1">
      <x:c r="A59" s="9" t="n">
        <x:v>56</x:v>
      </x:c>
      <x:c r="B59" s="9" t="inlineStr">
        <x:is>
          <x:t xml:space="preserve">FB-065</x:t>
        </x:is>
      </x:c>
      <x:c r="C59" s="9" t="inlineStr">
        <x:is>
          <x:t xml:space="preserve">Totals</x:t>
        </x:is>
      </x:c>
      <x:c r="D59" s="9" t="inlineStr">
        <x:is>
          <x:t xml:space="preserve">Calculate stock summaries within Stock Management</x:t>
        </x:is>
      </x:c>
      <x:c r="E59" s="9" t="inlineStr">
        <x:is>
          <x:t xml:space="preserve">Use stock package balances/contents and kg/g, litres/ml conversions. Exact calculation then formatted display. Do not add quantities or measurement configuration to catalogue. Shared-package design: movement rows target stock_item_id; balances/history are per stock item, not per package definition; duplicate entry rows checked by stock_item_id. Package definition immutable as soon as referenced. Preserve approved movement safeguards.</x:t>
        </x:is>
      </x:c>
      <x:c r="F59" s="9" t="inlineStr">
        <x:is>
          <x:t xml:space="preserve">FB-054</x:t>
        </x:is>
      </x:c>
      <x:c r="G59" s="9" t="str">
        <x:f>IF(H59="Complete","Complete",IF(I59="Blocked","Blocked",IF(I59="In progress","Ready",IF(F59="","Ready",IF(COUNTIFS($B$4:$B$73,F59,$H$4:$H$73,"Complete")=1,"Ready","Waiting")))))</x:f>
        <x:v>Waiting</x:v>
      </x:c>
      <x:c r="H59" s="9" t="str">
        <x:f>IF(I59="Not started","Not started",IF(I59="Blocked","Blocked",IF(I59="In progress","In progress",IF(J59&lt;&gt;"Passed","Awaiting code review",IF(OR(K59="",NOT(ISNUMBER(L59))),"Awaiting review evidence",IF(N59&lt;&gt;"Passed","Awaiting test",IF(OR(M59="",O59="",NOT(ISNUMBER(P59))),"Awaiting test evidence","Complete")))))))</x:f>
        <x:v>Not started</x:v>
      </x:c>
      <x:c r="I59" s="11" t="inlineStr">
        <x:is>
          <x:t xml:space="preserve">Not started</x:t>
        </x:is>
      </x:c>
      <x:c r="J59" s="11" t="inlineStr">
        <x:is>
          <x:t xml:space="preserve">Not reviewed</x:t>
        </x:is>
      </x:c>
      <x:c r="K59" s="11" t="n"/>
      <x:c r="L59" s="31" t="n"/>
      <x:c r="M59" s="11" t="n"/>
      <x:c r="N59" s="11" t="inlineStr">
        <x:is>
          <x:t xml:space="preserve">Not tested</x:t>
        </x:is>
      </x:c>
      <x:c r="O59" s="11" t="n"/>
      <x:c r="P59" s="31" t="n"/>
      <x:c r="Q59" s="11" t="n"/>
      <x:c r="R59"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9" s="11" t="n"/>
    </x:row>
    <x:row r="60" ht="105" customHeight="1">
      <x:c r="A60" s="4" t="n">
        <x:v>57</x:v>
      </x:c>
      <x:c r="B60" s="4" t="inlineStr">
        <x:is>
          <x:t xml:space="preserve">FB-066</x:t>
        </x:is>
      </x:c>
      <x:c r="C60" s="4" t="inlineStr">
        <x:is>
          <x:t xml:space="preserve">Totals</x:t>
        </x:is>
      </x:c>
      <x:c r="D60" s="4" t="inlineStr">
        <x:is>
          <x:t xml:space="preserve">Display combined totals within Stock Management</x:t>
        </x:is>
      </x:c>
      <x:c r="E60" s="4" t="inlineStr">
        <x:is>
          <x:t xml:space="preserve">Managers/Super Admin see stock summaries in kg/litres/items with at most3 displayed decimals. Product Catalogue/Subcategory screens show no units/sizes/quantities/totals. Verify later Adjust/Distribute update stock summaries. Shared-package design: movement rows target stock_item_id; balances/history are per stock item, not per package definition; duplicate entry rows checked by stock_item_id. Package definition immutable as soon as referenced. Preserve approved movement safeguards.</x:t>
        </x:is>
      </x:c>
      <x:c r="F60" s="4" t="inlineStr">
        <x:is>
          <x:t xml:space="preserve">FB-065</x:t>
        </x:is>
      </x:c>
      <x:c r="G60" s="4" t="str">
        <x:f>IF(H60="Complete","Complete",IF(I60="Blocked","Blocked",IF(I60="In progress","Ready",IF(F60="","Ready",IF(COUNTIFS($B$4:$B$73,F60,$H$4:$H$73,"Complete")=1,"Ready","Waiting")))))</x:f>
        <x:v>Waiting</x:v>
      </x:c>
      <x:c r="H60" s="4" t="str">
        <x:f>IF(I60="Not started","Not started",IF(I60="Blocked","Blocked",IF(I60="In progress","In progress",IF(J60&lt;&gt;"Passed","Awaiting code review",IF(OR(K60="",NOT(ISNUMBER(L60))),"Awaiting review evidence",IF(N60&lt;&gt;"Passed","Awaiting test",IF(OR(M60="",O60="",NOT(ISNUMBER(P60))),"Awaiting test evidence","Complete")))))))</x:f>
        <x:v>Not started</x:v>
      </x:c>
      <x:c r="I60" s="10" t="inlineStr">
        <x:is>
          <x:t xml:space="preserve">Not started</x:t>
        </x:is>
      </x:c>
      <x:c r="J60" s="10" t="inlineStr">
        <x:is>
          <x:t xml:space="preserve">Not reviewed</x:t>
        </x:is>
      </x:c>
      <x:c r="K60" s="10" t="n"/>
      <x:c r="L60" s="30" t="n"/>
      <x:c r="M60" s="10" t="n"/>
      <x:c r="N60" s="10" t="inlineStr">
        <x:is>
          <x:t xml:space="preserve">Not tested</x:t>
        </x:is>
      </x:c>
      <x:c r="O60" s="10" t="n"/>
      <x:c r="P60" s="30" t="n"/>
      <x:c r="Q60" s="10" t="n"/>
      <x:c r="R60"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0" s="10" t="n"/>
    </x:row>
    <x:row r="61" ht="105" customHeight="1">
      <x:c r="A61" s="9" t="n">
        <x:v>58</x:v>
      </x:c>
      <x:c r="B61" s="9" t="inlineStr">
        <x:is>
          <x:t xml:space="preserve">FB-055</x:t>
        </x:is>
      </x:c>
      <x:c r="C61" s="9" t="inlineStr">
        <x:is>
          <x:t xml:space="preserve">Adjust</x:t>
        </x:is>
      </x:c>
      <x:c r="D61" s="9" t="inlineStr">
        <x:is>
          <x:t xml:space="preserve">Build and lay out the single-product adjustment form</x:t>
        </x:is>
      </x:c>
      <x:c r="E61" s="9" t="inlineStr">
        <x:is>
          <x:t xml:space="preserve">All roles choose one active product, Add/Remove, positive whole quantity and mandatory reason. Show saved package size and current balance. Teach state and layout before save.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1" s="9" t="inlineStr">
        <x:is>
          <x:t xml:space="preserve">FB-066</x:t>
        </x:is>
      </x:c>
      <x:c r="G61" s="9" t="str">
        <x:f>IF(H61="Complete","Complete",IF(I61="Blocked","Blocked",IF(I61="In progress","Ready",IF(F61="","Ready",IF(COUNTIFS($B$4:$B$73,F61,$H$4:$H$73,"Complete")=1,"Ready","Waiting")))))</x:f>
        <x:v>Waiting</x:v>
      </x:c>
      <x:c r="H61" s="9" t="str">
        <x:f>IF(I61="Not started","Not started",IF(I61="Blocked","Blocked",IF(I61="In progress","In progress",IF(J61&lt;&gt;"Passed","Awaiting code review",IF(OR(K61="",NOT(ISNUMBER(L61))),"Awaiting review evidence",IF(N61&lt;&gt;"Passed","Awaiting test",IF(OR(M61="",O61="",NOT(ISNUMBER(P61))),"Awaiting test evidence","Complete")))))))</x:f>
        <x:v>Not started</x:v>
      </x:c>
      <x:c r="I61" s="11" t="inlineStr">
        <x:is>
          <x:t xml:space="preserve">Not started</x:t>
        </x:is>
      </x:c>
      <x:c r="J61" s="11" t="inlineStr">
        <x:is>
          <x:t xml:space="preserve">Not reviewed</x:t>
        </x:is>
      </x:c>
      <x:c r="K61" s="11" t="n"/>
      <x:c r="L61" s="31" t="n"/>
      <x:c r="M61" s="11" t="n"/>
      <x:c r="N61" s="11" t="inlineStr">
        <x:is>
          <x:t xml:space="preserve">Not tested</x:t>
        </x:is>
      </x:c>
      <x:c r="O61" s="11" t="n"/>
      <x:c r="P61" s="31" t="n"/>
      <x:c r="Q61" s="11" t="n"/>
      <x:c r="R61"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1" s="11" t="n"/>
    </x:row>
    <x:row r="62" ht="105" customHeight="1">
      <x:c r="A62" s="4" t="n">
        <x:v>59</x:v>
      </x:c>
      <x:c r="B62" s="4" t="inlineStr">
        <x:is>
          <x:t xml:space="preserve">FB-056</x:t>
        </x:is>
      </x:c>
      <x:c r="C62" s="4" t="inlineStr">
        <x:is>
          <x:t xml:space="preserve">Adjust</x:t>
        </x:is>
      </x:c>
      <x:c r="D62" s="4" t="inlineStr">
        <x:is>
          <x:t xml:space="preserve">Save adjustments without negative balances</x:t>
        </x:is>
      </x:c>
      <x:c r="E62" s="4" t="inlineStr">
        <x:is>
          <x:t xml:space="preserve">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2" s="4" t="inlineStr">
        <x:is>
          <x:t xml:space="preserve">FB-055</x:t>
        </x:is>
      </x:c>
      <x:c r="G62" s="4" t="str">
        <x:f>IF(H62="Complete","Complete",IF(I62="Blocked","Blocked",IF(I62="In progress","Ready",IF(F62="","Ready",IF(COUNTIFS($B$4:$B$73,F62,$H$4:$H$73,"Complete")=1,"Ready","Waiting")))))</x:f>
        <x:v>Waiting</x:v>
      </x:c>
      <x:c r="H62" s="4" t="str">
        <x:f>IF(I62="Not started","Not started",IF(I62="Blocked","Blocked",IF(I62="In progress","In progress",IF(J62&lt;&gt;"Passed","Awaiting code review",IF(OR(K62="",NOT(ISNUMBER(L62))),"Awaiting review evidence",IF(N62&lt;&gt;"Passed","Awaiting test",IF(OR(M62="",O62="",NOT(ISNUMBER(P62))),"Awaiting test evidence","Complete")))))))</x:f>
        <x:v>Not started</x:v>
      </x:c>
      <x:c r="I62" s="10" t="inlineStr">
        <x:is>
          <x:t xml:space="preserve">Not started</x:t>
        </x:is>
      </x:c>
      <x:c r="J62" s="10" t="inlineStr">
        <x:is>
          <x:t xml:space="preserve">Not reviewed</x:t>
        </x:is>
      </x:c>
      <x:c r="K62" s="10" t="n"/>
      <x:c r="L62" s="30" t="n"/>
      <x:c r="M62" s="10" t="n"/>
      <x:c r="N62" s="10" t="inlineStr">
        <x:is>
          <x:t xml:space="preserve">Not tested</x:t>
        </x:is>
      </x:c>
      <x:c r="O62" s="10" t="n"/>
      <x:c r="P62" s="30" t="n"/>
      <x:c r="Q62" s="10" t="n"/>
      <x:c r="R62"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2" s="10" t="n"/>
    </x:row>
    <x:row r="63" ht="105" customHeight="1">
      <x:c r="A63" s="9" t="n">
        <x:v>60</x:v>
      </x:c>
      <x:c r="B63" s="9" t="inlineStr">
        <x:is>
          <x:t xml:space="preserve">FB-057</x:t>
        </x:is>
      </x:c>
      <x:c r="C63" s="9" t="inlineStr">
        <x:is>
          <x:t xml:space="preserve">Household samples</x:t>
        </x:is>
      </x:c>
      <x:c r="D63" s="9" t="inlineStr">
        <x:is>
          <x:t xml:space="preserve">Prepare and verify 20 fictional households</x:t>
        </x:is>
      </x:c>
      <x:c r="E63" s="9" t="inlineStr">
        <x:is>
          <x:t xml:space="preserve">Unique reference, contact first/last name, address, positive household size, required unique Canadian phone, optional unique supplied email; multiple blanks allowed. No household management screens or automatic allowances. Developer runs explained data-changing commands.</x:t>
        </x:is>
      </x:c>
      <x:c r="F63" s="9" t="inlineStr">
        <x:is>
          <x:t xml:space="preserve">FB-056</x:t>
        </x:is>
      </x:c>
      <x:c r="G63" s="9" t="str">
        <x:f>IF(H63="Complete","Complete",IF(I63="Blocked","Blocked",IF(I63="In progress","Ready",IF(F63="","Ready",IF(COUNTIFS($B$4:$B$73,F63,$H$4:$H$73,"Complete")=1,"Ready","Waiting")))))</x:f>
        <x:v>Waiting</x:v>
      </x:c>
      <x:c r="H63" s="9" t="str">
        <x:f>IF(I63="Not started","Not started",IF(I63="Blocked","Blocked",IF(I63="In progress","In progress",IF(J63&lt;&gt;"Passed","Awaiting code review",IF(OR(K63="",NOT(ISNUMBER(L63))),"Awaiting review evidence",IF(N63&lt;&gt;"Passed","Awaiting test",IF(OR(M63="",O63="",NOT(ISNUMBER(P63))),"Awaiting test evidence","Complete")))))))</x:f>
        <x:v>Not started</x:v>
      </x:c>
      <x:c r="I63" s="11" t="inlineStr">
        <x:is>
          <x:t xml:space="preserve">Not started</x:t>
        </x:is>
      </x:c>
      <x:c r="J63" s="11" t="inlineStr">
        <x:is>
          <x:t xml:space="preserve">Not reviewed</x:t>
        </x:is>
      </x:c>
      <x:c r="K63" s="11" t="n"/>
      <x:c r="L63" s="31" t="n"/>
      <x:c r="M63" s="11" t="n"/>
      <x:c r="N63" s="11" t="inlineStr">
        <x:is>
          <x:t xml:space="preserve">Not tested</x:t>
        </x:is>
      </x:c>
      <x:c r="O63" s="11" t="n"/>
      <x:c r="P63" s="31" t="n"/>
      <x:c r="Q63" s="11" t="n"/>
      <x:c r="R63" s="11" t="inlineStr">
        <x:is>
          <x:t xml:space="preserve">Before starting this item or feature: reread AGENTS.md from disk; apply its teaching and testing rules.
Next: Start this item after the previous item is complete.</x:t>
        </x:is>
      </x:c>
      <x:c r="S63" s="11" t="n"/>
    </x:row>
    <x:row r="64" ht="105" customHeight="1">
      <x:c r="A64" s="4" t="n">
        <x:v>61</x:v>
      </x:c>
      <x:c r="B64" s="4" t="inlineStr">
        <x:is>
          <x:t xml:space="preserve">FB-058</x:t>
        </x:is>
      </x:c>
      <x:c r="C64" s="4" t="inlineStr">
        <x:is>
          <x:t xml:space="preserve">Distribute</x:t>
        </x:is>
      </x:c>
      <x:c r="D64" s="4" t="inlineStr">
        <x:is>
          <x:t xml:space="preserve">Search and select one household</x:t>
        </x:is>
      </x:c>
      <x:c r="E64" s="4" t="inlineStr">
        <x:is>
          <x:t xml:space="preserve">All roles performing distribution can search by reference/contact name/phone. Show enough details to distinguish households. Appointments checked outside app; no scheduling/appointment records or account-management access.</x:t>
        </x:is>
      </x:c>
      <x:c r="F64" s="4" t="inlineStr">
        <x:is>
          <x:t xml:space="preserve">FB-057</x:t>
        </x:is>
      </x:c>
      <x:c r="G64" s="4" t="str">
        <x:f>IF(H64="Complete","Complete",IF(I64="Blocked","Blocked",IF(I64="In progress","Ready",IF(F64="","Ready",IF(COUNTIFS($B$4:$B$73,F64,$H$4:$H$73,"Complete")=1,"Ready","Waiting")))))</x:f>
        <x:v>Waiting</x:v>
      </x:c>
      <x:c r="H64" s="4" t="str">
        <x:f>IF(I64="Not started","Not started",IF(I64="Blocked","Blocked",IF(I64="In progress","In progress",IF(J64&lt;&gt;"Passed","Awaiting code review",IF(OR(K64="",NOT(ISNUMBER(L64))),"Awaiting review evidence",IF(N64&lt;&gt;"Passed","Awaiting test",IF(OR(M64="",O64="",NOT(ISNUMBER(P64))),"Awaiting test evidence","Complete")))))))</x:f>
        <x:v>Not started</x:v>
      </x:c>
      <x:c r="I64" s="10" t="inlineStr">
        <x:is>
          <x:t xml:space="preserve">Not started</x:t>
        </x:is>
      </x:c>
      <x:c r="J64" s="10" t="inlineStr">
        <x:is>
          <x:t xml:space="preserve">Not reviewed</x:t>
        </x:is>
      </x:c>
      <x:c r="K64" s="10" t="n"/>
      <x:c r="L64" s="30" t="n"/>
      <x:c r="M64" s="10" t="n"/>
      <x:c r="N64" s="10" t="inlineStr">
        <x:is>
          <x:t xml:space="preserve">Not tested</x:t>
        </x:is>
      </x:c>
      <x:c r="O64" s="10" t="n"/>
      <x:c r="P64" s="30" t="n"/>
      <x:c r="Q64" s="10" t="n"/>
      <x:c r="R64" s="10" t="inlineStr">
        <x:is>
          <x:t xml:space="preserve">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x:t>
        </x:is>
      </x:c>
      <x:c r="S64" s="10" t="n"/>
    </x:row>
    <x:row r="65" ht="105" customHeight="1">
      <x:c r="A65" s="9" t="n">
        <x:v>62</x:v>
      </x:c>
      <x:c r="B65" s="9" t="inlineStr">
        <x:is>
          <x:t xml:space="preserve">FB-059</x:t>
        </x:is>
      </x:c>
      <x:c r="C65" s="9" t="inlineStr">
        <x:is>
          <x:t xml:space="preserve">Distribute</x:t>
        </x:is>
      </x:c>
      <x:c r="D65" s="9" t="inlineStr">
        <x:is>
          <x:t xml:space="preserve">Choose a subcategory and available package sizes</x:t>
        </x:is>
      </x:c>
      <x:c r="E65" s="9" t="inlineStr">
        <x:is>
          <x:t xml:space="preserve">Selecting Rice shows active products with positive stock: name, brand, code, saved size and available package count. Exclude inactive/zero-stock entries; distinguish equal sizes from different brands.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5" s="9" t="inlineStr">
        <x:is>
          <x:t xml:space="preserve">FB-058</x:t>
        </x:is>
      </x:c>
      <x:c r="G65" s="9" t="str">
        <x:f>IF(H65="Complete","Complete",IF(I65="Blocked","Blocked",IF(I65="In progress","Ready",IF(F65="","Ready",IF(COUNTIFS($B$4:$B$73,F65,$H$4:$H$73,"Complete")=1,"Ready","Waiting")))))</x:f>
        <x:v>Waiting</x:v>
      </x:c>
      <x:c r="H65" s="9" t="str">
        <x:f>IF(I65="Not started","Not started",IF(I65="Blocked","Blocked",IF(I65="In progress","In progress",IF(J65&lt;&gt;"Passed","Awaiting code review",IF(OR(K65="",NOT(ISNUMBER(L65))),"Awaiting review evidence",IF(N65&lt;&gt;"Passed","Awaiting test",IF(OR(M65="",O65="",NOT(ISNUMBER(P65))),"Awaiting test evidence","Complete")))))))</x:f>
        <x:v>Not started</x:v>
      </x:c>
      <x:c r="I65" s="11" t="inlineStr">
        <x:is>
          <x:t xml:space="preserve">Not started</x:t>
        </x:is>
      </x:c>
      <x:c r="J65" s="11" t="inlineStr">
        <x:is>
          <x:t xml:space="preserve">Not reviewed</x:t>
        </x:is>
      </x:c>
      <x:c r="K65" s="11" t="n"/>
      <x:c r="L65" s="31" t="n"/>
      <x:c r="M65" s="11" t="n"/>
      <x:c r="N65" s="11" t="inlineStr">
        <x:is>
          <x:t xml:space="preserve">Not tested</x:t>
        </x:is>
      </x:c>
      <x:c r="O65" s="11" t="n"/>
      <x:c r="P65" s="31" t="n"/>
      <x:c r="Q65" s="11" t="str">
        <x: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R65" s="11" t="str">
        <x:v>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65" s="11" t="n"/>
    </x:row>
    <x:row r="66" ht="105" customHeight="1">
      <x:c r="A66" s="4" t="n">
        <x:v>63</x:v>
      </x:c>
      <x:c r="B66" s="4" t="inlineStr">
        <x:is>
          <x:t xml:space="preserve">FB-060</x:t>
        </x:is>
      </x:c>
      <x:c r="C66" s="4" t="inlineStr">
        <x:is>
          <x:t xml:space="preserve">Distribute</x:t>
        </x:is>
      </x:c>
      <x:c r="D66" s="4" t="inlineStr">
        <x:is>
          <x:t xml:space="preserve">Add product search within selection</x:t>
        </x:is>
      </x:c>
      <x:c r="E66" s="4" t="inlineStr">
        <x:is>
          <x:t xml:space="preserve">Search selectable products by code or name, preserving subcategory/availability restrictions. Verify clear/no-result cases.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6" s="4" t="inlineStr">
        <x:is>
          <x:t xml:space="preserve">FB-059</x:t>
        </x:is>
      </x:c>
      <x:c r="G66" s="4" t="str">
        <x:f>IF(H66="Complete","Complete",IF(I66="Blocked","Blocked",IF(I66="In progress","Ready",IF(F66="","Ready",IF(COUNTIFS($B$4:$B$73,F66,$H$4:$H$73,"Complete")=1,"Ready","Waiting")))))</x:f>
        <x:v>Waiting</x:v>
      </x:c>
      <x:c r="H66" s="4" t="str">
        <x:f>IF(I66="Not started","Not started",IF(I66="Blocked","Blocked",IF(I66="In progress","In progress",IF(J66&lt;&gt;"Passed","Awaiting code review",IF(OR(K66="",NOT(ISNUMBER(L66))),"Awaiting review evidence",IF(N66&lt;&gt;"Passed","Awaiting test",IF(OR(M66="",O66="",NOT(ISNUMBER(P66))),"Awaiting test evidence","Complete")))))))</x:f>
        <x:v>Not started</x:v>
      </x:c>
      <x:c r="I66" s="10" t="inlineStr">
        <x:is>
          <x:t xml:space="preserve">Not started</x:t>
        </x:is>
      </x:c>
      <x:c r="J66" s="10" t="inlineStr">
        <x:is>
          <x:t xml:space="preserve">Not reviewed</x:t>
        </x:is>
      </x:c>
      <x:c r="K66" s="10" t="n"/>
      <x:c r="L66" s="30" t="n"/>
      <x:c r="M66" s="10" t="n"/>
      <x:c r="N66" s="10" t="inlineStr">
        <x:is>
          <x:t xml:space="preserve">Not tested</x:t>
        </x:is>
      </x:c>
      <x:c r="O66" s="10" t="n"/>
      <x:c r="P66" s="30" t="n"/>
      <x:c r="Q66" s="10" t="str">
        <x:v>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R66" s="10" t="str">
        <x:v>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x:v>
      </x:c>
      <x:c r="S66" s="10" t="n"/>
    </x:row>
    <x:row r="67" ht="105" customHeight="1">
      <x:c r="A67" s="9" t="n">
        <x:v>64</x:v>
      </x:c>
      <x:c r="B67" s="9" t="inlineStr">
        <x:is>
          <x:t xml:space="preserve">FB-061</x:t>
        </x:is>
      </x:c>
      <x:c r="C67" s="9" t="inlineStr">
        <x:is>
          <x:t xml:space="preserve">Distribute</x:t>
        </x:is>
      </x:c>
      <x:c r="D67" s="9" t="inlineStr">
        <x:is>
          <x:t xml:space="preserve">Build a multi-product distribution selection</x:t>
        </x:is>
      </x:c>
      <x:c r="E67" s="9" t="inlineStr">
        <x:is>
          <x:t xml:space="preserve">Choose whole package quantities across products/sizes; each product appears once. Cannot split a 1kg bag to distribute 500g. Teach each row/quantity interaction separately and responsive layout.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7" s="9" t="inlineStr">
        <x:is>
          <x:t xml:space="preserve">FB-060</x:t>
        </x:is>
      </x:c>
      <x:c r="G67" s="9" t="str">
        <x:f>IF(H67="Complete","Complete",IF(I67="Blocked","Blocked",IF(I67="In progress","Ready",IF(F67="","Ready",IF(COUNTIFS($B$4:$B$73,F67,$H$4:$H$73,"Complete")=1,"Ready","Waiting")))))</x:f>
        <x:v>Waiting</x:v>
      </x:c>
      <x:c r="H67" s="9" t="str">
        <x:f>IF(I67="Not started","Not started",IF(I67="Blocked","Blocked",IF(I67="In progress","In progress",IF(J67&lt;&gt;"Passed","Awaiting code review",IF(OR(K67="",NOT(ISNUMBER(L67))),"Awaiting review evidence",IF(N67&lt;&gt;"Passed","Awaiting test",IF(OR(M67="",O67="",NOT(ISNUMBER(P67))),"Awaiting test evidence","Complete")))))))</x:f>
        <x:v>Not started</x:v>
      </x:c>
      <x:c r="I67" s="11" t="inlineStr">
        <x:is>
          <x:t xml:space="preserve">Not started</x:t>
        </x:is>
      </x:c>
      <x:c r="J67" s="11" t="inlineStr">
        <x:is>
          <x:t xml:space="preserve">Not reviewed</x:t>
        </x:is>
      </x:c>
      <x:c r="K67" s="11" t="n"/>
      <x:c r="L67" s="31" t="n"/>
      <x:c r="M67" s="11" t="n"/>
      <x:c r="N67" s="11" t="inlineStr">
        <x:is>
          <x:t xml:space="preserve">Not tested</x:t>
        </x:is>
      </x:c>
      <x:c r="O67" s="11" t="n"/>
      <x:c r="P67" s="31" t="n"/>
      <x:c r="Q67" s="11" t="n"/>
      <x:c r="R67"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7" s="11" t="n"/>
    </x:row>
    <x:row r="68" ht="105" customHeight="1">
      <x:c r="A68" s="4" t="n">
        <x:v>65</x:v>
      </x:c>
      <x:c r="B68" s="4" t="inlineStr">
        <x:is>
          <x:t xml:space="preserve">FB-062</x:t>
        </x:is>
      </x:c>
      <x:c r="C68" s="4" t="inlineStr">
        <x:is>
          <x:t xml:space="preserve">Distribute</x:t>
        </x:is>
      </x:c>
      <x:c r="D68" s="4" t="inlineStr">
        <x:is>
          <x:t xml:space="preserve">Review and confirm the distribution</x:t>
        </x:is>
      </x:c>
      <x:c r="E68" s="4" t="inlineStr">
        <x:is>
          <x:t xml:space="preserve">Review one household plus all products/sizes/quantities before saving. Staff can correct the selection. Explain temporary selection state versus saved stock.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8" s="4" t="inlineStr">
        <x:is>
          <x:t xml:space="preserve">FB-061</x:t>
        </x:is>
      </x:c>
      <x:c r="G68" s="4" t="str">
        <x:f>IF(H68="Complete","Complete",IF(I68="Blocked","Blocked",IF(I68="In progress","Ready",IF(F68="","Ready",IF(COUNTIFS($B$4:$B$73,F68,$H$4:$H$73,"Complete")=1,"Ready","Waiting")))))</x:f>
        <x:v>Waiting</x:v>
      </x:c>
      <x:c r="H68" s="4" t="str">
        <x:f>IF(I68="Not started","Not started",IF(I68="Blocked","Blocked",IF(I68="In progress","In progress",IF(J68&lt;&gt;"Passed","Awaiting code review",IF(OR(K68="",NOT(ISNUMBER(L68))),"Awaiting review evidence",IF(N68&lt;&gt;"Passed","Awaiting test",IF(OR(M68="",O68="",NOT(ISNUMBER(P68))),"Awaiting test evidence","Complete")))))))</x:f>
        <x:v>Not started</x:v>
      </x:c>
      <x:c r="I68" s="10" t="inlineStr">
        <x:is>
          <x:t xml:space="preserve">Not started</x:t>
        </x:is>
      </x:c>
      <x:c r="J68" s="10" t="inlineStr">
        <x:is>
          <x:t xml:space="preserve">Not reviewed</x:t>
        </x:is>
      </x:c>
      <x:c r="K68" s="10" t="n"/>
      <x:c r="L68" s="30" t="n"/>
      <x:c r="M68" s="10" t="n"/>
      <x:c r="N68" s="10" t="inlineStr">
        <x:is>
          <x:t xml:space="preserve">Not tested</x:t>
        </x:is>
      </x:c>
      <x:c r="O68" s="10" t="n"/>
      <x:c r="P68" s="30" t="n"/>
      <x:c r="Q68" s="10" t="n"/>
      <x:c r="R68"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8" s="10" t="n"/>
    </x:row>
    <x:row r="69" ht="105" customHeight="1">
      <x:c r="A69" s="9" t="n">
        <x:v>66</x:v>
      </x:c>
      <x:c r="B69" s="9" t="inlineStr">
        <x:is>
          <x:t xml:space="preserve">FB-063</x:t>
        </x:is>
      </x:c>
      <x:c r="C69" s="9" t="inlineStr">
        <x:is>
          <x:t xml:space="preserve">Distribute</x:t>
        </x:is>
      </x:c>
      <x:c r="D69" s="9" t="inlineStr">
        <x:is>
          <x:t xml:space="preserve">Save distribution with a final stock recheck</x:t>
        </x:is>
      </x:c>
      <x:c r="E69" s="9" t="inlineStr">
        <x:is>
          <x:t xml:space="preserve">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9" s="9" t="inlineStr">
        <x:is>
          <x:t xml:space="preserve">FB-062</x:t>
        </x:is>
      </x:c>
      <x:c r="G69" s="9" t="str">
        <x:f>IF(H69="Complete","Complete",IF(I69="Blocked","Blocked",IF(I69="In progress","Ready",IF(F69="","Ready",IF(COUNTIFS($B$4:$B$73,F69,$H$4:$H$73,"Complete")=1,"Ready","Waiting")))))</x:f>
        <x:v>Waiting</x:v>
      </x:c>
      <x:c r="H69" s="9" t="str">
        <x:f>IF(I69="Not started","Not started",IF(I69="Blocked","Blocked",IF(I69="In progress","In progress",IF(J69&lt;&gt;"Passed","Awaiting code review",IF(OR(K69="",NOT(ISNUMBER(L69))),"Awaiting review evidence",IF(N69&lt;&gt;"Passed","Awaiting test",IF(OR(M69="",O69="",NOT(ISNUMBER(P69))),"Awaiting test evidence","Complete")))))))</x:f>
        <x:v>Not started</x:v>
      </x:c>
      <x:c r="I69" s="11" t="inlineStr">
        <x:is>
          <x:t xml:space="preserve">Not started</x:t>
        </x:is>
      </x:c>
      <x:c r="J69" s="11" t="inlineStr">
        <x:is>
          <x:t xml:space="preserve">Not reviewed</x:t>
        </x:is>
      </x:c>
      <x:c r="K69" s="11" t="n"/>
      <x:c r="L69" s="31" t="n"/>
      <x:c r="M69" s="11" t="n"/>
      <x:c r="N69" s="11" t="inlineStr">
        <x:is>
          <x:t xml:space="preserve">Not tested</x:t>
        </x:is>
      </x:c>
      <x:c r="O69" s="11" t="n"/>
      <x:c r="P69" s="31" t="n"/>
      <x:c r="Q69" s="11" t="n"/>
      <x:c r="R69"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9" s="11" t="n"/>
    </x:row>
    <x:row r="70" ht="105" customHeight="1">
      <x:c r="A70" s="4" t="n">
        <x:v>67</x:v>
      </x:c>
      <x:c r="B70" s="4" t="inlineStr">
        <x:is>
          <x:t xml:space="preserve">FB-064</x:t>
        </x:is>
      </x:c>
      <x:c r="C70" s="4" t="inlineStr">
        <x:is>
          <x:t xml:space="preserve">Distribute</x:t>
        </x:is>
      </x:c>
      <x:c r="D70" s="4" t="inlineStr">
        <x:is>
          <x:t xml:space="preserve">Show result, preserve errors and verify access</x:t>
        </x:is>
      </x:c>
      <x:c r="E70" s="4" t="inlineStr">
        <x:is>
          <x:t xml:space="preserve">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70" s="4" t="inlineStr">
        <x:is>
          <x:t xml:space="preserve">FB-063</x:t>
        </x:is>
      </x:c>
      <x:c r="G70" s="4" t="str">
        <x:f>IF(H70="Complete","Complete",IF(I70="Blocked","Blocked",IF(I70="In progress","Ready",IF(F70="","Ready",IF(COUNTIFS($B$4:$B$73,F70,$H$4:$H$73,"Complete")=1,"Ready","Waiting")))))</x:f>
        <x:v>Waiting</x:v>
      </x:c>
      <x:c r="H70" s="4" t="str">
        <x:f>IF(I70="Not started","Not started",IF(I70="Blocked","Blocked",IF(I70="In progress","In progress",IF(J70&lt;&gt;"Passed","Awaiting code review",IF(OR(K70="",NOT(ISNUMBER(L70))),"Awaiting review evidence",IF(N70&lt;&gt;"Passed","Awaiting test",IF(OR(M70="",O70="",NOT(ISNUMBER(P70))),"Awaiting test evidence","Complete")))))))</x:f>
        <x:v>Not started</x:v>
      </x:c>
      <x:c r="I70" s="10" t="inlineStr">
        <x:is>
          <x:t xml:space="preserve">Not started</x:t>
        </x:is>
      </x:c>
      <x:c r="J70" s="10" t="inlineStr">
        <x:is>
          <x:t xml:space="preserve">Not reviewed</x:t>
        </x:is>
      </x:c>
      <x:c r="K70" s="10" t="n"/>
      <x:c r="L70" s="30" t="n"/>
      <x:c r="M70" s="10" t="n"/>
      <x:c r="N70" s="10" t="inlineStr">
        <x:is>
          <x:t xml:space="preserve">Not tested</x:t>
        </x:is>
      </x:c>
      <x:c r="O70" s="10" t="n"/>
      <x:c r="P70" s="30" t="n"/>
      <x:c r="Q70" s="10" t="n"/>
      <x:c r="R70"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70" s="10" t="n"/>
    </x:row>
    <x:row r="71" ht="105" customHeight="1">
      <x:c r="A71" s="9" t="n">
        <x:v>68</x:v>
      </x:c>
      <x:c r="B71" s="9" t="inlineStr">
        <x:is>
          <x:t xml:space="preserve">FB-068</x:t>
        </x:is>
      </x:c>
      <x:c r="C71" s="9" t="inlineStr">
        <x:is>
          <x:t xml:space="preserve">Verification</x:t>
        </x:is>
      </x:c>
      <x:c r="D71" s="9" t="inlineStr">
        <x:is>
          <x:t xml:space="preserve">Verify movement integrity and complete journeys</x:t>
        </x:is>
      </x:c>
      <x:c r="E71" s="9" t="inlineStr">
        <x:is>
          <x:t xml:space="preserve">Review and test Receive/Adjust/Distribute totals/history, atomic rollback, concurrency/no negative stock, inactive/lock rules, one row/product, household selection, timestamps, immutable history and all-role permissions. Developer tests first; record automated evidence when delegated.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71" s="9" t="inlineStr">
        <x:is>
          <x:t xml:space="preserve">FB-064</x:t>
        </x:is>
      </x:c>
      <x:c r="G71" s="9" t="str">
        <x:f>IF(H71="Complete","Complete",IF(I71="Blocked","Blocked",IF(I71="In progress","Ready",IF(F71="","Ready",IF(COUNTIFS($B$4:$B$73,F71,$H$4:$H$73,"Complete")=1,"Ready","Waiting")))))</x:f>
        <x:v>Waiting</x:v>
      </x:c>
      <x:c r="H71" s="9" t="str">
        <x:f>IF(I71="Not started","Not started",IF(I71="Blocked","Blocked",IF(I71="In progress","In progress",IF(J71&lt;&gt;"Passed","Awaiting code review",IF(OR(K71="",NOT(ISNUMBER(L71))),"Awaiting review evidence",IF(N71&lt;&gt;"Passed","Awaiting test",IF(OR(M71="",O71="",NOT(ISNUMBER(P71))),"Awaiting test evidence","Complete")))))))</x:f>
        <x:v>Not started</x:v>
      </x:c>
      <x:c r="I71" s="11" t="inlineStr">
        <x:is>
          <x:t xml:space="preserve">Not started</x:t>
        </x:is>
      </x:c>
      <x:c r="J71" s="11" t="inlineStr">
        <x:is>
          <x:t xml:space="preserve">Not reviewed</x:t>
        </x:is>
      </x:c>
      <x:c r="K71" s="11" t="n"/>
      <x:c r="L71" s="31" t="n"/>
      <x:c r="M71" s="11" t="n"/>
      <x:c r="N71" s="11" t="inlineStr">
        <x:is>
          <x:t xml:space="preserve">Not tested</x:t>
        </x:is>
      </x:c>
      <x:c r="O71" s="11" t="n"/>
      <x:c r="P71" s="31" t="n"/>
      <x:c r="Q71" s="11" t="n"/>
      <x:c r="R71"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71" s="11" t="n"/>
    </x:row>
    <x:row r="72" ht="105" customHeight="1">
      <x:c r="A72" s="4" t="n">
        <x:v>69</x:v>
      </x:c>
      <x:c r="B72" s="4" t="inlineStr">
        <x:is>
          <x:t xml:space="preserve">FB-069</x:t>
        </x:is>
      </x:c>
      <x:c r="C72" s="4" t="inlineStr">
        <x:is>
          <x:t xml:space="preserve">Verification</x:t>
        </x:is>
      </x:c>
      <x:c r="D72" s="4" t="inlineStr">
        <x:is>
          <x:t xml:space="preserve">Verify the combined first-version experience</x:t>
        </x:is>
      </x:c>
      <x:c r="E72" s="4" t="inlineStr">
        <x:is>
          <x:t xml:space="preserve">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x:t>
        </x:is>
      </x:c>
      <x:c r="F72" s="4" t="inlineStr">
        <x:is>
          <x:t xml:space="preserve">FB-023</x:t>
        </x:is>
      </x:c>
      <x:c r="G72" s="4" t="str">
        <x:f>IF(H72="Complete","Complete",IF(I72="Blocked","Blocked",IF(I72="In progress","Ready",IF(F72="","Ready",IF(COUNTIFS($B$4:$B$73,F72,$H$4:$H$73,"Complete")=1,"Ready","Waiting")))))</x:f>
        <x:v>Waiting</x:v>
      </x:c>
      <x:c r="H72" s="4" t="str">
        <x:f>IF(I72="Not started","Not started",IF(I72="Blocked","Blocked",IF(I72="In progress","In progress",IF(J72&lt;&gt;"Passed","Awaiting code review",IF(OR(K72="",NOT(ISNUMBER(L72))),"Awaiting review evidence",IF(N72&lt;&gt;"Passed","Awaiting test",IF(OR(M72="",O72="",NOT(ISNUMBER(P72))),"Awaiting test evidence","Complete")))))))</x:f>
        <x:v>Not started</x:v>
      </x:c>
      <x:c r="I72" s="10" t="inlineStr">
        <x:is>
          <x:t xml:space="preserve">Not started</x:t>
        </x:is>
      </x:c>
      <x:c r="J72" s="10" t="inlineStr">
        <x:is>
          <x:t xml:space="preserve">Not reviewed</x:t>
        </x:is>
      </x:c>
      <x:c r="K72" s="10" t="n"/>
      <x:c r="L72" s="30" t="n"/>
      <x:c r="M72" s="10" t="n"/>
      <x:c r="N72" s="10" t="inlineStr">
        <x:is>
          <x:t xml:space="preserve">Not tested</x:t>
        </x:is>
      </x:c>
      <x:c r="O72" s="10" t="n"/>
      <x:c r="P72" s="30" t="n"/>
      <x:c r="Q72" s="10" t="inlineStr">
        <x:is>
          <x: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72" s="10" t="inlineStr">
        <x:is>
          <x:t xml:space="preserve">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S72" s="10" t="n"/>
    </x:row>
    <x:row r="73" ht="105" customHeight="1">
      <x:c r="A73" s="9" t="n">
        <x:v>70</x:v>
      </x:c>
      <x:c r="B73" s="9" t="inlineStr">
        <x:is>
          <x:t xml:space="preserve">FB-070</x:t>
        </x:is>
      </x:c>
      <x:c r="C73" s="9" t="inlineStr">
        <x:is>
          <x:t xml:space="preserve">Super Admin recovery — LAST</x:t>
        </x:is>
      </x:c>
      <x:c r="D73" s="9" t="inlineStr">
        <x:is>
          <x:t xml:space="preserve">Implement server-only recovery after all other work</x:t>
        </x:is>
      </x:c>
      <x:c r="E73" s="9" t="inlineStr">
        <x:is>
          <x:t xml:space="preserve">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x:t>
        </x:is>
      </x:c>
      <x:c r="F73" s="9" t="inlineStr">
        <x:is>
          <x:t xml:space="preserve">FB-069</x:t>
        </x:is>
      </x:c>
      <x:c r="G73" s="9" t="str">
        <x:f>IF(H73="Complete","Complete",IF(I73="Blocked","Blocked",IF(I73="In progress","Ready",IF(F73="","Ready",IF(COUNTIFS($B$4:$B$73,F73,$H$4:$H$73,"Complete")=1,"Ready","Waiting")))))</x:f>
        <x:v>Waiting</x:v>
      </x:c>
      <x:c r="H73" s="9" t="str">
        <x:f>IF(I73="Not started","Not started",IF(I73="Blocked","Blocked",IF(I73="In progress","In progress",IF(J73&lt;&gt;"Passed","Awaiting code review",IF(OR(K73="",NOT(ISNUMBER(L73))),"Awaiting review evidence",IF(N73&lt;&gt;"Passed","Awaiting test",IF(OR(M73="",O73="",NOT(ISNUMBER(P73))),"Awaiting test evidence","Complete")))))))</x:f>
        <x:v>Not started</x:v>
      </x:c>
      <x:c r="I73" s="11" t="inlineStr">
        <x:is>
          <x:t xml:space="preserve">Not started</x:t>
        </x:is>
      </x:c>
      <x:c r="J73" s="11" t="inlineStr">
        <x:is>
          <x:t xml:space="preserve">Not reviewed</x:t>
        </x:is>
      </x:c>
      <x:c r="K73" s="11" t="n"/>
      <x:c r="L73" s="31" t="n"/>
      <x:c r="M73" s="11" t="n"/>
      <x:c r="N73" s="11" t="inlineStr">
        <x:is>
          <x:t xml:space="preserve">Not tested</x:t>
        </x:is>
      </x:c>
      <x:c r="O73" s="11" t="n"/>
      <x:c r="P73" s="31" t="n"/>
      <x:c r="Q73" s="11" t="n"/>
      <x:c r="R73" s="11" t="inlineStr">
        <x:is>
          <x:t xml:space="preserve">Before starting this item or feature: reread AGENTS.md from disk; apply its teaching and testing rules.
Next: Start this item after the previous item is complete.</x:t>
        </x:is>
      </x:c>
      <x:c r="S73" s="11" t="n"/>
    </x:row>
  </x:sheetData>
  <x:mergeCells>
    <x:mergeCell ref="A1:H1"/>
  </x:mergeCells>
  <x:conditionalFormatting sqref="H4:H73">
    <x:cfRule type="containsText" dxfId="0" priority="1" operator="containsText" text="Complete"/>
    <x:cfRule type="containsText" dxfId="2" priority="3" operator="containsText" text="Blocked"/>
  </x:conditionalFormatting>
  <x:conditionalFormatting sqref="G4:G73">
    <x:cfRule type="containsText" dxfId="1" priority="2" operator="containsText" text="Ready"/>
  </x:conditionalFormatting>
  <x:dataValidations count="4">
    <x:dataValidation type="list" allowBlank="0" showDropDown="0" showInputMessage="0" showErrorMessage="0" sqref="I4:I73">
      <x:formula1>"Not started,In progress,Ready for review,Blocked"</x:formula1>
    </x:dataValidation>
    <x:dataValidation type="list" allowBlank="0" showDropDown="0" showInputMessage="0" showErrorMessage="0" sqref="J4:J73">
      <x:formula1>"Not reviewed,Changes needed,Passed"</x:formula1>
    </x:dataValidation>
    <x:dataValidation type="list" allowBlank="0" showDropDown="0" showInputMessage="0" showErrorMessage="0" sqref="M4:M73">
      <x:formula1>"Developer,Assistant (delegated)"</x:formula1>
    </x:dataValidation>
    <x:dataValidation type="list" allowBlank="0" showDropDown="0" showInputMessage="0" showErrorMessage="0" sqref="N4:N73">
      <x:formula1>"Not tested,Failed,Passed"</x:formula1>
    </x:dataValidation>
  </x:dataValidations>
  <x:pageMargins left="0.7" right="0.7" top="0.75" bottom="0.75" header="0.3" footer="0.3"/>
  <x:tableParts count="1">
    <x:tablePart xmlns:r="http://schemas.openxmlformats.org/officeDocument/2006/relationships" r:id="R519ba3ef057c447b"/>
  </x:tableParts>
</x:worksheet>
</file>

<file path=xl/worksheets/sheet3.xml><?xml version="1.0" encoding="utf-8"?>
<x:worksheet xmlns:x="http://schemas.openxmlformats.org/spreadsheetml/2006/main">
  <x:sheetPr>
    <x:tabColor rgb="FF187E80"/>
  </x:sheetPr>
  <x:sheetViews>
    <x:sheetView showGridLines="0" workbookViewId="0">
      <x:pane xSplit="1" ySplit="3" topLeftCell="B4" activePane="bottomRight" state="frozen"/>
    </x:sheetView>
  </x:sheetViews>
  <x:sheetFormatPr baseColWidth="8" defaultRowHeight="15"/>
  <x:cols>
    <x:col min="1" max="1" width="13" customWidth="1"/>
    <x:col min="2" max="2" width="29" customWidth="1"/>
    <x:col min="3" max="3" width="20" customWidth="1"/>
    <x:col min="4" max="4" width="110" customWidth="1"/>
    <x:col min="5" max="5" width="28" customWidth="1"/>
    <x:col min="6" max="6" width="17" customWidth="1"/>
  </x:cols>
  <x:sheetData>
    <x:row r="1" ht="28" customHeight="1">
      <x:c r="A1" s="2" t="inlineStr">
        <x:is>
          <x:t xml:space="preserve">FoodBank requirements and scope</x:t>
        </x:is>
      </x:c>
    </x:row>
    <x:row r="2" ht="28" customHeight="1">
      <x:c r="A2" s="23" t="inlineStr">
        <x:is>
          <x:t xml:space="preserve">Full agreed rules. Filter by area or scope; related FB IDs refer to Stories. ##FUTURE is deferred, not approved implementation.</x:t>
        </x:is>
      </x:c>
    </x:row>
    <x:row r="3" ht="28" customHeight="1">
      <x:c r="A3" s="27" t="inlineStr">
        <x:is>
          <x:t xml:space="preserve">Rule ID</x:t>
        </x:is>
      </x:c>
      <x:c r="B3" s="27" t="inlineStr">
        <x:is>
          <x:t xml:space="preserve">Area</x:t>
        </x:is>
      </x:c>
      <x:c r="C3" s="27" t="inlineStr">
        <x:is>
          <x:t xml:space="preserve">Scope</x:t>
        </x:is>
      </x:c>
      <x:c r="D3" s="27" t="inlineStr">
        <x:is>
          <x:t xml:space="preserve">Detailed rule</x:t>
        </x:is>
      </x:c>
      <x:c r="E3" s="27" t="inlineStr">
        <x:is>
          <x:t xml:space="preserve">Related learning items</x:t>
        </x:is>
      </x:c>
      <x:c r="F3" s="27" t="inlineStr">
        <x:is>
          <x:t xml:space="preserve">First item location</x:t>
        </x:is>
      </x:c>
    </x:row>
    <x:row r="4" ht="52" customHeight="1">
      <x:c r="A4" s="4" t="inlineStr">
        <x:is>
          <x:t xml:space="preserve">REQ-001</x:t>
        </x:is>
      </x:c>
      <x:c r="B4" s="4" t="inlineStr">
        <x:is>
          <x:t xml:space="preserve">Planning status</x:t>
        </x:is>
      </x:c>
      <x:c r="C4" s="4" t="inlineStr">
        <x:is>
          <x:t xml:space="preserve">Project context</x:t>
        </x:is>
      </x:c>
      <x:c r="D4" s="4" t="inlineStr">
        <x:is>
          <x:t xml:space="preserve">Inventory planning is complete, including its verification checklist.</x:t>
        </x:is>
      </x:c>
      <x:c r="E4" s="4" t="inlineStr">
        <x:is>
          <x:t xml:space="preserve">All current items</x:t>
        </x:is>
      </x:c>
      <x:c r="F4" s="4" t="inlineStr">
        <x:is>
          <x:t xml:space="preserve">Stories!B4</x:t>
        </x:is>
      </x:c>
    </x:row>
    <x:row r="5" ht="52" customHeight="1">
      <x:c r="A5" s="28" t="inlineStr">
        <x:is>
          <x:t xml:space="preserve">REQ-002</x:t>
        </x:is>
      </x:c>
      <x:c r="B5" s="28" t="inlineStr">
        <x:is>
          <x:t xml:space="preserve">Planning status</x:t>
        </x:is>
      </x:c>
      <x:c r="C5" s="28" t="inlineStr">
        <x:is>
          <x:t xml:space="preserve">Project context</x:t>
        </x:is>
      </x:c>
      <x:c r="D5" s="28" t="inlineStr">
        <x:is>
          <x:t xml:space="preserve">Account-management planning questions are complete. Implementation is underway; the connected account-creation feature is not yet fully reviewed or verified.</x:t>
        </x:is>
      </x:c>
      <x:c r="E5" s="28" t="inlineStr">
        <x:is>
          <x:t xml:space="preserve">All current items</x:t>
        </x:is>
      </x:c>
      <x:c r="F5" s="28" t="inlineStr">
        <x:is>
          <x:t xml:space="preserve">Stories!B4</x:t>
        </x:is>
      </x:c>
    </x:row>
    <x:row r="6" ht="52" customHeight="1">
      <x:c r="A6" s="4" t="inlineStr">
        <x:is>
          <x:t xml:space="preserve">REQ-003</x:t>
        </x:is>
      </x:c>
      <x:c r="B6" s="4" t="inlineStr">
        <x:is>
          <x:t xml:space="preserve">Planning status</x:t>
        </x:is>
      </x:c>
      <x:c r="C6" s="4" t="inlineStr">
        <x:is>
          <x:t xml:space="preserve">Project context</x:t>
        </x:is>
      </x:c>
      <x:c r="D6" s="4" t="inlineStr">
        <x:is>
          <x:t xml:space="preserve">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x:t>
        </x:is>
      </x:c>
      <x:c r="E6" s="4" t="inlineStr">
        <x:is>
          <x:t xml:space="preserve">All current items</x:t>
        </x:is>
      </x:c>
      <x:c r="F6" s="4" t="inlineStr">
        <x:is>
          <x:t xml:space="preserve">Stories!B4</x:t>
        </x:is>
      </x:c>
    </x:row>
    <x:row r="7" ht="52" customHeight="1">
      <x:c r="A7" s="28" t="inlineStr">
        <x:is>
          <x:t xml:space="preserve">REQ-004</x:t>
        </x:is>
      </x:c>
      <x:c r="B7" s="28" t="inlineStr">
        <x:is>
          <x:t xml:space="preserve">Planning status</x:t>
        </x:is>
      </x:c>
      <x:c r="C7" s="28" t="inlineStr">
        <x:is>
          <x:t xml:space="preserve">Project context</x:t>
        </x:is>
      </x:c>
      <x:c r="D7" s="28" t="inlineStr">
        <x:is>
          <x:t xml:space="preserve">Learning is the immediate priority, especially Vue, Inertia, and Tailwind.</x:t>
        </x:is>
      </x:c>
      <x:c r="E7" s="28" t="inlineStr">
        <x:is>
          <x:t xml:space="preserve">All current items</x:t>
        </x:is>
      </x:c>
      <x:c r="F7" s="28" t="inlineStr">
        <x:is>
          <x:t xml:space="preserve">Stories!B4</x:t>
        </x:is>
      </x:c>
    </x:row>
    <x:row r="8" ht="52" customHeight="1">
      <x:c r="A8" s="4" t="inlineStr">
        <x:is>
          <x:t xml:space="preserve">REQ-005</x:t>
        </x:is>
      </x:c>
      <x:c r="B8" s="4" t="inlineStr">
        <x:is>
          <x:t xml:space="preserve">Planning status</x:t>
        </x:is>
      </x:c>
      <x:c r="C8" s="4" t="inlineStr">
        <x:is>
          <x:t xml:space="preserve">Project context</x:t>
        </x:is>
      </x:c>
      <x:c r="D8" s="4" t="inlineStr">
        <x:is>
          <x:t xml:space="preserve">The long-term goal is a fully functional foodbank management system.</x:t>
        </x:is>
      </x:c>
      <x:c r="E8" s="4" t="inlineStr">
        <x:is>
          <x:t xml:space="preserve">All current items</x:t>
        </x:is>
      </x:c>
      <x:c r="F8" s="4" t="inlineStr">
        <x:is>
          <x:t xml:space="preserve">Stories!B4</x:t>
        </x:is>
      </x:c>
    </x:row>
    <x:row r="9" ht="52" customHeight="1">
      <x:c r="A9" s="28" t="inlineStr">
        <x:is>
          <x:t xml:space="preserve">REQ-006</x:t>
        </x:is>
      </x:c>
      <x:c r="B9" s="28" t="inlineStr">
        <x:is>
          <x:t xml:space="preserve">Planning status</x:t>
        </x:is>
      </x:c>
      <x:c r="C9" s="28" t="inlineStr">
        <x:is>
          <x:t xml:space="preserve">Project context</x:t>
        </x:is>
      </x:c>
      <x:c r="D9" s="28" t="inlineStr">
        <x:is>
          <x:t xml:space="preserve">Record further features as agreed; suggestions are not approved scope.</x:t>
        </x:is>
      </x:c>
      <x:c r="E9" s="28" t="inlineStr">
        <x:is>
          <x:t xml:space="preserve">All current items</x:t>
        </x:is>
      </x:c>
      <x:c r="F9" s="28" t="inlineStr">
        <x:is>
          <x:t xml:space="preserve">Stories!B4</x:t>
        </x:is>
      </x:c>
    </x:row>
    <x:row r="10" ht="61" customHeight="1">
      <x:c r="A10" s="4" t="inlineStr">
        <x:is>
          <x:t xml:space="preserve">REQ-007</x:t>
        </x:is>
      </x:c>
      <x:c r="B10" s="4" t="inlineStr">
        <x:is>
          <x:t xml:space="preserve">First-version boundary</x:t>
        </x:is>
      </x:c>
      <x:c r="C10" s="4" t="inlineStr">
        <x:is>
          <x:t xml:space="preserve">Current scope</x:t>
        </x:is>
      </x:c>
      <x:c r="D10" s="4" t="inlineStr">
        <x:is>
          <x:t xml:space="preserve">The first version includes the agreed account-management features: shared login and permissions, manager and volunteer records, search, filters, pagination, and password setup, changes, and assisted resets.</x:t>
        </x:is>
      </x:c>
      <x:c r="E10" s="4" t="inlineStr">
        <x:is>
          <x:t xml:space="preserve">All current items</x:t>
        </x:is>
      </x:c>
      <x:c r="F10" s="4" t="inlineStr">
        <x:is>
          <x:t xml:space="preserve">Stories!B4</x:t>
        </x:is>
      </x:c>
    </x:row>
    <x:row r="11" ht="52" customHeight="1">
      <x:c r="A11" s="28" t="inlineStr">
        <x:is>
          <x:t xml:space="preserve">REQ-008</x:t>
        </x:is>
      </x:c>
      <x:c r="B11" s="28" t="inlineStr">
        <x:is>
          <x:t xml:space="preserve">First-version boundary</x:t>
        </x:is>
      </x:c>
      <x:c r="C11" s="28" t="inlineStr">
        <x:is>
          <x:t xml:space="preserve">Current scope</x:t>
        </x:is>
      </x:c>
      <x:c r="D11" s="28" t="inlineStr">
        <x:is>
          <x:t xml:space="preserve">Inventory management is included in the first version; its scope and verification checklist are agreed.</x:t>
        </x:is>
      </x:c>
      <x:c r="E11" s="28" t="inlineStr">
        <x:is>
          <x:t xml:space="preserve">All current items</x:t>
        </x:is>
      </x:c>
      <x:c r="F11" s="28" t="inlineStr">
        <x:is>
          <x:t xml:space="preserve">Stories!B4</x:t>
        </x:is>
      </x:c>
    </x:row>
    <x:row r="12" ht="52" customHeight="1">
      <x:c r="A12" s="4" t="inlineStr">
        <x:is>
          <x:t xml:space="preserve">REQ-009</x:t>
        </x:is>
      </x:c>
      <x:c r="B12" s="4" t="inlineStr">
        <x:is>
          <x:t xml:space="preserve">First-version boundary</x:t>
        </x:is>
      </x:c>
      <x:c r="C12" s="4" t="inlineStr">
        <x:is>
          <x:t xml:space="preserve">##FUTURE</x:t>
        </x:is>
      </x:c>
      <x:c r="D12" s="4" t="inlineStr">
        <x:is>
          <x:t xml:space="preserve">Household management and appointment management remain future modules.</x:t>
        </x:is>
      </x:c>
      <x:c r="E12" s="4" t="inlineStr">
        <x:is>
          <x:t xml:space="preserve">Deferred — no current item</x:t>
        </x:is>
      </x:c>
      <x:c r="F12" s="4" t="inlineStr">
        <x:is>
          <x:t xml:space="preserve">Deferred</x:t>
        </x:is>
      </x:c>
    </x:row>
    <x:row r="13" ht="106" customHeight="1">
      <x:c r="A13" s="28" t="inlineStr">
        <x:is>
          <x:t xml:space="preserve">REQ-010</x:t>
        </x:is>
      </x:c>
      <x:c r="B13" s="28" t="inlineStr">
        <x:is>
          <x:t xml:space="preserve">First-version boundary</x:t>
        </x:is>
      </x:c>
      <x:c r="C13" s="28" t="inlineStr">
        <x:is>
          <x:t xml:space="preserve">Current scope</x:t>
        </x:is>
      </x:c>
      <x:c r="D13" s="28" t="inlineStr">
        <x:is>
          <x:t xml:space="preserve">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x:t>
        </x:is>
      </x:c>
      <x:c r="E13" s="28" t="inlineStr">
        <x:is>
          <x:t xml:space="preserve">FB-057–FB-064</x:t>
        </x:is>
      </x:c>
      <x:c r="F13" s="28" t="inlineStr">
        <x:is>
          <x:t xml:space="preserve">Stories!B63</x:t>
        </x:is>
      </x:c>
    </x:row>
    <x:row r="14" ht="52" customHeight="1">
      <x:c r="A14" s="4" t="inlineStr">
        <x:is>
          <x:t xml:space="preserve">REQ-011</x:t>
        </x:is>
      </x:c>
      <x:c r="B14" s="4" t="inlineStr">
        <x:is>
          <x:t xml:space="preserve">First-version boundary</x:t>
        </x:is>
      </x:c>
      <x:c r="C14" s="4" t="inlineStr">
        <x:is>
          <x:t xml:space="preserve">Current scope</x:t>
        </x:is>
      </x:c>
      <x:c r="D14" s="4" t="inlineStr">
        <x:is>
          <x:t xml:space="preserve">Feature decisions are agreed. Review the complete scope, then choose the build order. Technical implementation details will be explained in lessons.</x:t>
        </x:is>
      </x:c>
      <x:c r="E14" s="4" t="inlineStr">
        <x:is>
          <x:t xml:space="preserve">All current items</x:t>
        </x:is>
      </x:c>
      <x:c r="F14" s="4" t="inlineStr">
        <x:is>
          <x:t xml:space="preserve">Stories!B4</x:t>
        </x:is>
      </x:c>
    </x:row>
    <x:row r="15" ht="52" customHeight="1">
      <x:c r="A15" s="28" t="inlineStr">
        <x:is>
          <x:t xml:space="preserve">REQ-012</x:t>
        </x:is>
      </x:c>
      <x:c r="B15" s="28" t="inlineStr">
        <x:is>
          <x:t xml:space="preserve">Design and teaching approach</x:t>
        </x:is>
      </x:c>
      <x:c r="C15" s="28" t="inlineStr">
        <x:is>
          <x:t xml:space="preserve">Project context</x:t>
        </x:is>
      </x:c>
      <x:c r="D15" s="28" t="inlineStr">
        <x:is>
          <x:t xml:space="preserve">Plan toward a fully functional foodbank management system while implementing only the agreed current learning scope.</x:t>
        </x:is>
      </x:c>
      <x:c r="E15" s="28" t="inlineStr">
        <x:is>
          <x:t xml:space="preserve">All current items</x:t>
        </x:is>
      </x:c>
      <x:c r="F15" s="28" t="inlineStr">
        <x:is>
          <x:t xml:space="preserve">Stories!B4</x:t>
        </x:is>
      </x:c>
    </x:row>
    <x:row r="16" ht="52" customHeight="1">
      <x:c r="A16" s="4" t="inlineStr">
        <x:is>
          <x:t xml:space="preserve">REQ-013</x:t>
        </x:is>
      </x:c>
      <x:c r="B16" s="4" t="inlineStr">
        <x:is>
          <x:t xml:space="preserve">Design and teaching approach</x:t>
        </x:is>
      </x:c>
      <x:c r="C16" s="4" t="inlineStr">
        <x:is>
          <x:t xml:space="preserve">Project context</x:t>
        </x:is>
      </x:c>
      <x:c r="D16" s="4" t="inlineStr">
        <x:is>
          <x:t xml:space="preserve">Discuss the complete system's responsibilities and connections as feature discovery progresses. The full design is not finalized yet.</x:t>
        </x:is>
      </x:c>
      <x:c r="E16" s="4" t="inlineStr">
        <x:is>
          <x:t xml:space="preserve">All current items</x:t>
        </x:is>
      </x:c>
      <x:c r="F16" s="4" t="inlineStr">
        <x:is>
          <x:t xml:space="preserve">Stories!B4</x:t>
        </x:is>
      </x:c>
    </x:row>
    <x:row r="17" ht="52" customHeight="1">
      <x:c r="A17" s="28" t="inlineStr">
        <x:is>
          <x:t xml:space="preserve">REQ-014</x:t>
        </x:is>
      </x:c>
      <x:c r="B17" s="28" t="inlineStr">
        <x:is>
          <x:t xml:space="preserve">Design and teaching approach</x:t>
        </x:is>
      </x:c>
      <x:c r="C17" s="28" t="inlineStr">
        <x:is>
          <x:t xml:space="preserve">Project context</x:t>
        </x:is>
      </x:c>
      <x:c r="D17" s="28" t="inlineStr">
        <x:is>
          <x:t xml:space="preserve">Keep current features able to connect to future household, appointment, and volunteer workflows without building those workflows prematurely.</x:t>
        </x:is>
      </x:c>
      <x:c r="E17" s="28" t="inlineStr">
        <x:is>
          <x:t xml:space="preserve">All current items</x:t>
        </x:is>
      </x:c>
      <x:c r="F17" s="28" t="inlineStr">
        <x:is>
          <x:t xml:space="preserve">Stories!B4</x:t>
        </x:is>
      </x:c>
    </x:row>
    <x:row r="18" ht="52" customHeight="1">
      <x:c r="A18" s="4" t="inlineStr">
        <x:is>
          <x:t xml:space="preserve">REQ-015</x:t>
        </x:is>
      </x:c>
      <x:c r="B18" s="4" t="inlineStr">
        <x:is>
          <x:t xml:space="preserve">Design and teaching approach</x:t>
        </x:is>
      </x:c>
      <x:c r="C18" s="4" t="inlineStr">
        <x:is>
          <x:t xml:space="preserve">Project context</x:t>
        </x:is>
      </x:c>
      <x:c r="D18" s="4" t="inlineStr">
        <x:is>
          <x:t xml:space="preserve">Choose simple structures with clear responsibilities. Do not add speculative tables, complex abstractions, or unused functionality solely for possible future requirements.</x:t>
        </x:is>
      </x:c>
      <x:c r="E18" s="4" t="inlineStr">
        <x:is>
          <x:t xml:space="preserve">All current items</x:t>
        </x:is>
      </x:c>
      <x:c r="F18" s="4" t="inlineStr">
        <x:is>
          <x:t xml:space="preserve">Stories!B4</x:t>
        </x:is>
      </x:c>
    </x:row>
    <x:row r="19" ht="52" customHeight="1">
      <x:c r="A19" s="28" t="inlineStr">
        <x:is>
          <x:t xml:space="preserve">REQ-016</x:t>
        </x:is>
      </x:c>
      <x:c r="B19" s="28" t="inlineStr">
        <x:is>
          <x:t xml:space="preserve">Design and teaching approach</x:t>
        </x:is>
      </x:c>
      <x:c r="C19" s="28" t="inlineStr">
        <x:is>
          <x:t xml:space="preserve">Project context</x:t>
        </x:is>
      </x:c>
      <x:c r="D19" s="28" t="inlineStr">
        <x:is>
          <x:t xml:space="preserve">Revisit data relationships, permissions, and record-retention needs when agreeing each feature, especially where future records may depend on today's data.</x:t>
        </x:is>
      </x:c>
      <x:c r="E19" s="28" t="inlineStr">
        <x:is>
          <x:t xml:space="preserve">All current items</x:t>
        </x:is>
      </x:c>
      <x:c r="F19" s="28" t="inlineStr">
        <x:is>
          <x:t xml:space="preserve">Stories!B4</x:t>
        </x:is>
      </x:c>
    </x:row>
    <x:row r="20" ht="52" customHeight="1">
      <x:c r="A20" s="4" t="inlineStr">
        <x:is>
          <x:t xml:space="preserve">REQ-017</x:t>
        </x:is>
      </x:c>
      <x:c r="B20" s="4" t="inlineStr">
        <x:is>
          <x:t xml:space="preserve">Design and teaching approach</x:t>
        </x:is>
      </x:c>
      <x:c r="C20" s="4" t="inlineStr">
        <x:is>
          <x:t xml:space="preserve">Project context</x:t>
        </x:is>
      </x:c>
      <x:c r="D20" s="4" t="inlineStr">
        <x:is>
          <x:t xml:space="preserve">Teach one small step at a time, emphasizing Vue, Inertia, and Tailwind.</x:t>
        </x:is>
      </x:c>
      <x:c r="E20" s="4" t="inlineStr">
        <x:is>
          <x:t xml:space="preserve">All current items</x:t>
        </x:is>
      </x:c>
      <x:c r="F20" s="4" t="inlineStr">
        <x:is>
          <x:t xml:space="preserve">Stories!B4</x:t>
        </x:is>
      </x:c>
    </x:row>
    <x:row r="21" ht="52" customHeight="1">
      <x:c r="A21" s="28" t="inlineStr">
        <x:is>
          <x:t xml:space="preserve">REQ-018</x:t>
        </x:is>
      </x:c>
      <x:c r="B21" s="28" t="inlineStr">
        <x:is>
          <x:t xml:space="preserve">Design and teaching approach</x:t>
        </x:is>
      </x:c>
      <x:c r="C21" s="28" t="inlineStr">
        <x:is>
          <x:t xml:space="preserve">Project context</x:t>
        </x:is>
      </x:c>
      <x:c r="D21" s="28" t="inlineStr">
        <x:is>
          <x:t xml:space="preserve">Mark deferred work with ##FUTURE. A future entry records direction; it does not authorize implementation or approve unspecified details.</x:t>
        </x:is>
      </x:c>
      <x:c r="E21" s="28" t="inlineStr">
        <x:is>
          <x:t xml:space="preserve">All current items</x:t>
        </x:is>
      </x:c>
      <x:c r="F21" s="28" t="inlineStr">
        <x:is>
          <x:t xml:space="preserve">Stories!B4</x:t>
        </x:is>
      </x:c>
    </x:row>
    <x:row r="22" ht="52" customHeight="1">
      <x:c r="A22" s="4" t="inlineStr">
        <x:is>
          <x:t xml:space="preserve">REQ-019</x:t>
        </x:is>
      </x:c>
      <x:c r="B22" s="4" t="inlineStr">
        <x:is>
          <x:t xml:space="preserve">1. Roles and account creation</x:t>
        </x:is>
      </x:c>
      <x:c r="C22" s="4" t="inlineStr">
        <x:is>
          <x:t xml:space="preserve">Current scope</x:t>
        </x:is>
      </x:c>
      <x:c r="D22" s="4" t="inlineStr">
        <x:is>
          <x:t xml:space="preserve">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x:t>
        </x:is>
      </x:c>
      <x:c r="E22" s="4" t="inlineStr">
        <x:is>
          <x:t xml:space="preserve">FB-004, FB-016, FB-018, FB-019</x:t>
        </x:is>
      </x:c>
      <x:c r="F22" s="4" t="inlineStr">
        <x:is>
          <x:t xml:space="preserve">Stories!B7</x:t>
        </x:is>
      </x:c>
    </x:row>
    <x:row r="23" ht="52" customHeight="1">
      <x:c r="A23" s="28" t="inlineStr">
        <x:is>
          <x:t xml:space="preserve">REQ-020</x:t>
        </x:is>
      </x:c>
      <x:c r="B23" s="28" t="inlineStr">
        <x:is>
          <x:t xml:space="preserve">1. Roles and account creation</x:t>
        </x:is>
      </x:c>
      <x:c r="C23" s="28" t="inlineStr">
        <x:is>
          <x:t xml:space="preserve">Current scope</x:t>
        </x:is>
      </x:c>
      <x:c r="D23" s="28" t="inlineStr">
        <x:is>
          <x:t xml:space="preserve">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x:t>
        </x:is>
      </x:c>
      <x:c r="E23" s="28" t="inlineStr">
        <x:is>
          <x:t xml:space="preserve">FB-004, FB-019, FB-021</x:t>
        </x:is>
      </x:c>
      <x:c r="F23" s="28" t="inlineStr">
        <x:is>
          <x:t xml:space="preserve">Stories!B7</x:t>
        </x:is>
      </x:c>
    </x:row>
    <x:row r="24" ht="52" customHeight="1">
      <x:c r="A24" s="4" t="inlineStr">
        <x:is>
          <x:t xml:space="preserve">REQ-021</x:t>
        </x:is>
      </x:c>
      <x:c r="B24" s="4" t="inlineStr">
        <x:is>
          <x:t xml:space="preserve">1. Roles and account creation</x:t>
        </x:is>
      </x:c>
      <x:c r="C24" s="4" t="inlineStr">
        <x:is>
          <x:t xml:space="preserve">Current scope</x:t>
        </x:is>
      </x:c>
      <x:c r="D24" s="4" t="inlineStr">
        <x:is>
          <x: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x:t>
        </x:is>
      </x:c>
      <x:c r="E24" s="4" t="inlineStr">
        <x:is>
          <x:t xml:space="preserve">FB-021</x:t>
        </x:is>
      </x:c>
      <x:c r="F24" s="4" t="inlineStr">
        <x:is>
          <x:t xml:space="preserve">Stories!B25</x:t>
        </x:is>
      </x:c>
    </x:row>
    <x:row r="25" ht="52" customHeight="1">
      <x:c r="A25" s="28" t="inlineStr">
        <x:is>
          <x:t xml:space="preserve">REQ-022</x:t>
        </x:is>
      </x:c>
      <x:c r="B25" s="28" t="inlineStr">
        <x:is>
          <x:t xml:space="preserve">1. Roles and account creation</x:t>
        </x:is>
      </x:c>
      <x:c r="C25" s="28" t="inlineStr">
        <x:is>
          <x:t xml:space="preserve">Current scope</x:t>
        </x:is>
      </x:c>
      <x:c r="D25" s="28" t="inlineStr">
        <x:is>
          <x:t xml:space="preserve">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E25" s="28" t="inlineStr">
        <x:is>
          <x:t xml:space="preserve">FB-004, FB-019</x:t>
        </x:is>
      </x:c>
      <x:c r="F25" s="28" t="inlineStr">
        <x:is>
          <x:t xml:space="preserve">Stories!B7</x:t>
        </x:is>
      </x:c>
    </x:row>
    <x:row r="26" ht="52" customHeight="1">
      <x:c r="A26" s="4" t="inlineStr">
        <x:is>
          <x:t xml:space="preserve">REQ-023</x:t>
        </x:is>
      </x:c>
      <x:c r="B26" s="4" t="inlineStr">
        <x:is>
          <x:t xml:space="preserve">1. Roles and account creation</x:t>
        </x:is>
      </x:c>
      <x:c r="C26" s="4" t="inlineStr">
        <x:is>
          <x:t xml:space="preserve">Current scope</x:t>
        </x:is>
      </x:c>
      <x:c r="D26" s="4" t="inlineStr">
        <x:is>
          <x:t xml:space="preserve">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x:t>
        </x:is>
      </x:c>
      <x:c r="E26" s="4" t="inlineStr">
        <x:is>
          <x:t xml:space="preserve">FB-004, FB-006–FB-007, FB-019</x:t>
        </x:is>
      </x:c>
      <x:c r="F26" s="4" t="inlineStr">
        <x:is>
          <x:t xml:space="preserve">Stories!B7</x:t>
        </x:is>
      </x:c>
    </x:row>
    <x:row r="27" ht="52" customHeight="1">
      <x:c r="A27" s="28" t="inlineStr">
        <x:is>
          <x:t xml:space="preserve">REQ-024</x:t>
        </x:is>
      </x:c>
      <x:c r="B27" s="28" t="inlineStr">
        <x:is>
          <x:t xml:space="preserve">1. Roles and account creation</x:t>
        </x:is>
      </x:c>
      <x:c r="C27" s="28" t="inlineStr">
        <x:is>
          <x:t xml:space="preserve">Current scope</x:t>
        </x:is>
      </x:c>
      <x:c r="D27" s="28" t="inlineStr">
        <x:is>
          <x:t xml:space="preserve">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7" s="28" t="inlineStr">
        <x:is>
          <x:t xml:space="preserve">FB-016–FB-023, FB-025</x:t>
        </x:is>
      </x:c>
      <x:c r="F27" s="28" t="inlineStr">
        <x:is>
          <x:t xml:space="preserve">Stories!B9</x:t>
        </x:is>
      </x:c>
    </x:row>
    <x:row r="28" ht="52" customHeight="1">
      <x:c r="A28" s="4" t="inlineStr">
        <x:is>
          <x:t xml:space="preserve">REQ-025</x:t>
        </x:is>
      </x:c>
      <x:c r="B28" s="4" t="inlineStr">
        <x:is>
          <x:t xml:space="preserve">1. Roles and account creation</x:t>
        </x:is>
      </x:c>
      <x:c r="C28" s="4" t="inlineStr">
        <x:is>
          <x:t xml:space="preserve">Current scope</x:t>
        </x:is>
      </x:c>
      <x:c r="D28" s="4" t="inlineStr">
        <x:is>
          <x:t xml:space="preserve">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8" s="4" t="inlineStr">
        <x:is>
          <x:t xml:space="preserve">FB-016–FB-023, FB-025</x:t>
        </x:is>
      </x:c>
      <x:c r="F28" s="4" t="inlineStr">
        <x:is>
          <x:t xml:space="preserve">Stories!B9</x:t>
        </x:is>
      </x:c>
    </x:row>
    <x:row r="29" ht="52" customHeight="1">
      <x:c r="A29" s="28" t="inlineStr">
        <x:is>
          <x:t xml:space="preserve">REQ-026</x:t>
        </x:is>
      </x:c>
      <x:c r="B29" s="28" t="inlineStr">
        <x:is>
          <x:t xml:space="preserve">1. Roles and account creation</x:t>
        </x:is>
      </x:c>
      <x:c r="C29" s="28" t="inlineStr">
        <x:is>
          <x:t xml:space="preserve">Current scope</x:t>
        </x:is>
      </x:c>
      <x:c r="D29" s="28" t="inlineStr">
        <x:is>
          <x:t xml:space="preserve">Public self-registration is unavailable. Only the Super Admin and managers can create accounts, within the permissions above.</x:t>
        </x:is>
      </x:c>
      <x:c r="E29" s="28" t="inlineStr">
        <x:is>
          <x:t xml:space="preserve">FB-004, FB-019</x:t>
        </x:is>
      </x:c>
      <x:c r="F29" s="28" t="inlineStr">
        <x:is>
          <x:t xml:space="preserve">Stories!B7</x:t>
        </x:is>
      </x:c>
    </x:row>
    <x:row r="30" ht="52" customHeight="1">
      <x:c r="A30" s="4" t="inlineStr">
        <x:is>
          <x:t xml:space="preserve">REQ-027</x:t>
        </x:is>
      </x:c>
      <x:c r="B30" s="4" t="inlineStr">
        <x:is>
          <x:t xml:space="preserve">1. Roles and account creation</x:t>
        </x:is>
      </x:c>
      <x:c r="C30" s="4" t="inlineStr">
        <x:is>
          <x:t xml:space="preserve">Current scope</x:t>
        </x:is>
      </x:c>
      <x:c r="D30" s="4" t="inlineStr">
        <x:is>
          <x:t xml:space="preserve">Self-service editing of one's own name, email, or phone is excluded from the current scope. Users can still change their own password.</x:t>
        </x:is>
      </x:c>
      <x:c r="E30" s="4" t="inlineStr">
        <x:is>
          <x:t xml:space="preserve">FB-017, FB-019, FB-021</x:t>
        </x:is>
      </x:c>
      <x:c r="F30" s="4" t="inlineStr">
        <x:is>
          <x:t xml:space="preserve">Stories!B10</x:t>
        </x:is>
      </x:c>
    </x:row>
    <x:row r="31" ht="52" customHeight="1">
      <x:c r="A31" s="28" t="inlineStr">
        <x:is>
          <x:t xml:space="preserve">REQ-028</x:t>
        </x:is>
      </x:c>
      <x:c r="B31" s="28" t="inlineStr">
        <x:is>
          <x:t xml:space="preserve">1. Roles and account creation</x:t>
        </x:is>
      </x:c>
      <x:c r="C31" s="28" t="inlineStr">
        <x:is>
          <x:t xml:space="preserve">Current scope</x:t>
        </x:is>
      </x:c>
      <x:c r="D31" s="28" t="inlineStr">
        <x:is>
          <x:t xml:space="preserve">User creation and editing each have their own page, rather than pop-up forms.
2026-10-26 approved create-form design: wrap fields in a named card; two columns on wider screens and one on narrow screens.</x:t>
        </x:is>
      </x:c>
      <x:c r="E31" s="28" t="inlineStr">
        <x:is>
          <x:t xml:space="preserve">FB-016–FB-023, FB-025</x:t>
        </x:is>
      </x:c>
      <x:c r="F31" s="28" t="inlineStr">
        <x:is>
          <x:t xml:space="preserve">Stories!B9</x:t>
        </x:is>
      </x:c>
    </x:row>
    <x:row r="32" ht="52" customHeight="1">
      <x:c r="A32" s="4" t="inlineStr">
        <x:is>
          <x:t xml:space="preserve">REQ-029</x:t>
        </x:is>
      </x:c>
      <x:c r="B32" s="4" t="inlineStr">
        <x:is>
          <x:t xml:space="preserve">1. Roles and account creation</x:t>
        </x:is>
      </x:c>
      <x:c r="C32" s="4" t="inlineStr">
        <x:is>
          <x:t xml:space="preserve">Current scope</x:t>
        </x:is>
      </x:c>
      <x:c r="D32" s="4" t="inlineStr">
        <x:is>
          <x:t xml:space="preserve">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x:t>
        </x:is>
      </x:c>
      <x:c r="E32" s="4" t="inlineStr">
        <x:is>
          <x:t xml:space="preserve">FB-019, FB-020, FB-021, FB-025</x:t>
        </x:is>
      </x:c>
      <x:c r="F32" s="4" t="inlineStr">
        <x:is>
          <x:t xml:space="preserve">Stories!B13</x:t>
        </x:is>
      </x:c>
    </x:row>
    <x:row r="33" ht="61" customHeight="1">
      <x:c r="A33" s="28" t="inlineStr">
        <x:is>
          <x:t xml:space="preserve">REQ-030</x:t>
        </x:is>
      </x:c>
      <x:c r="B33" s="28" t="inlineStr">
        <x:is>
          <x:t xml:space="preserve">1. Roles and account creation</x:t>
        </x:is>
      </x:c>
      <x:c r="C33" s="28" t="inlineStr">
        <x:is>
          <x:t xml:space="preserve">Current scope</x:t>
        </x:is>
      </x:c>
      <x:c r="D33" s="28" t="inlineStr">
        <x:is>
          <x:t xml:space="preserve">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x:t>
        </x:is>
      </x:c>
      <x:c r="E33" s="28" t="inlineStr">
        <x:is>
          <x:t xml:space="preserve">FB-016–FB-023, FB-025</x:t>
        </x:is>
      </x:c>
      <x:c r="F33" s="28" t="inlineStr">
        <x:is>
          <x:t xml:space="preserve">Stories!B9</x:t>
        </x:is>
      </x:c>
    </x:row>
    <x:row r="34" ht="52" customHeight="1">
      <x:c r="A34" s="4" t="inlineStr">
        <x:is>
          <x:t xml:space="preserve">REQ-031</x:t>
        </x:is>
      </x:c>
      <x:c r="B34" s="4" t="inlineStr">
        <x:is>
          <x:t xml:space="preserve">1. Roles and account creation</x:t>
        </x:is>
      </x:c>
      <x:c r="C34" s="4" t="inlineStr">
        <x:is>
          <x:t xml:space="preserve">##FUTURE</x:t>
        </x:is>
      </x:c>
      <x:c r="D34" s="4" t="inlineStr">
        <x:is>
          <x:t xml:space="preserve">##FUTURE Self-service profile editing.</x:t>
        </x:is>
      </x:c>
      <x:c r="E34" s="4" t="inlineStr">
        <x:is>
          <x:t xml:space="preserve">Deferred — no current item</x:t>
        </x:is>
      </x:c>
      <x:c r="F34" s="4" t="inlineStr">
        <x:is>
          <x:t xml:space="preserve">Deferred</x:t>
        </x:is>
      </x:c>
    </x:row>
    <x:row r="35" ht="52" customHeight="1">
      <x:c r="A35" s="28" t="inlineStr">
        <x:is>
          <x:t xml:space="preserve">REQ-032</x:t>
        </x:is>
      </x:c>
      <x:c r="B35" s="28" t="inlineStr">
        <x:is>
          <x:t xml:space="preserve">1. Roles and account creation</x:t>
        </x:is>
      </x:c>
      <x:c r="C35" s="28" t="inlineStr">
        <x:is>
          <x:t xml:space="preserve">Current scope</x:t>
        </x:is>
      </x:c>
      <x:c r="D35" s="28" t="inlineStr">
        <x:is>
          <x:t xml:space="preserve">Manager accounts use the same mandatory fields and username rules as volunteers, including username regeneration after name changes.</x:t>
        </x:is>
      </x:c>
      <x:c r="E35" s="28" t="inlineStr">
        <x:is>
          <x:t xml:space="preserve">FB-016–FB-023, FB-025</x:t>
        </x:is>
      </x:c>
      <x:c r="F35" s="28" t="inlineStr">
        <x:is>
          <x:t xml:space="preserve">Stories!B9</x:t>
        </x:is>
      </x:c>
    </x:row>
    <x:row r="36" ht="52" customHeight="1">
      <x:c r="A36" s="4" t="inlineStr">
        <x:is>
          <x:t xml:space="preserve">REQ-033</x:t>
        </x:is>
      </x:c>
      <x:c r="B36" s="4" t="inlineStr">
        <x:is>
          <x:t xml:space="preserve">1. Roles and account creation</x:t>
        </x:is>
      </x:c>
      <x:c r="C36" s="4" t="inlineStr">
        <x:is>
          <x:t xml:space="preserve">Current scope</x:t>
        </x:is>
      </x:c>
      <x:c r="D36" s="4" t="inlineStr">
        <x:is>
          <x:t xml:space="preserve">New managers follow the same initial password-change process as volunteers.</x:t>
        </x:is>
      </x:c>
      <x:c r="E36" s="4" t="inlineStr">
        <x:is>
          <x:t xml:space="preserve">FB-006–FB-007, FB-019</x:t>
        </x:is>
      </x:c>
      <x:c r="F36" s="4" t="inlineStr">
        <x:is>
          <x:t xml:space="preserve">Stories!B14</x:t>
        </x:is>
      </x:c>
    </x:row>
    <x:row r="37" ht="52" customHeight="1">
      <x:c r="A37" s="28" t="inlineStr">
        <x:is>
          <x:t xml:space="preserve">REQ-034</x:t>
        </x:is>
      </x:c>
      <x:c r="B37" s="28" t="inlineStr">
        <x:is>
          <x:t xml:space="preserve">1. Roles and account creation</x:t>
        </x:is>
      </x:c>
      <x:c r="C37" s="28" t="inlineStr">
        <x:is>
          <x:t xml:space="preserve">Current scope</x:t>
        </x:is>
      </x:c>
      <x:c r="D37" s="28" t="inlineStr">
        <x:is>
          <x:t xml:space="preserve">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37" s="28" t="inlineStr">
        <x:is>
          <x:t xml:space="preserve">FB-016–FB-023, FB-025</x:t>
        </x:is>
      </x:c>
      <x:c r="F37" s="28" t="inlineStr">
        <x:is>
          <x:t xml:space="preserve">Stories!B9</x:t>
        </x:is>
      </x:c>
    </x:row>
    <x:row r="38" ht="52" customHeight="1">
      <x:c r="A38" s="4" t="inlineStr">
        <x:is>
          <x:t xml:space="preserve">REQ-035</x:t>
        </x:is>
      </x:c>
      <x:c r="B38" s="4" t="inlineStr">
        <x:is>
          <x:t xml:space="preserve">1. Roles and account creation</x:t>
        </x:is>
      </x:c>
      <x:c r="C38" s="4" t="inlineStr">
        <x:is>
          <x:t xml:space="preserve">Current scope</x:t>
        </x:is>
      </x:c>
      <x:c r="D38" s="4" t="inlineStr">
        <x:is>
          <x:t xml:space="preserve">Email addresses must be unique across all users and roles. Creating or updating an account cannot use another account's email address.</x:t>
        </x:is>
      </x:c>
      <x:c r="E38" s="4" t="inlineStr">
        <x:is>
          <x:t xml:space="preserve">FB-016–FB-023, FB-025</x:t>
        </x:is>
      </x:c>
      <x:c r="F38" s="4" t="inlineStr">
        <x:is>
          <x:t xml:space="preserve">Stories!B9</x:t>
        </x:is>
      </x:c>
    </x:row>
    <x:row r="39" ht="52" customHeight="1">
      <x:c r="A39" s="28" t="inlineStr">
        <x:is>
          <x:t xml:space="preserve">REQ-036</x:t>
        </x:is>
      </x:c>
      <x:c r="B39" s="28" t="inlineStr">
        <x:is>
          <x:t xml:space="preserve">1. Roles and account creation</x:t>
        </x:is>
      </x:c>
      <x:c r="C39" s="28" t="inlineStr">
        <x:is>
          <x:t xml:space="preserve">Current scope</x:t>
        </x:is>
      </x:c>
      <x:c r="D39" s="28" t="inlineStr">
        <x:is>
          <x:t xml:space="preserve">Phone numbers are mandatory and may be shared by multiple users; they are not unique. Use Canadian phone-number formatting.</x:t>
        </x:is>
      </x:c>
      <x:c r="E39" s="28" t="inlineStr">
        <x:is>
          <x:t xml:space="preserve">FB-017, FB-019, FB-021</x:t>
        </x:is>
      </x:c>
      <x:c r="F39" s="28" t="inlineStr">
        <x:is>
          <x:t xml:space="preserve">Stories!B10</x:t>
        </x:is>
      </x:c>
    </x:row>
    <x:row r="40" ht="52" customHeight="1">
      <x:c r="A40" s="4" t="inlineStr">
        <x:is>
          <x:t xml:space="preserve">REQ-037</x:t>
        </x:is>
      </x:c>
      <x:c r="B40" s="4" t="inlineStr">
        <x:is>
          <x:t xml:space="preserve">1. Roles and account creation</x:t>
        </x:is>
      </x:c>
      <x:c r="C40" s="4" t="inlineStr">
        <x:is>
          <x:t xml:space="preserve">Current scope</x:t>
        </x:is>
      </x:c>
      <x:c r="D40" s="4" t="inlineStr">
        <x:is>
          <x:t xml:space="preserve">Phone input and display must use the format +1 506-555-0123: +1, a space, and the remaining digits grouped with hyphens.</x:t>
        </x:is>
      </x:c>
      <x:c r="E40" s="4" t="inlineStr">
        <x:is>
          <x:t xml:space="preserve">FB-017, FB-019, FB-021</x:t>
        </x:is>
      </x:c>
      <x:c r="F40" s="4" t="inlineStr">
        <x:is>
          <x:t xml:space="preserve">Stories!B10</x:t>
        </x:is>
      </x:c>
    </x:row>
    <x:row r="41" ht="52" customHeight="1">
      <x:c r="A41" s="28" t="inlineStr">
        <x:is>
          <x:t xml:space="preserve">REQ-038</x:t>
        </x:is>
      </x:c>
      <x:c r="B41" s="28" t="inlineStr">
        <x:is>
          <x:t xml:space="preserve">1. Roles and account creation</x:t>
        </x:is>
      </x:c>
      <x:c r="C41" s="28" t="inlineStr">
        <x:is>
          <x:t xml:space="preserve">Current scope</x:t>
        </x:is>
      </x:c>
      <x:c r="D41" s="28" t="inlineStr">
        <x:is>
          <x:t xml:space="preserve">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E41" s="28" t="inlineStr">
        <x:is>
          <x:t xml:space="preserve">FB-017, FB-019, FB-021</x:t>
        </x:is>
      </x:c>
      <x:c r="F41" s="28" t="inlineStr">
        <x:is>
          <x:t xml:space="preserve">Stories!B10</x:t>
        </x:is>
      </x:c>
    </x:row>
    <x:row r="42" ht="52" customHeight="1">
      <x:c r="A42" s="4" t="inlineStr">
        <x:is>
          <x:t xml:space="preserve">REQ-039</x:t>
        </x:is>
      </x:c>
      <x:c r="B42" s="4" t="inlineStr">
        <x:is>
          <x:t xml:space="preserve">1. Roles and account creation</x:t>
        </x:is>
      </x:c>
      <x:c r="C42" s="4" t="inlineStr">
        <x:is>
          <x:t xml:space="preserve">##FUTURE</x:t>
        </x:is>
      </x:c>
      <x:c r="D42" s="4" t="inlineStr">
        <x:is>
          <x:t xml:space="preserve">##FUTURE Additional roles.</x:t>
        </x:is>
      </x:c>
      <x:c r="E42" s="4" t="inlineStr">
        <x:is>
          <x:t xml:space="preserve">Deferred — no current item</x:t>
        </x:is>
      </x:c>
      <x:c r="F42" s="4" t="inlineStr">
        <x:is>
          <x:t xml:space="preserve">Deferred</x:t>
        </x:is>
      </x:c>
    </x:row>
    <x:row r="43" ht="52" customHeight="1">
      <x:c r="A43" s="28" t="inlineStr">
        <x:is>
          <x:t xml:space="preserve">REQ-040</x:t>
        </x:is>
      </x:c>
      <x:c r="B43" s="28" t="inlineStr">
        <x:is>
          <x:t xml:space="preserve">1. Roles and account creation</x:t>
        </x:is>
      </x:c>
      <x:c r="C43" s="28" t="inlineStr">
        <x:is>
          <x:t xml:space="preserve">Current scope</x:t>
        </x:is>
      </x:c>
      <x:c r="D43" s="28" t="inlineStr">
        <x:is>
          <x:t xml:space="preserve">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x:t>
        </x:is>
      </x:c>
      <x:c r="E43" s="28" t="inlineStr">
        <x:is>
          <x:t xml:space="preserve">FB-016–FB-023, FB-025</x:t>
        </x:is>
      </x:c>
      <x:c r="F43" s="28" t="inlineStr">
        <x:is>
          <x:t xml:space="preserve">Stories!B9</x:t>
        </x:is>
      </x:c>
    </x:row>
    <x:row r="44" ht="52" customHeight="1">
      <x:c r="A44" s="4" t="inlineStr">
        <x:is>
          <x:t xml:space="preserve">REQ-041</x:t>
        </x:is>
      </x:c>
      <x:c r="B44" s="4" t="inlineStr">
        <x:is>
          <x:t xml:space="preserve">1. Roles and account creation</x:t>
        </x:is>
      </x:c>
      <x:c r="C44" s="4" t="inlineStr">
        <x:is>
          <x:t xml:space="preserve">Current scope</x:t>
        </x:is>
      </x:c>
      <x:c r="D44" s="4" t="inlineStr">
        <x:is>
          <x:t xml:space="preserve">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x:t>
        </x:is>
      </x:c>
      <x:c r="E44" s="4" t="inlineStr">
        <x:is>
          <x:t xml:space="preserve">FB-009–FB-015</x:t>
        </x:is>
      </x:c>
      <x:c r="F44" s="4" t="inlineStr">
        <x:is>
          <x:t xml:space="preserve">Stories!B17</x:t>
        </x:is>
      </x:c>
    </x:row>
    <x:row r="45" ht="52" customHeight="1">
      <x:c r="A45" s="28" t="inlineStr">
        <x:is>
          <x:t xml:space="preserve">REQ-042</x:t>
        </x:is>
      </x:c>
      <x:c r="B45" s="28" t="inlineStr">
        <x:is>
          <x:t xml:space="preserve">1. Roles and account creation</x:t>
        </x:is>
      </x:c>
      <x:c r="C45" s="28" t="inlineStr">
        <x:is>
          <x:t xml:space="preserve">Current scope</x:t>
        </x:is>
      </x:c>
      <x:c r="D45" s="28" t="inlineStr">
        <x:is>
          <x:t xml:space="preserve">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x:t>
        </x:is>
      </x:c>
      <x:c r="E45" s="28" t="inlineStr">
        <x:is>
          <x:t xml:space="preserve">FB-009–FB-015</x:t>
        </x:is>
      </x:c>
      <x:c r="F45" s="28" t="inlineStr">
        <x:is>
          <x:t xml:space="preserve">Stories!B17</x:t>
        </x:is>
      </x:c>
    </x:row>
    <x:row r="46" ht="52" customHeight="1">
      <x:c r="A46" s="4" t="inlineStr">
        <x:is>
          <x:t xml:space="preserve">REQ-043</x:t>
        </x:is>
      </x:c>
      <x:c r="B46" s="4" t="inlineStr">
        <x:is>
          <x:t xml:space="preserve">1. Roles and account creation</x:t>
        </x:is>
      </x:c>
      <x:c r="C46" s="4" t="inlineStr">
        <x:is>
          <x:t xml:space="preserve">Current scope</x:t>
        </x:is>
      </x:c>
      <x:c r="D46" s="4" t="inlineStr">
        <x:is>
          <x:t xml:space="preserve">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x:t>
        </x:is>
      </x:c>
      <x:c r="E46" s="4" t="inlineStr">
        <x:is>
          <x:t xml:space="preserve">FB-005, FB-022</x:t>
        </x:is>
      </x:c>
      <x:c r="F46" s="4" t="inlineStr">
        <x:is>
          <x:t xml:space="preserve">Stories!B8</x:t>
        </x:is>
      </x:c>
    </x:row>
    <x:row r="47" ht="52" customHeight="1">
      <x:c r="A47" s="28" t="inlineStr">
        <x:is>
          <x:t xml:space="preserve">REQ-044</x:t>
        </x:is>
      </x:c>
      <x:c r="B47" s="28" t="inlineStr">
        <x:is>
          <x:t xml:space="preserve">1. Roles and account creation</x:t>
        </x:is>
      </x:c>
      <x:c r="C47" s="28" t="inlineStr">
        <x:is>
          <x:t xml:space="preserve">Current scope</x:t>
        </x:is>
      </x:c>
      <x:c r="D47" s="28" t="inlineStr">
        <x:is>
          <x:t xml:space="preserve">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x:t>
        </x:is>
      </x:c>
      <x:c r="E47" s="28" t="inlineStr">
        <x:is>
          <x:t xml:space="preserve">FB-005, FB-022</x:t>
        </x:is>
      </x:c>
      <x:c r="F47" s="28" t="inlineStr">
        <x:is>
          <x:t xml:space="preserve">Stories!B8</x:t>
        </x:is>
      </x:c>
    </x:row>
    <x:row r="48" ht="52" customHeight="1">
      <x:c r="A48" s="4" t="inlineStr">
        <x:is>
          <x:t xml:space="preserve">REQ-045</x:t>
        </x:is>
      </x:c>
      <x:c r="B48" s="4" t="inlineStr">
        <x:is>
          <x:t xml:space="preserve">2. Shared login for all roles</x:t>
        </x:is>
      </x:c>
      <x:c r="C48" s="4" t="inlineStr">
        <x:is>
          <x:t xml:space="preserve">Current scope</x:t>
        </x:is>
      </x:c>
      <x:c r="D48" s="4" t="inlineStr">
        <x:is>
          <x:t xml:space="preserve">Super Admin, managers, and volunteers use the same login screen.</x:t>
        </x:is>
      </x:c>
      <x:c r="E48" s="4" t="inlineStr">
        <x:is>
          <x:t xml:space="preserve">FB-002–FB-008</x:t>
        </x:is>
      </x:c>
      <x:c r="F48" s="4" t="inlineStr">
        <x:is>
          <x:t xml:space="preserve">Stories!B5</x:t>
        </x:is>
      </x:c>
    </x:row>
    <x:row r="49" ht="52" customHeight="1">
      <x:c r="A49" s="28" t="inlineStr">
        <x:is>
          <x:t xml:space="preserve">REQ-046</x:t>
        </x:is>
      </x:c>
      <x:c r="B49" s="28" t="inlineStr">
        <x:is>
          <x:t xml:space="preserve">2. Shared login for all roles</x:t>
        </x:is>
      </x:c>
      <x:c r="C49" s="28" t="inlineStr">
        <x:is>
          <x:t xml:space="preserve">Current scope</x:t>
        </x:is>
      </x:c>
      <x:c r="D49" s="28" t="inlineStr">
        <x:is>
          <x:t xml:space="preserve">The system identifies the account and uses its stored role.</x:t>
        </x:is>
      </x:c>
      <x:c r="E49" s="28" t="inlineStr">
        <x:is>
          <x:t xml:space="preserve">FB-002–FB-008</x:t>
        </x:is>
      </x:c>
      <x:c r="F49" s="28" t="inlineStr">
        <x:is>
          <x:t xml:space="preserve">Stories!B5</x:t>
        </x:is>
      </x:c>
    </x:row>
    <x:row r="50" ht="52" customHeight="1">
      <x:c r="A50" s="4" t="inlineStr">
        <x:is>
          <x:t xml:space="preserve">REQ-047</x:t>
        </x:is>
      </x:c>
      <x:c r="B50" s="4" t="inlineStr">
        <x:is>
          <x:t xml:space="preserve">2. Shared login for all roles</x:t>
        </x:is>
      </x:c>
      <x:c r="C50" s="4" t="inlineStr">
        <x:is>
          <x:t xml:space="preserve">Current scope</x:t>
        </x:is>
      </x:c>
      <x:c r="D50" s="4" t="inlineStr">
        <x:is>
          <x:t xml:space="preserve">All three roles can log in using either their username or email in the same login field.</x:t>
        </x:is>
      </x:c>
      <x:c r="E50" s="4" t="inlineStr">
        <x:is>
          <x:t xml:space="preserve">FB-002–FB-008</x:t>
        </x:is>
      </x:c>
      <x:c r="F50" s="4" t="inlineStr">
        <x:is>
          <x:t xml:space="preserve">Stories!B5</x:t>
        </x:is>
      </x:c>
    </x:row>
    <x:row r="51" ht="52" customHeight="1">
      <x:c r="A51" s="28" t="inlineStr">
        <x:is>
          <x:t xml:space="preserve">REQ-048</x:t>
        </x:is>
      </x:c>
      <x:c r="B51" s="28" t="inlineStr">
        <x:is>
          <x:t xml:space="preserve">2. Shared login for all roles</x:t>
        </x:is>
      </x:c>
      <x:c r="C51" s="28" t="inlineStr">
        <x:is>
          <x:t xml:space="preserve">##FUTURE</x:t>
        </x:is>
      </x:c>
      <x:c r="D51" s="28"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51" s="28" t="inlineStr">
        <x:is>
          <x:t xml:space="preserve">Deferred — no current item</x:t>
        </x:is>
      </x:c>
      <x:c r="F51" s="28" t="inlineStr">
        <x:is>
          <x:t xml:space="preserve">Deferred</x:t>
        </x:is>
      </x:c>
    </x:row>
    <x:row r="52" ht="61" customHeight="1">
      <x:c r="A52" s="4" t="inlineStr">
        <x:is>
          <x:t xml:space="preserve">REQ-049</x:t>
        </x:is>
      </x:c>
      <x:c r="B52" s="4" t="inlineStr">
        <x:is>
          <x:t xml:space="preserve">2. Shared login for all roles</x:t>
        </x:is>
      </x:c>
      <x:c r="C52" s="4" t="inlineStr">
        <x:is>
          <x:t xml:space="preserve">Current scope</x:t>
        </x:is>
      </x:c>
      <x:c r="D52" s="4" t="inlineStr">
        <x:is>
          <x:t xml:space="preserve">After normal login, managers land on the volunteer list, the Super Admin on the combined user list, and volunteers on their welcome page. Required initial password setup takes priority over these landing pages.</x:t>
        </x:is>
      </x:c>
      <x:c r="E52" s="4" t="inlineStr">
        <x:is>
          <x:t xml:space="preserve">FB-002–FB-008</x:t>
        </x:is>
      </x:c>
      <x:c r="F52" s="4" t="inlineStr">
        <x:is>
          <x:t xml:space="preserve">Stories!B5</x:t>
        </x:is>
      </x:c>
    </x:row>
    <x:row r="53" ht="52" customHeight="1">
      <x:c r="A53" s="28" t="inlineStr">
        <x:is>
          <x:t xml:space="preserve">REQ-050</x:t>
        </x:is>
      </x:c>
      <x:c r="B53" s="28" t="inlineStr">
        <x:is>
          <x:t xml:space="preserve">3. Basic volunteer data management (initial scope)</x:t>
        </x:is>
      </x:c>
      <x:c r="C53" s="28" t="inlineStr">
        <x:is>
          <x:t xml:space="preserve">Current scope</x:t>
        </x:is>
      </x:c>
      <x:c r="D53" s="28" t="inlineStr">
        <x:is>
          <x:t xml:space="preserve">All managers can manage all volunteers, regardless of which manager created the record.</x:t>
        </x:is>
      </x:c>
      <x:c r="E53" s="28" t="inlineStr">
        <x:is>
          <x:t xml:space="preserve">FB-016–FB-025</x:t>
        </x:is>
      </x:c>
      <x:c r="F53" s="28" t="inlineStr">
        <x:is>
          <x:t xml:space="preserve">Stories!B9</x:t>
        </x:is>
      </x:c>
    </x:row>
    <x:row r="54" ht="52" customHeight="1">
      <x:c r="A54" s="4" t="inlineStr">
        <x:is>
          <x:t xml:space="preserve">REQ-051</x:t>
        </x:is>
      </x:c>
      <x:c r="B54" s="4" t="inlineStr">
        <x:is>
          <x:t xml:space="preserve">3. Basic volunteer data management (initial scope)</x:t>
        </x:is>
      </x:c>
      <x:c r="C54" s="4" t="inlineStr">
        <x:is>
          <x:t xml:space="preserve">Current scope</x:t>
        </x:is>
      </x:c>
      <x:c r="D54" s="4" t="inlineStr">
        <x:is>
          <x:t xml:space="preserve">Managers can create, view, and update volunteer records, and mark volunteers active or inactive. Deletion is excluded from current scope.</x:t>
        </x:is>
      </x:c>
      <x:c r="E54" s="4" t="inlineStr">
        <x:is>
          <x:t xml:space="preserve">FB-016–FB-025</x:t>
        </x:is>
      </x:c>
      <x:c r="F54" s="4" t="inlineStr">
        <x:is>
          <x:t xml:space="preserve">Stories!B9</x:t>
        </x:is>
      </x:c>
    </x:row>
    <x:row r="55" ht="52" customHeight="1">
      <x:c r="A55" s="28" t="inlineStr">
        <x:is>
          <x:t xml:space="preserve">REQ-052</x:t>
        </x:is>
      </x:c>
      <x:c r="B55" s="28" t="inlineStr">
        <x:is>
          <x:t xml:space="preserve">3. Basic volunteer data management (initial scope)</x:t>
        </x:is>
      </x:c>
      <x:c r="C55" s="28" t="inlineStr">
        <x:is>
          <x:t xml:space="preserve">Current scope</x:t>
        </x:is>
      </x:c>
      <x:c r="D55" s="28" t="inlineStr">
        <x:is>
          <x:t xml:space="preserve">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x:t>
        </x:is>
      </x:c>
      <x:c r="E55" s="28" t="inlineStr">
        <x:is>
          <x:t xml:space="preserve">FB-005, FB-022</x:t>
        </x:is>
      </x:c>
      <x:c r="F55" s="28" t="inlineStr">
        <x:is>
          <x:t xml:space="preserve">Stories!B8</x:t>
        </x:is>
      </x:c>
    </x:row>
    <x:row r="56" ht="52" customHeight="1">
      <x:c r="A56" s="4" t="inlineStr">
        <x:is>
          <x:t xml:space="preserve">REQ-053</x:t>
        </x:is>
      </x:c>
      <x:c r="B56" s="4" t="inlineStr">
        <x:is>
          <x:t xml:space="preserve">3. Basic volunteer data management (initial scope)</x:t>
        </x:is>
      </x:c>
      <x:c r="C56" s="4" t="inlineStr">
        <x:is>
          <x:t xml:space="preserve">##FUTURE</x:t>
        </x:is>
      </x:c>
      <x:c r="D56" s="4" t="inlineStr">
        <x:is>
          <x:t xml:space="preserve">##FUTURE Volunteer deletion. Its behaviour, including whether records are preserved or permanently removed, has not been decided.</x:t>
        </x:is>
      </x:c>
      <x:c r="E56" s="4" t="inlineStr">
        <x:is>
          <x:t xml:space="preserve">Deferred — no current item</x:t>
        </x:is>
      </x:c>
      <x:c r="F56" s="4" t="inlineStr">
        <x:is>
          <x:t xml:space="preserve">Deferred</x:t>
        </x:is>
      </x:c>
    </x:row>
    <x:row r="57" ht="52" customHeight="1">
      <x:c r="A57" s="28" t="inlineStr">
        <x:is>
          <x:t xml:space="preserve">REQ-054</x:t>
        </x:is>
      </x:c>
      <x:c r="B57" s="28" t="inlineStr">
        <x:is>
          <x:t xml:space="preserve">3. Basic volunteer data management (initial scope)</x:t>
        </x:is>
      </x:c>
      <x:c r="C57" s="28" t="inlineStr">
        <x:is>
          <x:t xml:space="preserve">Current scope</x:t>
        </x:is>
      </x:c>
      <x:c r="D57" s="28" t="inlineStr">
        <x:is>
          <x:t xml:space="preserve">Required volunteer fields: first name, last name, username, email, phone, and status. All six fields are mandatory.</x:t>
        </x:is>
      </x:c>
      <x:c r="E57" s="28" t="inlineStr">
        <x:is>
          <x:t xml:space="preserve">FB-018–FB-021</x:t>
        </x:is>
      </x:c>
      <x:c r="F57" s="28" t="inlineStr">
        <x:is>
          <x:t xml:space="preserve">Stories!B11</x:t>
        </x:is>
      </x:c>
    </x:row>
    <x:row r="58" ht="52" customHeight="1">
      <x:c r="A58" s="4" t="inlineStr">
        <x:is>
          <x:t xml:space="preserve">REQ-055</x:t>
        </x:is>
      </x:c>
      <x:c r="B58" s="4" t="inlineStr">
        <x:is>
          <x:t xml:space="preserve">3. Basic volunteer data management (initial scope)</x:t>
        </x:is>
      </x:c>
      <x:c r="C58" s="4" t="inlineStr">
        <x:is>
          <x:t xml:space="preserve">Current scope</x:t>
        </x:is>
      </x:c>
      <x:c r="D58" s="4" t="inlineStr">
        <x:is>
          <x:t xml:space="preserve">The system generates the username; the manager does not need to enter it when creating a volunteer.</x:t>
        </x:is>
      </x:c>
      <x:c r="E58" s="4" t="inlineStr">
        <x:is>
          <x:t xml:space="preserve">FB-018–FB-021</x:t>
        </x:is>
      </x:c>
      <x:c r="F58" s="4" t="inlineStr">
        <x:is>
          <x:t xml:space="preserve">Stories!B11</x:t>
        </x:is>
      </x:c>
    </x:row>
    <x:row r="59" ht="76" customHeight="1">
      <x:c r="A59" s="28" t="inlineStr">
        <x:is>
          <x:t xml:space="preserve">REQ-056</x:t>
        </x:is>
      </x:c>
      <x:c r="B59" s="28" t="inlineStr">
        <x:is>
          <x:t xml:space="preserve">3. Basic volunteer data management (initial scope)</x:t>
        </x:is>
      </x:c>
      <x:c r="C59" s="28" t="inlineStr">
        <x:is>
          <x:t xml:space="preserve">Current scope</x:t>
        </x:is>
      </x:c>
      <x:c r="D59" s="28" t="inlineStr">
        <x:is>
          <x:t xml:space="preserve">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x:t>
        </x:is>
      </x:c>
      <x:c r="E59" s="28" t="inlineStr">
        <x:is>
          <x:t xml:space="preserve">FB-018–FB-021</x:t>
        </x:is>
      </x:c>
      <x:c r="F59" s="28" t="inlineStr">
        <x:is>
          <x:t xml:space="preserve">Stories!B11</x:t>
        </x:is>
      </x:c>
    </x:row>
    <x:row r="60" ht="52" customHeight="1">
      <x:c r="A60" s="4" t="inlineStr">
        <x:is>
          <x:t xml:space="preserve">REQ-057</x:t>
        </x:is>
      </x:c>
      <x:c r="B60" s="4" t="inlineStr">
        <x:is>
          <x:t xml:space="preserve">3. Basic volunteer data management (initial scope)</x:t>
        </x:is>
      </x:c>
      <x:c r="C60" s="4" t="inlineStr">
        <x:is>
          <x:t xml:space="preserve">Current scope</x:t>
        </x:is>
      </x:c>
      <x:c r="D60" s="4" t="inlineStr">
        <x:is>
          <x:t xml:space="preserve">Updating a volunteer's first or last name also regenerates their username from the updated name, applying the same uniqueness and numbered-suffix rules. This includes correcting a mistyped name.</x:t>
        </x:is>
      </x:c>
      <x:c r="E60" s="4" t="inlineStr">
        <x:is>
          <x:t xml:space="preserve">FB-018–FB-021</x:t>
        </x:is>
      </x:c>
      <x:c r="F60" s="4" t="inlineStr">
        <x:is>
          <x:t xml:space="preserve">Stories!B11</x:t>
        </x:is>
      </x:c>
    </x:row>
    <x:row r="61" ht="52" customHeight="1">
      <x:c r="A61" s="28" t="inlineStr">
        <x:is>
          <x:t xml:space="preserve">REQ-058</x:t>
        </x:is>
      </x:c>
      <x:c r="B61" s="28" t="inlineStr">
        <x:is>
          <x:t xml:space="preserve">3. Basic volunteer data management (initial scope)</x:t>
        </x:is>
      </x:c>
      <x:c r="C61" s="28" t="inlineStr">
        <x:is>
          <x:t xml:space="preserve">Current scope</x:t>
        </x:is>
      </x:c>
      <x:c r="D61" s="28" t="inlineStr">
        <x:is>
          <x:t xml:space="preserve">After saving a name change, show the resulting username in the confirmation message to the manager or Super Admin making the change.</x:t>
        </x:is>
      </x:c>
      <x:c r="E61" s="28" t="inlineStr">
        <x:is>
          <x:t xml:space="preserve">FB-018–FB-021</x:t>
        </x:is>
      </x:c>
      <x:c r="F61" s="28" t="inlineStr">
        <x:is>
          <x:t xml:space="preserve">Stories!B11</x:t>
        </x:is>
      </x:c>
    </x:row>
    <x:row r="62" ht="52" customHeight="1">
      <x:c r="A62" s="4" t="inlineStr">
        <x:is>
          <x:t xml:space="preserve">REQ-059</x:t>
        </x:is>
      </x:c>
      <x:c r="B62" s="4" t="inlineStr">
        <x:is>
          <x:t xml:space="preserve">3. Basic volunteer data management (initial scope)</x:t>
        </x:is>
      </x:c>
      <x:c r="C62" s="4" t="inlineStr">
        <x:is>
          <x:t xml:space="preserve">Current scope</x:t>
        </x:is>
      </x:c>
      <x:c r="D62" s="4" t="inlineStr">
        <x:is>
          <x:t xml:space="preserve">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62" s="4" t="inlineStr">
        <x:is>
          <x:t xml:space="preserve">FB-016–FB-025</x:t>
        </x:is>
      </x:c>
      <x:c r="F62" s="4" t="inlineStr">
        <x:is>
          <x:t xml:space="preserve">Stories!B9</x:t>
        </x:is>
      </x:c>
    </x:row>
    <x:row r="63" ht="52" customHeight="1">
      <x:c r="A63" s="28" t="inlineStr">
        <x:is>
          <x:t xml:space="preserve">REQ-060</x:t>
        </x:is>
      </x:c>
      <x:c r="B63" s="28" t="inlineStr">
        <x:is>
          <x:t xml:space="preserve">3. Basic volunteer data management (initial scope)</x:t>
        </x:is>
      </x:c>
      <x:c r="C63" s="28" t="inlineStr">
        <x:is>
          <x:t xml:space="preserve">Current scope</x:t>
        </x:is>
      </x:c>
      <x:c r="D63" s="28" t="inlineStr">
        <x:is>
          <x:t xml:space="preserve">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x:t>
        </x:is>
      </x:c>
      <x:c r="E63" s="28" t="inlineStr">
        <x:is>
          <x:t xml:space="preserve">FB-018–FB-021</x:t>
        </x:is>
      </x:c>
      <x:c r="F63" s="28" t="inlineStr">
        <x:is>
          <x:t xml:space="preserve">Stories!B11</x:t>
        </x:is>
      </x:c>
    </x:row>
    <x:row r="64" ht="52" customHeight="1">
      <x:c r="A64" s="4" t="inlineStr">
        <x:is>
          <x:t xml:space="preserve">REQ-061</x:t>
        </x:is>
      </x:c>
      <x:c r="B64" s="4" t="inlineStr">
        <x:is>
          <x:t xml:space="preserve">3. Basic volunteer data management (initial scope)</x:t>
        </x:is>
      </x:c>
      <x:c r="C64" s="4" t="inlineStr">
        <x:is>
          <x:t xml:space="preserve">Current scope</x:t>
        </x:is>
      </x:c>
      <x:c r="D64" s="4" t="inlineStr">
        <x:is>
          <x:t xml:space="preserve">Include pagination with 10 volunteers per page and Previous / Next controls. Search and status filters apply to the full list before it is divided into pages.</x:t>
        </x:is>
      </x:c>
      <x:c r="E64" s="4" t="inlineStr">
        <x:is>
          <x:t xml:space="preserve">FB-009–FB-015</x:t>
        </x:is>
      </x:c>
      <x:c r="F64" s="4" t="inlineStr">
        <x:is>
          <x:t xml:space="preserve">Stories!B17</x:t>
        </x:is>
      </x:c>
    </x:row>
    <x:row r="65" ht="61" customHeight="1">
      <x:c r="A65" s="28" t="inlineStr">
        <x:is>
          <x:t xml:space="preserve">REQ-062</x:t>
        </x:is>
      </x:c>
      <x:c r="B65" s="28" t="inlineStr">
        <x:is>
          <x:t xml:space="preserve">3. Basic volunteer data management (initial scope)</x:t>
        </x:is>
      </x:c>
      <x:c r="C65" s="28" t="inlineStr">
        <x:is>
          <x:t xml:space="preserve">Current scope</x:t>
        </x:is>
      </x:c>
      <x:c r="D65" s="28" t="inlineStr">
        <x:is>
          <x:t xml:space="preserve">Preserve actual first and last names as entered. When generating usernames only, remove spaces, hyphens, and apostrophes from each name part before joining them with a dot. For example, Mary Jane O'Connor becomes maryjane.oconnor, subject to uniqueness suffixes.</x:t>
        </x:is>
      </x:c>
      <x:c r="E65" s="28" t="inlineStr">
        <x:is>
          <x:t xml:space="preserve">FB-018–FB-021</x:t>
        </x:is>
      </x:c>
      <x:c r="F65" s="28" t="inlineStr">
        <x:is>
          <x:t xml:space="preserve">Stories!B11</x:t>
        </x:is>
      </x:c>
    </x:row>
    <x:row r="66" ht="52" customHeight="1">
      <x:c r="A66" s="4" t="inlineStr">
        <x:is>
          <x:t xml:space="preserve">REQ-063</x:t>
        </x:is>
      </x:c>
      <x:c r="B66" s="4" t="inlineStr">
        <x:is>
          <x:t xml:space="preserve">3. Basic volunteer data management (initial scope)</x:t>
        </x:is>
      </x:c>
      <x:c r="C66" s="4" t="inlineStr">
        <x:is>
          <x:t xml:space="preserve">Current scope</x:t>
        </x:is>
      </x:c>
      <x:c r="D66" s="4" t="inlineStr">
        <x:is>
          <x:t xml:space="preserve">Convert accented letters to plain letters in generated usernames only. Preserve accents in actual names. For example, Émilie Côté becomes emilie.cote, subject to uniqueness suffixes.</x:t>
        </x:is>
      </x:c>
      <x:c r="E66" s="4" t="inlineStr">
        <x:is>
          <x:t xml:space="preserve">FB-018–FB-021</x:t>
        </x:is>
      </x:c>
      <x:c r="F66" s="4" t="inlineStr">
        <x:is>
          <x:t xml:space="preserve">Stories!B11</x:t>
        </x:is>
      </x:c>
    </x:row>
    <x:row r="67" ht="91" customHeight="1">
      <x:c r="A67" s="28" t="inlineStr">
        <x:is>
          <x:t xml:space="preserve">REQ-064</x:t>
        </x:is>
      </x:c>
      <x:c r="B67" s="28" t="inlineStr">
        <x:is>
          <x:t xml:space="preserve">3. Basic volunteer data management (initial scope)</x:t>
        </x:is>
      </x:c>
      <x:c r="C67" s="28" t="inlineStr">
        <x:is>
          <x:t xml:space="preserve">Current scope</x:t>
        </x:is>
      </x:c>
      <x:c r="D67" s="28" t="inlineStr">
        <x:is>
          <x:t xml:space="preserve">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x:t>
        </x:is>
      </x:c>
      <x:c r="E67" s="28" t="inlineStr">
        <x:is>
          <x:t xml:space="preserve">FB-018–FB-021</x:t>
        </x:is>
      </x:c>
      <x:c r="F67" s="28" t="inlineStr">
        <x:is>
          <x:t xml:space="preserve">Stories!B11</x:t>
        </x:is>
      </x:c>
    </x:row>
    <x:row r="68" ht="52" customHeight="1">
      <x:c r="A68" s="4" t="inlineStr">
        <x:is>
          <x:t xml:space="preserve">REQ-065</x:t>
        </x:is>
      </x:c>
      <x:c r="B68" s="4" t="inlineStr">
        <x:is>
          <x:t xml:space="preserve">3. Basic volunteer data management (initial scope)</x:t>
        </x:is>
      </x:c>
      <x:c r="C68" s="4" t="inlineStr">
        <x:is>
          <x:t xml:space="preserve">Current scope</x:t>
        </x:is>
      </x:c>
      <x:c r="D68" s="4" t="inlineStr">
        <x:is>
          <x:t xml:space="preserve">Manager and volunteer first/last names are required, each 1–100 characters after trimming leading/trailing spaces. Preserve internal spaces, supported punctuation, and accents in actual stored names.</x:t>
        </x:is>
      </x:c>
      <x:c r="E68" s="4" t="inlineStr">
        <x:is>
          <x:t xml:space="preserve">FB-018–FB-021</x:t>
        </x:is>
      </x:c>
      <x:c r="F68" s="4" t="inlineStr">
        <x:is>
          <x:t xml:space="preserve">Stories!B11</x:t>
        </x:is>
      </x:c>
    </x:row>
    <x:row r="69" ht="52" customHeight="1">
      <x:c r="A69" s="28" t="inlineStr">
        <x:is>
          <x:t xml:space="preserve">REQ-066</x:t>
        </x:is>
      </x:c>
      <x:c r="B69" s="28" t="inlineStr">
        <x:is>
          <x:t xml:space="preserve">3. Basic volunteer data management (initial scope)</x:t>
        </x:is>
      </x:c>
      <x:c r="C69" s="28" t="inlineStr">
        <x:is>
          <x:t xml:space="preserve">Current scope</x:t>
        </x:is>
      </x:c>
      <x:c r="D69" s="28" t="inlineStr">
        <x:is>
          <x:t xml:space="preserve">Account email is required, must have a valid email format, and may contain at most 254 characters. Email uniqueness ignores capitalization across all users and roles.</x:t>
        </x:is>
      </x:c>
      <x:c r="E69" s="28" t="inlineStr">
        <x:is>
          <x:t xml:space="preserve">FB-016–FB-025</x:t>
        </x:is>
      </x:c>
      <x:c r="F69" s="28" t="inlineStr">
        <x:is>
          <x:t xml:space="preserve">Stories!B9</x:t>
        </x:is>
      </x:c>
    </x:row>
    <x:row r="70" ht="52" customHeight="1">
      <x:c r="A70" s="4" t="inlineStr">
        <x:is>
          <x:t xml:space="preserve">REQ-067</x:t>
        </x:is>
      </x:c>
      <x:c r="B70" s="4" t="inlineStr">
        <x:is>
          <x:t xml:space="preserve">3. Basic volunteer data management (initial scope)</x:t>
        </x:is>
      </x:c>
      <x:c r="C70" s="4" t="inlineStr">
        <x:is>
          <x:t xml:space="preserve">Current scope</x:t>
        </x:is>
      </x:c>
      <x:c r="D70" s="4" t="inlineStr">
        <x:is>
          <x:t xml:space="preserve">Account phone is required: 10 digits after +1, formatted +1 506-555-0123. Account phone numbers may be shared, unlike household phone numbers.</x:t>
        </x:is>
      </x:c>
      <x:c r="E70" s="4" t="inlineStr">
        <x:is>
          <x:t xml:space="preserve">FB-016–FB-025</x:t>
        </x:is>
      </x:c>
      <x:c r="F70" s="4" t="inlineStr">
        <x:is>
          <x:t xml:space="preserve">Stories!B9</x:t>
        </x:is>
      </x:c>
    </x:row>
    <x:row r="71" ht="52" customHeight="1">
      <x:c r="A71" s="28" t="inlineStr">
        <x:is>
          <x:t xml:space="preserve">REQ-068</x:t>
        </x:is>
      </x:c>
      <x:c r="B71" s="28" t="inlineStr">
        <x:is>
          <x:t xml:space="preserve">3. Basic volunteer data management (initial scope)</x:t>
        </x:is>
      </x:c>
      <x:c r="C71" s="28" t="inlineStr">
        <x:is>
          <x:t xml:space="preserve">Current scope</x:t>
        </x:is>
      </x:c>
      <x:c r="D71" s="28" t="inlineStr">
        <x:is>
          <x:t xml:space="preserve">Invalid account input shows a field-specific error and retains other entered values so the user can correct the form.</x:t>
        </x:is>
      </x:c>
      <x:c r="E71" s="28" t="inlineStr">
        <x:is>
          <x:t xml:space="preserve">FB-016–FB-025</x:t>
        </x:is>
      </x:c>
      <x:c r="F71" s="28" t="inlineStr">
        <x:is>
          <x:t xml:space="preserve">Stories!B9</x:t>
        </x:is>
      </x:c>
    </x:row>
    <x:row r="72" ht="52" customHeight="1">
      <x:c r="A72" s="4" t="inlineStr">
        <x:is>
          <x:t xml:space="preserve">REQ-069</x:t>
        </x:is>
      </x:c>
      <x:c r="B72" s="4" t="inlineStr">
        <x:is>
          <x:t xml:space="preserve">3. Basic volunteer data management (initial scope)</x:t>
        </x:is>
      </x:c>
      <x:c r="C72" s="4" t="inlineStr">
        <x:is>
          <x:t xml:space="preserve">##FUTURE</x:t>
        </x:is>
      </x:c>
      <x:c r="D72" s="4" t="inlineStr">
        <x:is>
          <x:t xml:space="preserve">##FUTURE The broader volunteer module; its additional features have not yet been defined.</x:t>
        </x:is>
      </x:c>
      <x:c r="E72" s="4" t="inlineStr">
        <x:is>
          <x:t xml:space="preserve">Deferred — no current item</x:t>
        </x:is>
      </x:c>
      <x:c r="F72" s="4" t="inlineStr">
        <x:is>
          <x:t xml:space="preserve">Deferred</x:t>
        </x:is>
      </x:c>
    </x:row>
    <x:row r="73" ht="52" customHeight="1">
      <x:c r="A73" s="28" t="inlineStr">
        <x:is>
          <x:t xml:space="preserve">REQ-070</x:t>
        </x:is>
      </x:c>
      <x:c r="B73" s="28" t="inlineStr">
        <x:is>
          <x:t xml:space="preserve">4. Volunteer access in the current version</x:t>
        </x:is>
      </x:c>
      <x:c r="C73" s="28" t="inlineStr">
        <x:is>
          <x:t xml:space="preserve">Current scope</x:t>
        </x:is>
      </x:c>
      <x:c r="D73" s="28" t="inlineStr">
        <x:is>
          <x:t xml:space="preserve">After completing initial password setup and logging in again, volunteers see a simple welcome page with Change Password and Log Out options.
2026-10-29 scheduling: FB-008 implementation, review and testing deferred to project end; remains required current scope and unverified. See REQ-172.</x:t>
        </x:is>
      </x:c>
      <x:c r="E73" s="28" t="inlineStr">
        <x:is>
          <x:t xml:space="preserve">FB-008, FB-024</x:t>
        </x:is>
      </x:c>
      <x:c r="F73" s="28" t="inlineStr">
        <x:is>
          <x:t xml:space="preserve">Stories!B24</x:t>
        </x:is>
      </x:c>
    </x:row>
    <x:row r="74" ht="52" customHeight="1">
      <x:c r="A74" s="4" t="inlineStr">
        <x:is>
          <x:t xml:space="preserve">REQ-071</x:t>
        </x:is>
      </x:c>
      <x:c r="B74" s="4" t="inlineStr">
        <x:is>
          <x:t xml:space="preserve">4. Volunteer access in the current version</x:t>
        </x:is>
      </x:c>
      <x:c r="C74" s="4" t="inlineStr">
        <x:is>
          <x:t xml:space="preserve">Current scope</x:t>
        </x:is>
      </x:c>
      <x:c r="D74" s="4" t="inlineStr">
        <x:is>
          <x:t xml:space="preserve">Volunteers cannot access other users' records.</x:t>
        </x:is>
      </x:c>
      <x:c r="E74" s="4" t="inlineStr">
        <x:is>
          <x:t xml:space="preserve">FB-008, FB-015, FB-037–FB-066</x:t>
        </x:is>
      </x:c>
      <x:c r="F74" s="4" t="inlineStr">
        <x:is>
          <x:t xml:space="preserve">Stories!B24</x:t>
        </x:is>
      </x:c>
    </x:row>
    <x:row r="75" ht="76" customHeight="1">
      <x:c r="A75" s="28" t="inlineStr">
        <x:is>
          <x:t xml:space="preserve">REQ-072</x:t>
        </x:is>
      </x:c>
      <x:c r="B75" s="28" t="inlineStr">
        <x:is>
          <x:t xml:space="preserve">4. Volunteer access in the current version</x:t>
        </x:is>
      </x:c>
      <x:c r="C75" s="28" t="inlineStr">
        <x:is>
          <x:t xml:space="preserve">Current scope</x:t>
        </x:is>
      </x:c>
      <x:c r="D75" s="28" t="inlineStr">
        <x:is>
          <x:t xml:space="preserve">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x:t>
        </x:is>
      </x:c>
      <x:c r="E75" s="28" t="inlineStr">
        <x:is>
          <x:t xml:space="preserve">FB-008, FB-015, FB-037–FB-066</x:t>
        </x:is>
      </x:c>
      <x:c r="F75" s="28" t="inlineStr">
        <x:is>
          <x:t xml:space="preserve">Stories!B24</x:t>
        </x:is>
      </x:c>
    </x:row>
    <x:row r="76" ht="52" customHeight="1">
      <x:c r="A76" s="4" t="inlineStr">
        <x:is>
          <x:t xml:space="preserve">REQ-073</x:t>
        </x:is>
      </x:c>
      <x:c r="B76" s="4" t="inlineStr">
        <x:is>
          <x:t xml:space="preserve">4. Volunteer access in the current version</x:t>
        </x:is>
      </x:c>
      <x:c r="C76" s="4" t="inlineStr">
        <x:is>
          <x:t xml:space="preserve">##FUTURE</x:t>
        </x:is>
      </x:c>
      <x:c r="D76" s="4" t="inlineStr">
        <x:is>
          <x:t xml:space="preserve">Broader volunteer functionality remains ##FUTURE.</x:t>
        </x:is>
      </x:c>
      <x:c r="E76" s="4" t="inlineStr">
        <x:is>
          <x:t xml:space="preserve">Deferred — no current item</x:t>
        </x:is>
      </x:c>
      <x:c r="F76" s="4" t="inlineStr">
        <x:is>
          <x:t xml:space="preserve">Deferred</x:t>
        </x:is>
      </x:c>
    </x:row>
    <x:row r="77" ht="52" customHeight="1">
      <x:c r="A77" s="28" t="inlineStr">
        <x:is>
          <x:t xml:space="preserve">REQ-074</x:t>
        </x:is>
      </x:c>
      <x:c r="B77" s="28" t="inlineStr">
        <x:is>
          <x:t xml:space="preserve">5. Initial password setup and later password changes</x:t>
        </x:is>
      </x:c>
      <x:c r="C77" s="28" t="inlineStr">
        <x:is>
          <x:t xml:space="preserve">Current scope</x:t>
        </x:is>
      </x:c>
      <x:c r="D77" s="28" t="inlineStr">
        <x:is>
          <x:t xml:space="preserve">A common initial password is supplied through application configuration.</x:t>
        </x:is>
      </x:c>
      <x:c r="E77" s="28" t="inlineStr">
        <x:is>
          <x:t xml:space="preserve">FB-004–FB-007, FB-019, FB-023</x:t>
        </x:is>
      </x:c>
      <x:c r="F77" s="28" t="inlineStr">
        <x:is>
          <x:t xml:space="preserve">Stories!B7</x:t>
        </x:is>
      </x:c>
    </x:row>
    <x:row r="78" ht="52" customHeight="1">
      <x:c r="A78" s="4" t="inlineStr">
        <x:is>
          <x:t xml:space="preserve">REQ-075</x:t>
        </x:is>
      </x:c>
      <x:c r="B78" s="4" t="inlineStr">
        <x:is>
          <x:t xml:space="preserve">5. Initial password setup and later password changes</x:t>
        </x:is>
      </x:c>
      <x:c r="C78" s="4" t="inlineStr">
        <x:is>
          <x:t xml:space="preserve">Current scope</x:t>
        </x:is>
      </x:c>
      <x:c r="D78" s="4" t="inlineStr">
        <x:is>
          <x:t xml:space="preserve">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E78" s="4" t="inlineStr">
        <x:is>
          <x:t xml:space="preserve">FB-004–FB-007, FB-019, FB-023</x:t>
        </x:is>
      </x:c>
      <x:c r="F78" s="4" t="inlineStr">
        <x:is>
          <x:t xml:space="preserve">Stories!B7</x:t>
        </x:is>
      </x:c>
    </x:row>
    <x:row r="79" ht="52" customHeight="1">
      <x:c r="A79" s="28" t="inlineStr">
        <x:is>
          <x:t xml:space="preserve">REQ-076</x:t>
        </x:is>
      </x:c>
      <x:c r="B79" s="28" t="inlineStr">
        <x:is>
          <x:t xml:space="preserve">5. Initial password setup and later password changes</x:t>
        </x:is>
      </x:c>
      <x:c r="C79" s="28" t="inlineStr">
        <x:is>
          <x:t xml:space="preserve">Current scope</x:t>
        </x:is>
      </x:c>
      <x:c r="D79" s="28" t="inlineStr">
        <x:is>
          <x:t xml:space="preserve">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x:t>
        </x:is>
      </x:c>
      <x:c r="E79" s="28" t="inlineStr">
        <x:is>
          <x:t xml:space="preserve">FB-004–FB-007, FB-019, FB-023</x:t>
        </x:is>
      </x:c>
      <x:c r="F79" s="28" t="inlineStr">
        <x:is>
          <x:t xml:space="preserve">Stories!B7</x:t>
        </x:is>
      </x:c>
    </x:row>
    <x:row r="80" ht="52" customHeight="1">
      <x:c r="A80" s="4" t="inlineStr">
        <x:is>
          <x:t xml:space="preserve">REQ-077</x:t>
        </x:is>
      </x:c>
      <x:c r="B80" s="4" t="inlineStr">
        <x:is>
          <x:t xml:space="preserve">5. Initial password setup and later password changes</x:t>
        </x:is>
      </x:c>
      <x:c r="C80" s="4" t="inlineStr">
        <x:is>
          <x:t xml:space="preserve">Current scope</x:t>
        </x:is>
      </x:c>
      <x:c r="D80" s="4" t="inlineStr">
        <x:is>
          <x:t xml:space="preserve">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0" s="4" t="inlineStr">
        <x:is>
          <x:t xml:space="preserve">FB-004–FB-007, FB-019, FB-023</x:t>
        </x:is>
      </x:c>
      <x:c r="F80" s="4" t="inlineStr">
        <x:is>
          <x:t xml:space="preserve">Stories!B7</x:t>
        </x:is>
      </x:c>
    </x:row>
    <x:row r="81" ht="52" customHeight="1">
      <x:c r="A81" s="28" t="inlineStr">
        <x:is>
          <x:t xml:space="preserve">REQ-078</x:t>
        </x:is>
      </x:c>
      <x:c r="B81" s="28" t="inlineStr">
        <x:is>
          <x:t xml:space="preserve">5. Initial password setup and later password changes</x:t>
        </x:is>
      </x:c>
      <x:c r="C81" s="28" t="inlineStr">
        <x:is>
          <x:t xml:space="preserve">Current scope</x:t>
        </x:is>
      </x:c>
      <x:c r="D81" s="28" t="inlineStr">
        <x:is>
          <x:t xml:space="preserve">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1" s="28" t="inlineStr">
        <x:is>
          <x:t xml:space="preserve">FB-004–FB-007, FB-019, FB-023</x:t>
        </x:is>
      </x:c>
      <x:c r="F81" s="28" t="inlineStr">
        <x:is>
          <x:t xml:space="preserve">Stories!B7</x:t>
        </x:is>
      </x:c>
    </x:row>
    <x:row r="82" ht="52" customHeight="1">
      <x:c r="A82" s="4" t="inlineStr">
        <x:is>
          <x:t xml:space="preserve">REQ-079</x:t>
        </x:is>
      </x:c>
      <x:c r="B82" s="4" t="inlineStr">
        <x:is>
          <x:t xml:space="preserve">5. Initial password setup and later password changes</x:t>
        </x:is>
      </x:c>
      <x:c r="C82" s="4" t="inlineStr">
        <x:is>
          <x:t xml:space="preserve">Current scope</x:t>
        </x:is>
      </x:c>
      <x:c r="D82" s="4" t="inlineStr">
        <x:is>
          <x:t xml:space="preserve">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x:t>
        </x:is>
      </x:c>
      <x:c r="E82" s="4" t="inlineStr">
        <x:is>
          <x:t xml:space="preserve">FB-004–FB-007, FB-019, FB-023</x:t>
        </x:is>
      </x:c>
      <x:c r="F82" s="4" t="inlineStr">
        <x:is>
          <x:t xml:space="preserve">Stories!B7</x:t>
        </x:is>
      </x:c>
    </x:row>
    <x:row r="83" ht="61" customHeight="1">
      <x:c r="A83" s="28" t="inlineStr">
        <x:is>
          <x:t xml:space="preserve">REQ-080</x:t>
        </x:is>
      </x:c>
      <x:c r="B83" s="28" t="inlineStr">
        <x:is>
          <x:t xml:space="preserve">5. Initial password setup and later password changes</x:t>
        </x:is>
      </x:c>
      <x:c r="C83" s="28" t="inlineStr">
        <x:is>
          <x:t xml:space="preserve">Current scope</x:t>
        </x:is>
      </x:c>
      <x:c r="D83" s="28" t="inlineStr">
        <x:is>
          <x:t xml:space="preserve">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x:t>
        </x:is>
      </x:c>
      <x:c r="E83" s="28" t="inlineStr">
        <x:is>
          <x:t xml:space="preserve">FB-023</x:t>
        </x:is>
      </x:c>
      <x:c r="F83" s="28" t="inlineStr">
        <x:is>
          <x:t xml:space="preserve">Stories!B27</x:t>
        </x:is>
      </x:c>
    </x:row>
    <x:row r="84" ht="52" customHeight="1">
      <x:c r="A84" s="4" t="inlineStr">
        <x:is>
          <x:t xml:space="preserve">REQ-081</x:t>
        </x:is>
      </x:c>
      <x:c r="B84" s="4" t="inlineStr">
        <x:is>
          <x:t xml:space="preserve">5. Initial password setup and later password changes</x:t>
        </x:is>
      </x:c>
      <x:c r="C84" s="4" t="inlineStr">
        <x:is>
          <x:t xml:space="preserve">Current scope</x:t>
        </x:is>
      </x:c>
      <x:c r="D84" s="4" t="inlineStr">
        <x:is>
          <x:t xml:space="preserve">The common password becomes valid again only through this explicit reset, not as an automatic fallback. The volunteer's old personal password stops working when the reset occurs.</x:t>
        </x:is>
      </x:c>
      <x:c r="E84" s="4" t="inlineStr">
        <x:is>
          <x:t xml:space="preserve">FB-023</x:t>
        </x:is>
      </x:c>
      <x:c r="F84" s="4" t="inlineStr">
        <x:is>
          <x:t xml:space="preserve">Stories!B27</x:t>
        </x:is>
      </x:c>
    </x:row>
    <x:row r="85" ht="52" customHeight="1">
      <x:c r="A85" s="28" t="inlineStr">
        <x:is>
          <x:t xml:space="preserve">REQ-082</x:t>
        </x:is>
      </x:c>
      <x:c r="B85" s="28" t="inlineStr">
        <x:is>
          <x:t xml:space="preserve">5. Initial password setup and later password changes</x:t>
        </x:is>
      </x:c>
      <x:c r="C85" s="28" t="inlineStr">
        <x:is>
          <x:t xml:space="preserve">Current scope</x:t>
        </x:is>
      </x:c>
      <x:c r="D85" s="28" t="inlineStr">
        <x:is>
          <x:t xml:space="preserve">Managers who forget their password ask the Super Admin to reset it. The reset uses the same configured common password and required password-setup cycle as volunteer resets.</x:t>
        </x:is>
      </x:c>
      <x:c r="E85" s="28" t="inlineStr">
        <x:is>
          <x:t xml:space="preserve">FB-023</x:t>
        </x:is>
      </x:c>
      <x:c r="F85" s="28" t="inlineStr">
        <x:is>
          <x:t xml:space="preserve">Stories!B27</x:t>
        </x:is>
      </x:c>
    </x:row>
    <x:row r="86" ht="52" customHeight="1">
      <x:c r="A86" s="4" t="inlineStr">
        <x:is>
          <x:t xml:space="preserve">REQ-083</x:t>
        </x:is>
      </x:c>
      <x:c r="B86" s="4" t="inlineStr">
        <x:is>
          <x:t xml:space="preserve">5. Initial password setup and later password changes</x:t>
        </x:is>
      </x:c>
      <x:c r="C86" s="4" t="inlineStr">
        <x:is>
          <x:t xml:space="preserve">Current scope</x:t>
        </x:is>
      </x:c>
      <x:c r="D86" s="4" t="inlineStr">
        <x:is>
          <x:t xml:space="preserve">Administrative password resets immediately end all existing sessions for the affected account, including both volunteers and managers.</x:t>
        </x:is>
      </x:c>
      <x:c r="E86" s="4" t="inlineStr">
        <x:is>
          <x:t xml:space="preserve">FB-023</x:t>
        </x:is>
      </x:c>
      <x:c r="F86" s="4" t="inlineStr">
        <x:is>
          <x:t xml:space="preserve">Stories!B27</x:t>
        </x:is>
      </x:c>
    </x:row>
    <x:row r="87" ht="52" customHeight="1">
      <x:c r="A87" s="28" t="inlineStr">
        <x:is>
          <x:t xml:space="preserve">REQ-084</x:t>
        </x:is>
      </x:c>
      <x:c r="B87" s="28" t="inlineStr">
        <x:is>
          <x:t xml:space="preserve">5. Initial password setup and later password changes</x:t>
        </x:is>
      </x:c>
      <x:c r="C87" s="28" t="inlineStr">
        <x:is>
          <x:t xml:space="preserve">Current scope</x:t>
        </x:is>
      </x:c>
      <x:c r="D87" s="28" t="inlineStr">
        <x:is>
          <x:t xml:space="preserve">The Super Admin can reset passwords for both managers and volunteers, using the same reset and required setup process.</x:t>
        </x:is>
      </x:c>
      <x:c r="E87" s="28" t="inlineStr">
        <x:is>
          <x:t xml:space="preserve">FB-023</x:t>
        </x:is>
      </x:c>
      <x:c r="F87" s="28" t="inlineStr">
        <x:is>
          <x:t xml:space="preserve">Stories!B27</x:t>
        </x:is>
      </x:c>
    </x:row>
    <x:row r="88" ht="52" customHeight="1">
      <x:c r="A88" s="4" t="inlineStr">
        <x:is>
          <x:t xml:space="preserve">REQ-085</x:t>
        </x:is>
      </x:c>
      <x:c r="B88" s="4" t="inlineStr">
        <x:is>
          <x:t xml:space="preserve">5. Initial password setup and later password changes</x:t>
        </x:is>
      </x:c>
      <x:c r="C88" s="4" t="inlineStr">
        <x:is>
          <x:t xml:space="preserve">Current scope</x:t>
        </x:is>
      </x:c>
      <x:c r="D88" s="4" t="inlineStr">
        <x:is>
          <x:t xml:space="preserve">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x:t>
        </x:is>
      </x:c>
      <x:c r="E88" s="4" t="inlineStr">
        <x:is>
          <x:t xml:space="preserve">FB-023</x:t>
        </x:is>
      </x:c>
      <x:c r="F88" s="4" t="inlineStr">
        <x:is>
          <x:t xml:space="preserve">Stories!B27</x:t>
        </x:is>
      </x:c>
    </x:row>
    <x:row r="89" ht="52" customHeight="1">
      <x:c r="A89" s="28" t="inlineStr">
        <x:is>
          <x:t xml:space="preserve">REQ-086</x:t>
        </x:is>
      </x:c>
      <x:c r="B89" s="28" t="inlineStr">
        <x:is>
          <x:t xml:space="preserve">5. Initial password setup and later password changes</x:t>
        </x:is>
      </x:c>
      <x:c r="C89" s="28" t="inlineStr">
        <x:is>
          <x:t xml:space="preserve">Current scope</x:t>
        </x:is>
      </x:c>
      <x:c r="D89" s="28" t="inlineStr">
        <x:is>
          <x:t xml:space="preserve">Password resets preserve the account's Active/Inactive status. An inactive account remains blocked from login until separately reactivated by an authorized user.</x:t>
        </x:is>
      </x:c>
      <x:c r="E89" s="28" t="inlineStr">
        <x:is>
          <x:t xml:space="preserve">FB-023</x:t>
        </x:is>
      </x:c>
      <x:c r="F89" s="28" t="inlineStr">
        <x:is>
          <x:t xml:space="preserve">Stories!B27</x:t>
        </x:is>
      </x:c>
    </x:row>
    <x:row r="90" ht="76" customHeight="1">
      <x:c r="A90" s="4" t="inlineStr">
        <x:is>
          <x:t xml:space="preserve">REQ-087</x:t>
        </x:is>
      </x:c>
      <x:c r="B90" s="4" t="inlineStr">
        <x:is>
          <x:t xml:space="preserve">5. Initial password setup and later password changes</x:t>
        </x:is>
      </x:c>
      <x:c r="C90" s="4" t="inlineStr">
        <x:is>
          <x:t xml:space="preserve">Current scope</x:t>
        </x:is>
      </x:c>
      <x:c r="D90" s="4" t="inlineStr">
        <x:is>
          <x:t xml:space="preserve">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x:t>
        </x:is>
      </x:c>
      <x:c r="E90" s="4" t="inlineStr">
        <x:is>
          <x:t xml:space="preserve">FB-070</x:t>
        </x:is>
      </x:c>
      <x:c r="F90" s="4" t="inlineStr">
        <x:is>
          <x:t xml:space="preserve">Stories!B73</x:t>
        </x:is>
      </x:c>
    </x:row>
    <x:row r="91" ht="52" customHeight="1">
      <x:c r="A91" s="28" t="inlineStr">
        <x:is>
          <x:t xml:space="preserve">REQ-088</x:t>
        </x:is>
      </x:c>
      <x:c r="B91" s="28" t="inlineStr">
        <x:is>
          <x:t xml:space="preserve">5. Initial password setup and later password changes</x:t>
        </x:is>
      </x:c>
      <x:c r="C91" s="28" t="inlineStr">
        <x:is>
          <x:t xml:space="preserve">Current scope</x:t>
        </x:is>
      </x:c>
      <x:c r="D91" s="28" t="inlineStr">
        <x:is>
          <x:t xml:space="preserve">Implement Super Admin recovery last in the implementation list, as requested. It remains in the agreed first-version scope.</x:t>
        </x:is>
      </x:c>
      <x:c r="E91" s="28" t="inlineStr">
        <x:is>
          <x:t xml:space="preserve">FB-070</x:t>
        </x:is>
      </x:c>
      <x:c r="F91" s="28" t="inlineStr">
        <x:is>
          <x:t xml:space="preserve">Stories!B73</x:t>
        </x:is>
      </x:c>
    </x:row>
    <x:row r="92" ht="52" customHeight="1">
      <x:c r="A92" s="4" t="inlineStr">
        <x:is>
          <x:t xml:space="preserve">REQ-089</x:t>
        </x:is>
      </x:c>
      <x:c r="B92" s="4" t="inlineStr">
        <x:is>
          <x:t xml:space="preserve">5. Initial password setup and later password changes</x:t>
        </x:is>
      </x:c>
      <x:c r="C92" s="4" t="inlineStr">
        <x:is>
          <x:t xml:space="preserve">Current scope</x:t>
        </x:is>
      </x:c>
      <x:c r="D92" s="4" t="inlineStr">
        <x:is>
          <x:t xml:space="preserve">All users can also change their own password later.</x:t>
        </x:is>
      </x:c>
      <x:c r="E92" s="4" t="inlineStr">
        <x:is>
          <x:t xml:space="preserve">FB-024</x:t>
        </x:is>
      </x:c>
      <x:c r="F92" s="4" t="inlineStr">
        <x:is>
          <x:t xml:space="preserve">Stories!B16</x:t>
        </x:is>
      </x:c>
    </x:row>
    <x:row r="93" ht="52" customHeight="1">
      <x:c r="A93" s="28" t="inlineStr">
        <x:is>
          <x:t xml:space="preserve">REQ-090</x:t>
        </x:is>
      </x:c>
      <x:c r="B93" s="28" t="inlineStr">
        <x:is>
          <x:t xml:space="preserve">5. Initial password setup and later password changes</x:t>
        </x:is>
      </x:c>
      <x:c r="C93" s="28" t="inlineStr">
        <x:is>
          <x:t xml:space="preserve">Current scope</x:t>
        </x:is>
      </x:c>
      <x:c r="D93" s="28" t="inlineStr">
        <x:is>
          <x:t xml:space="preserve">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3" s="28" t="inlineStr">
        <x:is>
          <x:t xml:space="preserve">FB-024</x:t>
        </x:is>
      </x:c>
      <x:c r="F93" s="28" t="inlineStr">
        <x:is>
          <x:t xml:space="preserve">Stories!B16</x:t>
        </x:is>
      </x:c>
    </x:row>
    <x:row r="94" ht="52" customHeight="1">
      <x:c r="A94" s="4" t="inlineStr">
        <x:is>
          <x:t xml:space="preserve">REQ-091</x:t>
        </x:is>
      </x:c>
      <x:c r="B94" s="4" t="inlineStr">
        <x:is>
          <x:t xml:space="preserve">5. Initial password setup and later password changes</x:t>
        </x:is>
      </x:c>
      <x:c r="C94" s="4" t="inlineStr">
        <x:is>
          <x:t xml:space="preserve">Current scope</x:t>
        </x:is>
      </x:c>
      <x:c r="D94" s="4" t="inlineStr">
        <x:is>
          <x:t xml:space="preserve">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4" s="4" t="inlineStr">
        <x:is>
          <x:t xml:space="preserve">FB-024</x:t>
        </x:is>
      </x:c>
      <x:c r="F94" s="4" t="inlineStr">
        <x:is>
          <x:t xml:space="preserve">Stories!B16</x:t>
        </x:is>
      </x:c>
    </x:row>
    <x:row r="95" ht="52" customHeight="1">
      <x:c r="A95" s="28" t="inlineStr">
        <x:is>
          <x:t xml:space="preserve">REQ-092</x:t>
        </x:is>
      </x:c>
      <x:c r="B95" s="28" t="inlineStr">
        <x:is>
          <x:t xml:space="preserve">5. Initial password setup and later password changes</x:t>
        </x:is>
      </x:c>
      <x:c r="C95" s="28" t="inlineStr">
        <x:is>
          <x:t xml:space="preserve">Current scope</x:t>
        </x:is>
      </x:c>
      <x:c r="D95" s="28" t="inlineStr">
        <x:is>
          <x:t xml:space="preserve">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x:t>
        </x:is>
      </x:c>
      <x:c r="E95" s="28" t="inlineStr">
        <x:is>
          <x:t xml:space="preserve">FB-004–FB-007, FB-019, FB-023</x:t>
        </x:is>
      </x:c>
      <x:c r="F95" s="28" t="inlineStr">
        <x:is>
          <x:t xml:space="preserve">Stories!B7</x:t>
        </x:is>
      </x:c>
    </x:row>
    <x:row r="96" ht="61" customHeight="1">
      <x:c r="A96" s="4" t="inlineStr">
        <x:is>
          <x:t xml:space="preserve">REQ-093</x:t>
        </x:is>
      </x:c>
      <x:c r="B96" s="4" t="inlineStr">
        <x:is>
          <x:t xml:space="preserve">5. Initial password setup and later password changes</x:t>
        </x:is>
      </x:c>
      <x:c r="C96" s="4" t="inlineStr">
        <x:is>
          <x:t xml:space="preserve">Current scope</x:t>
        </x:is>
      </x:c>
      <x:c r="D96" s="4" t="inlineStr">
        <x:is>
          <x:t xml:space="preserve">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6" s="4" t="inlineStr">
        <x:is>
          <x:t xml:space="preserve">FB-007, FB-024, FB-069, FB-070</x:t>
        </x:is>
      </x:c>
      <x:c r="F96" s="4" t="inlineStr">
        <x:is>
          <x:t xml:space="preserve">Stories!B15</x:t>
        </x:is>
      </x:c>
    </x:row>
    <x:row r="97" ht="52" customHeight="1">
      <x:c r="A97" s="28" t="inlineStr">
        <x:is>
          <x:t xml:space="preserve">REQ-094</x:t>
        </x:is>
      </x:c>
      <x:c r="B97" s="28" t="inlineStr">
        <x:is>
          <x:t xml:space="preserve">5. Initial password setup and later password changes</x:t>
        </x:is>
      </x:c>
      <x:c r="C97" s="28" t="inlineStr">
        <x:is>
          <x:t xml:space="preserve">##FUTURE</x:t>
        </x:is>
      </x:c>
      <x:c r="D97" s="28" t="inlineStr">
        <x:is>
          <x:t xml:space="preserve">##FUTURE Email links allowing new users to set their own password.</x:t>
        </x:is>
      </x:c>
      <x:c r="E97" s="28" t="inlineStr">
        <x:is>
          <x:t xml:space="preserve">Deferred — no current item</x:t>
        </x:is>
      </x:c>
      <x:c r="F97" s="28" t="inlineStr">
        <x:is>
          <x:t xml:space="preserve">Deferred</x:t>
        </x:is>
      </x:c>
    </x:row>
    <x:row r="98" ht="91" customHeight="1">
      <x:c r="A98" s="4" t="inlineStr">
        <x:is>
          <x:t xml:space="preserve">REQ-095</x:t>
        </x:is>
      </x:c>
      <x:c r="B98" s="4" t="inlineStr">
        <x:is>
          <x:t xml:space="preserve">Inventory management — first version, planning complete</x:t>
        </x:is>
      </x:c>
      <x:c r="C98" s="4" t="inlineStr">
        <x:is>
          <x:t xml:space="preserve">Current scope</x:t>
        </x:is>
      </x:c>
      <x:c r="D98" s="4" t="inlineStr">
        <x:is>
          <x:t xml:space="preserve">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x:t>
        </x:is>
      </x:c>
      <x:c r="E98" s="4" t="inlineStr">
        <x:is>
          <x:t xml:space="preserve">FB-032–FB-037, FB-047–FB-053</x:t>
        </x:is>
      </x:c>
      <x:c r="F98" s="4" t="inlineStr">
        <x:is>
          <x:t xml:space="preserve">Stories!B35</x:t>
        </x:is>
      </x:c>
    </x:row>
    <x:row r="99" ht="52" customHeight="1">
      <x:c r="A99" s="28" t="inlineStr">
        <x:is>
          <x:t xml:space="preserve">REQ-096</x:t>
        </x:is>
      </x:c>
      <x:c r="B99" s="28" t="inlineStr">
        <x:is>
          <x:t xml:space="preserve">Inventory management — first version, planning complete</x:t>
        </x:is>
      </x:c>
      <x:c r="C99" s="28" t="inlineStr">
        <x:is>
          <x:t xml:space="preserve">Current scope</x:t>
        </x:is>
      </x:c>
      <x:c r="D99" s="28" t="inlineStr">
        <x:is>
          <x:t xml:space="preserve">Track individual products.</x:t>
        </x:is>
      </x:c>
      <x:c r="E99" s="28" t="inlineStr">
        <x:is>
          <x:t xml:space="preserve">FB-032–FB-037, FB-047–FB-053</x:t>
        </x:is>
      </x:c>
      <x:c r="F99" s="28" t="inlineStr">
        <x:is>
          <x:t xml:space="preserve">Stories!B35</x:t>
        </x:is>
      </x:c>
    </x:row>
    <x:row r="100" ht="76" customHeight="1">
      <x:c r="A100" s="4" t="inlineStr">
        <x:is>
          <x:t xml:space="preserve">REQ-097</x:t>
        </x:is>
      </x:c>
      <x:c r="B100" s="4" t="inlineStr">
        <x:is>
          <x:t xml:space="preserve">Inventory management — first version, planning complete</x:t>
        </x:is>
      </x:c>
      <x:c r="C100" s="4" t="str">
        <x:v>Deferred decision after catalogue</x:v>
      </x:c>
      <x:c r="D100" s="4" t="str">
        <x:v>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Previous agreed design retained for discussion only: unique permanent automatically generated PRD-000001 onward, sequential at least six digits/growing beyond999999, never edited/reused, independent of classification and package sizes. Do not implement automatically.</x:v>
      </x:c>
      <x:c r="E100" s="4" t="str">
        <x:v>FB-035 (after FB-067, before FB-034)</x:v>
      </x:c>
      <x:c r="F100" s="4" t="inlineStr">
        <x:is>
          <x:t xml:space="preserve">Stories!B37</x:t>
        </x:is>
      </x:c>
    </x:row>
    <x:row r="101" ht="52" customHeight="1">
      <x:c r="A101" s="28" t="inlineStr">
        <x:is>
          <x:t xml:space="preserve">REQ-098</x:t>
        </x:is>
      </x:c>
      <x:c r="B101" s="28" t="inlineStr">
        <x:is>
          <x:t xml:space="preserve">Inventory management — first version, planning complete</x:t>
        </x:is>
      </x:c>
      <x:c r="C101" s="28" t="inlineStr">
        <x:is>
          <x:t xml:space="preserve">Current scope</x:t>
        </x:is>
      </x:c>
      <x:c r="D101" s="28" t="inlineStr">
        <x:is>
          <x:t xml:space="preserve">Organize products in exactly four levels: Department -&gt; Category -&gt; Subcategory -&gt; Product.</x:t>
        </x:is>
      </x:c>
      <x:c r="E101" s="28" t="inlineStr">
        <x:is>
          <x:t xml:space="preserve">FB-026–FB-030, FB-032</x:t>
        </x:is>
      </x:c>
      <x:c r="F101" s="28" t="inlineStr">
        <x:is>
          <x:t xml:space="preserve">Stories!B29</x:t>
        </x:is>
      </x:c>
    </x:row>
    <x:row r="102" ht="61" customHeight="1">
      <x:c r="A102" s="4" t="inlineStr">
        <x:is>
          <x:t xml:space="preserve">REQ-099</x:t>
        </x:is>
      </x:c>
      <x:c r="B102" s="4" t="inlineStr">
        <x:is>
          <x:t xml:space="preserve">Inventory management — first version, planning complete</x:t>
        </x:is>
      </x:c>
      <x:c r="C102" s="4" t="inlineStr">
        <x:is>
          <x:t xml:space="preserve">Current scope</x:t>
        </x:is>
      </x:c>
      <x:c r="D102" s="4" t="inlineStr">
        <x:is>
          <x:t xml:space="preserve">Every product follows this full path and belongs to one subcategory; categories belong to departments and subcategories belong to categories. The product itself is level four. No hierarchy levels are skipped.</x:t>
        </x:is>
      </x:c>
      <x:c r="E102" s="4" t="inlineStr">
        <x:is>
          <x:t xml:space="preserve">FB-026–FB-030, FB-032</x:t>
        </x:is>
      </x:c>
      <x:c r="F102" s="4" t="inlineStr">
        <x:is>
          <x:t xml:space="preserve">Stories!B29</x:t>
        </x:is>
      </x:c>
    </x:row>
    <x:row r="103" ht="61" customHeight="1">
      <x:c r="A103" s="28" t="inlineStr">
        <x:is>
          <x:t xml:space="preserve">REQ-100</x:t>
        </x:is>
      </x:c>
      <x:c r="B103" s="28" t="inlineStr">
        <x:is>
          <x:t xml:space="preserve">Inventory management — first version, planning complete</x:t>
        </x:is>
      </x:c>
      <x:c r="C103" s="28" t="inlineStr">
        <x:is>
          <x:t xml:space="preserve">Current scope</x:t>
        </x:is>
      </x:c>
      <x:c r="D103" s="28" t="inlineStr">
        <x:is>
          <x:t xml:space="preserve">Department, category, and subcategory names are required. Department names are unique across the catalogue; category names are unique within their department; subcategory names are unique within their category. Duplicate-name checks ignore capitalization and leading/trailing spaces.</x:t>
        </x:is>
      </x:c>
      <x:c r="E103" s="28" t="inlineStr">
        <x:is>
          <x:t xml:space="preserve">FB-026–FB-030, FB-032</x:t>
        </x:is>
      </x:c>
      <x:c r="F103" s="28" t="inlineStr">
        <x:is>
          <x:t xml:space="preserve">Stories!B29</x:t>
        </x:is>
      </x:c>
    </x:row>
    <x:row r="104" ht="61" customHeight="1">
      <x:c r="A104" s="4" t="inlineStr">
        <x:is>
          <x:t xml:space="preserve">REQ-101</x:t>
        </x:is>
      </x:c>
      <x:c r="B104" s="4" t="inlineStr">
        <x:is>
          <x:t xml:space="preserve">Inventory management — first version, planning complete</x:t>
        </x:is>
      </x:c>
      <x:c r="C104" s="4" t="inlineStr">
        <x:is>
          <x:t xml:space="preserve">Current scope</x:t>
        </x:is>
      </x:c>
      <x:c r="D104" s="4" t="inlineStr">
        <x:is>
          <x:t xml:space="preserve">Allow renaming departments, categories, and subcategories while preserving their links. Product category paths show current names, including when viewing older stock movements; historical name snapshots are not required.</x:t>
        </x:is>
      </x:c>
      <x:c r="E104" s="4" t="inlineStr">
        <x:is>
          <x:t xml:space="preserve">FB-026–FB-030, FB-032</x:t>
        </x:is>
      </x:c>
      <x:c r="F104" s="4" t="inlineStr">
        <x:is>
          <x:t xml:space="preserve">Stories!B29</x:t>
        </x:is>
      </x:c>
    </x:row>
    <x:row r="105" ht="52" customHeight="1">
      <x:c r="A105" s="28" t="inlineStr">
        <x:is>
          <x:t xml:space="preserve">REQ-102</x:t>
        </x:is>
      </x:c>
      <x:c r="B105" s="28" t="inlineStr">
        <x:is>
          <x:t xml:space="preserve">Inventory management — first version, planning complete</x:t>
        </x:is>
      </x:c>
      <x:c r="C105" s="28" t="inlineStr">
        <x:is>
          <x:t xml:space="preserve">##FUTURE</x:t>
        </x:is>
      </x:c>
      <x:c r="D105" s="28" t="inlineStr">
        <x:is>
          <x:t xml:space="preserve">##FUTURE Deleting departments, categories or subcategories. Category department changes and Subcategory moves across Categories/Departments are approved current scope; see their edit requirements.</x:t>
        </x:is>
      </x:c>
      <x:c r="E105" s="28" t="inlineStr">
        <x:is>
          <x:t xml:space="preserve">Deferred — no current item</x:t>
        </x:is>
      </x:c>
      <x:c r="F105" s="28" t="inlineStr">
        <x:is>
          <x:t xml:space="preserve">Deferred</x:t>
        </x:is>
      </x:c>
    </x:row>
    <x:row r="106" ht="52" customHeight="1">
      <x:c r="A106" s="4" t="inlineStr">
        <x:is>
          <x:t xml:space="preserve">REQ-103</x:t>
        </x:is>
      </x:c>
      <x:c r="B106" s="4" t="inlineStr">
        <x:is>
          <x:t xml:space="preserve">Inventory management — first version, planning complete</x:t>
        </x:is>
      </x:c>
      <x:c r="C106" s="4" t="inlineStr">
        <x:is>
          <x:t xml:space="preserve">Current scope</x:t>
        </x:is>
      </x:c>
      <x:c r="D106" s="4" t="inlineStr">
        <x:is>
          <x:t xml:space="preserve">Each product can optionally have multiple tags.</x:t>
        </x:is>
      </x:c>
      <x:c r="E106" s="4" t="inlineStr">
        <x:is>
          <x:t xml:space="preserve">FB-031, FB-037, FB-048</x:t>
        </x:is>
      </x:c>
      <x:c r="F106" s="4" t="inlineStr">
        <x:is>
          <x:t xml:space="preserve">Stories!B34</x:t>
        </x:is>
      </x:c>
    </x:row>
    <x:row r="107" ht="52" customHeight="1">
      <x:c r="A107" s="28" t="inlineStr">
        <x:is>
          <x:t xml:space="preserve">REQ-104</x:t>
        </x:is>
      </x:c>
      <x:c r="B107" s="28" t="inlineStr">
        <x:is>
          <x:t xml:space="preserve">Inventory management — first version, planning complete</x:t>
        </x:is>
      </x:c>
      <x:c r="C107" s="28" t="inlineStr">
        <x:is>
          <x:t xml:space="preserve">Current scope</x:t>
        </x:is>
      </x:c>
      <x:c r="D107" s="28" t="str">
        <x:v>Tags are shared across the product catalogue: create a tag once and reuse it on multiple products. A product can have multiple tags or none.
2026-10-30 developer explicitly requires the reverse Tag-&gt;products relationship so products can be looked up for a tag. Use Tag::products() and Product::tags(), both belongsToMany through the SAME product_tag linking table. Future product-list main search must match tag names as well as product names: searching Halal returns products attached to the Halal tag. Keep existing separate tag filter and other filters; filter before pagination and avoid duplicated product rows when several tags match. No product-code search. Relationship is part of pending save implementation; list-search behaviour belongs at FB-040/044 and is not implemented by merely declaring the relationship.</x:v>
      </x:c>
      <x:c r="E107" s="28" t="str">
        <x:v>FB-031, FB-037, FB-040, FB-044, FB-048</x:v>
      </x:c>
      <x:c r="F107" s="28" t="inlineStr">
        <x:is>
          <x:t xml:space="preserve">Stories!B34</x:t>
        </x:is>
      </x:c>
    </x:row>
    <x:row r="108" ht="76" customHeight="1">
      <x:c r="A108" s="4" t="inlineStr">
        <x:is>
          <x:t xml:space="preserve">REQ-105</x:t>
        </x:is>
      </x:c>
      <x:c r="B108" s="4" t="inlineStr">
        <x:is>
          <x:t xml:space="preserve">Inventory management — first version, planning complete</x:t>
        </x:is>
      </x:c>
      <x:c r="C108" s="4" t="inlineStr">
        <x:is>
          <x:t xml:space="preserve">Current scope</x:t>
        </x:is>
      </x:c>
      <x:c r="D108" s="4" t="inlineStr">
        <x:is>
          <x:t xml:space="preserve">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x:t>
        </x:is>
      </x:c>
      <x:c r="E108" s="4" t="inlineStr">
        <x:is>
          <x:t xml:space="preserve">FB-031, FB-037, FB-048</x:t>
        </x:is>
      </x:c>
      <x:c r="F108" s="4" t="inlineStr">
        <x:is>
          <x:t xml:space="preserve">Stories!B34</x:t>
        </x:is>
      </x:c>
    </x:row>
    <x:row r="109" ht="52" customHeight="1">
      <x:c r="A109" s="28" t="inlineStr">
        <x:is>
          <x:t xml:space="preserve">REQ-106</x:t>
        </x:is>
      </x:c>
      <x:c r="B109" s="28" t="inlineStr">
        <x:is>
          <x:t xml:space="preserve">Inventory management — first version, planning complete</x:t>
        </x:is>
      </x:c>
      <x:c r="C109" s="28" t="inlineStr">
        <x:is>
          <x:t xml:space="preserve">Current scope</x:t>
        </x:is>
      </x:c>
      <x:c r="D109" s="28" t="inlineStr">
        <x:is>
          <x:t xml:space="preserve">2026-10-29 approved module separation: Different brands remain distinguishable catalogue products. Package sizes and their separate stock balances belong exclusively to Stock Management; package size does not create a separate catalogue product. Exact stock-record structure will be settled before implementation. Shared package structure is now approved: products -&gt; stock_items &lt;- package_sizes; movements reference stock_items. See REQ-185.</x:t>
        </x:is>
      </x:c>
      <x:c r="E109" s="28" t="inlineStr">
        <x:is>
          <x:t xml:space="preserve">FB-032–FB-037, FB-047–FB-053</x:t>
        </x:is>
      </x:c>
      <x:c r="F109" s="28" t="inlineStr">
        <x:is>
          <x:t xml:space="preserve">Stories!B35</x:t>
        </x:is>
      </x:c>
    </x:row>
    <x:row r="110" ht="52" customHeight="1">
      <x:c r="A110" s="4" t="inlineStr">
        <x:is>
          <x:t xml:space="preserve">REQ-107</x:t>
        </x:is>
      </x:c>
      <x:c r="B110" s="4" t="inlineStr">
        <x:is>
          <x:t xml:space="preserve">Inventory management — first version, planning complete</x:t>
        </x:is>
      </x:c>
      <x:c r="C110" s="4" t="inlineStr">
        <x:is>
          <x:t xml:space="preserve">Current scope</x:t>
        </x:is>
      </x:c>
      <x:c r="D110" s="4" t="inlineStr">
        <x:is>
          <x:t xml:space="preserve">Each product has a separate optional brand field. Unbranded products may leave it blank.</x:t>
        </x:is>
      </x:c>
      <x:c r="E110" s="4" t="inlineStr">
        <x:is>
          <x:t xml:space="preserve">FB-032–FB-037, FB-047–FB-053</x:t>
        </x:is>
      </x:c>
      <x:c r="F110" s="4" t="inlineStr">
        <x:is>
          <x:t xml:space="preserve">Stories!B35</x:t>
        </x:is>
      </x:c>
    </x:row>
    <x:row r="111" ht="91" customHeight="1">
      <x:c r="A111" s="28" t="inlineStr">
        <x:is>
          <x:t xml:space="preserve">REQ-108</x:t>
        </x:is>
      </x:c>
      <x:c r="B111" s="28" t="inlineStr">
        <x:is>
          <x:t xml:space="preserve">Inventory management — first version, planning complete</x:t>
        </x:is>
      </x:c>
      <x:c r="C111" s="28" t="inlineStr">
        <x:is>
          <x:t xml:space="preserve">Current scope</x:t>
        </x:is>
      </x:c>
      <x:c r="D111" s="28" t="str">
        <x:v>2026-10-30 revised: Product Catalogue form fields: required product name, full Department/Category/Subcategory selection and status (default Active); optional brand and tags. Build this phase without product codes or code generation. Keep internal database id. Reconsider user-facing codes after functional catalogue verification at FB-035. No package size, counting/contents/summary unit, stock quantity, balance or total in catalogue storage/forms/screens; these belong to Stock Management.
2026-10-30 developer explicitly changed PRODUCT Status UI from radio buttons to paired Active/Inactive checkboxes. Follow existing FoodBank User Create pattern: both bind same boolean is_active, Active true-value=true/false-value=false, Inactive inverted values. Exactly one remains checked, Active default preserved. Supersedes Product-form radio UI only; no other account requirement changed.</x:v>
      </x:c>
      <x:c r="E111" s="28" t="inlineStr">
        <x:is>
          <x:t xml:space="preserve">FB-032–FB-037, FB-047–FB-053</x:t>
        </x:is>
      </x:c>
      <x:c r="F111" s="28" t="inlineStr">
        <x:is>
          <x:t xml:space="preserve">Stories!B35</x:t>
        </x:is>
      </x:c>
    </x:row>
    <x:row r="112" ht="91" customHeight="1">
      <x:c r="A112" s="4" t="inlineStr">
        <x:is>
          <x:t xml:space="preserve">REQ-109</x:t>
        </x:is>
      </x:c>
      <x:c r="B112" s="4" t="inlineStr">
        <x:is>
          <x:t xml:space="preserve">Inventory management — first version, planning complete</x:t>
        </x:is>
      </x:c>
      <x:c r="C112" s="4" t="inlineStr">
        <x:is>
          <x:t xml:space="preserve">Current scope</x:t>
        </x:is>
      </x:c>
      <x:c r="D112" s="4" t="inlineStr">
        <x:is>
          <x:t xml:space="preserve">2026-10-29 approved module separation: Prevent duplicate catalogue products by name, brand and Subcategory, ignoring capitalization and outer spaces in name/brand and including inactive products. Size/unit/quantity are excluded from catalogue identity and validation. Stock item product/package_size pairs are unique; reusable package definitions are unique by package type and equivalent contents.</x:t>
        </x:is>
      </x:c>
      <x:c r="E112" s="4" t="inlineStr">
        <x:is>
          <x:t xml:space="preserve">FB-036</x:t>
        </x:is>
      </x:c>
      <x:c r="F112" s="4" t="inlineStr">
        <x:is>
          <x:t xml:space="preserve">Stories!B38</x:t>
        </x:is>
      </x:c>
    </x:row>
    <x:row r="113" ht="61" customHeight="1">
      <x:c r="A113" s="28" t="inlineStr">
        <x:is>
          <x:t xml:space="preserve">REQ-110</x:t>
        </x:is>
      </x:c>
      <x:c r="B113" s="28" t="inlineStr">
        <x:is>
          <x:t xml:space="preserve">Inventory management — first version, planning complete</x:t>
        </x:is>
      </x:c>
      <x:c r="C113" s="28" t="inlineStr">
        <x:is>
          <x:t xml:space="preserve">Current scope</x:t>
        </x:is>
      </x:c>
      <x:c r="D113" s="28" t="inlineStr">
        <x:is>
          <x:t xml:space="preserve">2026-10-29 approved module separation: Stock Management owns whole-number package/item quantities and counting units. Product Catalogue owns no counting units or quantity fields. Each stock package choice describes what is counted; exact stock-record design pending discussion. Shared package structure is now approved: products -&gt; stock_items &lt;- package_sizes; movements reference stock_items. See REQ-185.</x:t>
        </x:is>
      </x:c>
      <x:c r="E113" s="28" t="inlineStr">
        <x:is>
          <x:t xml:space="preserve">FB-032–FB-037, FB-047–FB-053</x:t>
        </x:is>
      </x:c>
      <x:c r="F113" s="28" t="inlineStr">
        <x:is>
          <x:t xml:space="preserve">Stories!B35</x:t>
        </x:is>
      </x:c>
    </x:row>
    <x:row r="114" ht="61" customHeight="1">
      <x:c r="A114" s="4" t="inlineStr">
        <x:is>
          <x:t xml:space="preserve">REQ-111</x:t>
        </x:is>
      </x:c>
      <x:c r="B114" s="4" t="inlineStr">
        <x:is>
          <x:t xml:space="preserve">Inventory management — first version, planning complete</x:t>
        </x:is>
      </x:c>
      <x:c r="C114" s="4" t="inlineStr">
        <x:is>
          <x:t xml:space="preserve">Current scope</x:t>
        </x:is>
      </x:c>
      <x:c r="D114" s="4" t="inlineStr">
        <x:is>
          <x:t xml:space="preserve">2026-10-29 approved module separation: Within Stock Management, package contents measured in individual items are positive whole numbers; weight/volume contents allow up to three decimal places. Movements remain whole packages/items. These fields do not belong to Product Catalogue.</x:t>
        </x:is>
      </x:c>
      <x:c r="E114" s="4" t="inlineStr">
        <x:is>
          <x:t xml:space="preserve">FB-032–FB-037, FB-047–FB-053</x:t>
        </x:is>
      </x:c>
      <x:c r="F114" s="4" t="inlineStr">
        <x:is>
          <x:t xml:space="preserve">Stories!B35</x:t>
        </x:is>
      </x:c>
    </x:row>
    <x:row r="115" ht="52" customHeight="1">
      <x:c r="A115" s="28" t="inlineStr">
        <x:is>
          <x:t xml:space="preserve">REQ-112</x:t>
        </x:is>
      </x:c>
      <x:c r="B115" s="28" t="inlineStr">
        <x:is>
          <x:t xml:space="preserve">Inventory management — first version, planning complete</x:t>
        </x:is>
      </x:c>
      <x:c r="C115" s="28" t="inlineStr">
        <x:is>
          <x:t xml:space="preserve">Current scope</x:t>
        </x:is>
      </x:c>
      <x:c r="D115" s="28" t="inlineStr">
        <x:is>
          <x:t xml:space="preserve">2026-10-29 approved module separation: Stock Management counting-unit choices: bag, box, can, bottle, carton, jar, packet and individual item. No counting-unit field in catalogue.</x:t>
        </x:is>
      </x:c>
      <x:c r="E115" s="28" t="inlineStr">
        <x:is>
          <x:t xml:space="preserve">FB-032–FB-037, FB-047–FB-053</x:t>
        </x:is>
      </x:c>
      <x:c r="F115" s="28" t="inlineStr">
        <x:is>
          <x:t xml:space="preserve">Stories!B35</x:t>
        </x:is>
      </x:c>
    </x:row>
    <x:row r="116" ht="151" customHeight="1">
      <x:c r="A116" s="4" t="inlineStr">
        <x:is>
          <x:t xml:space="preserve">REQ-113</x:t>
        </x:is>
      </x:c>
      <x:c r="B116" s="4" t="inlineStr">
        <x:is>
          <x:t xml:space="preserve">Inventory management — first version, planning complete</x:t>
        </x:is>
      </x:c>
      <x:c r="C116" s="4" t="inlineStr">
        <x:is>
          <x:t xml:space="preserve">Current scope</x:t>
        </x:is>
      </x:c>
      <x:c r="D116" s="4" t="inlineStr">
        <x:is>
          <x:t xml:space="preserve">2026-10-29 approved module separation: Stock Management owns package sizes, contents units, summary units and calculated totals. Retain kg/g and litres/ml conversions and individual-item totals; exact values until display, at most three displayed decimals. Catalogue Subcategories have no summary-unit field. Placement/ownership of summary configuration within Stock Management must be agreed before implementation.</x:t>
        </x:is>
      </x:c>
      <x:c r="E116" s="4" t="inlineStr">
        <x:is>
          <x:t xml:space="preserve">FB-029, FB-034, FB-053, FB-065–FB-066</x:t>
        </x:is>
      </x:c>
      <x:c r="F116" s="4" t="inlineStr">
        <x:is>
          <x:t xml:space="preserve">Stories!B32</x:t>
        </x:is>
      </x:c>
    </x:row>
    <x:row r="117" ht="52" customHeight="1">
      <x:c r="A117" s="28" t="inlineStr">
        <x:is>
          <x:t xml:space="preserve">REQ-114</x:t>
        </x:is>
      </x:c>
      <x:c r="B117" s="28" t="inlineStr">
        <x:is>
          <x:t xml:space="preserve">Inventory management — first version, planning complete</x:t>
        </x:is>
      </x:c>
      <x:c r="C117" s="28" t="inlineStr">
        <x:is>
          <x:t xml:space="preserve">##FUTURE</x:t>
        </x:is>
      </x:c>
      <x:c r="D117" s="28" t="inlineStr">
        <x:is>
          <x:t xml:space="preserve">##FUTURE Loose-weight quantities and general unit conversions beyond the agreed kg/g and litres/ml conversions for package contents and summaries.</x:t>
        </x:is>
      </x:c>
      <x:c r="E117" s="28" t="inlineStr">
        <x:is>
          <x:t xml:space="preserve">Deferred — no current item</x:t>
        </x:is>
      </x:c>
      <x:c r="F117" s="28" t="inlineStr">
        <x:is>
          <x:t xml:space="preserve">Deferred</x:t>
        </x:is>
      </x:c>
    </x:row>
    <x:row r="118" ht="52" customHeight="1">
      <x:c r="A118" s="4" t="inlineStr">
        <x:is>
          <x:t xml:space="preserve">REQ-115</x:t>
        </x:is>
      </x:c>
      <x:c r="B118" s="4" t="inlineStr">
        <x:is>
          <x:t xml:space="preserve">Inventory management — first version, planning complete</x:t>
        </x:is>
      </x:c>
      <x:c r="C118" s="4" t="inlineStr">
        <x:is>
          <x:t xml:space="preserve">Current scope</x:t>
        </x:is>
      </x:c>
      <x:c r="D118" s="4" t="inlineStr">
        <x:is>
          <x:t xml:space="preserve">Use one shared inventory for the first version, without separate stock balances for shelves, rooms, or branches.</x:t>
        </x:is>
      </x:c>
      <x:c r="E118" s="4" t="inlineStr">
        <x:is>
          <x:t xml:space="preserve">FB-049–FB-056, FB-063–FB-064, FB-068</x:t>
        </x:is>
      </x:c>
      <x:c r="F118" s="4" t="inlineStr">
        <x:is>
          <x:t xml:space="preserve">Stories!B53</x:t>
        </x:is>
      </x:c>
    </x:row>
    <x:row r="119" ht="52" customHeight="1">
      <x:c r="A119" s="28" t="inlineStr">
        <x:is>
          <x:t xml:space="preserve">REQ-116</x:t>
        </x:is>
      </x:c>
      <x:c r="B119" s="28" t="inlineStr">
        <x:is>
          <x:t xml:space="preserve">Inventory management — first version, planning complete</x:t>
        </x:is>
      </x:c>
      <x:c r="C119" s="28" t="inlineStr">
        <x:is>
          <x:t xml:space="preserve">##FUTURE</x:t>
        </x:is>
      </x:c>
      <x:c r="D119" s="28" t="inlineStr">
        <x:is>
          <x:t xml:space="preserve">##FUTURE Stock tracking by location.</x:t>
        </x:is>
      </x:c>
      <x:c r="E119" s="28" t="inlineStr">
        <x:is>
          <x:t xml:space="preserve">Deferred — no current item</x:t>
        </x:is>
      </x:c>
      <x:c r="F119" s="28" t="inlineStr">
        <x:is>
          <x:t xml:space="preserve">Deferred</x:t>
        </x:is>
      </x:c>
    </x:row>
    <x:row r="120" ht="61" customHeight="1">
      <x:c r="A120" s="4" t="inlineStr">
        <x:is>
          <x:t xml:space="preserve">REQ-117</x:t>
        </x:is>
      </x:c>
      <x:c r="B120" s="4" t="inlineStr">
        <x:is>
          <x:t xml:space="preserve">Inventory management — first version, planning complete</x:t>
        </x:is>
      </x:c>
      <x:c r="C120" s="4" t="inlineStr">
        <x:is>
          <x:t xml:space="preserve">Current scope</x:t>
        </x:is>
      </x:c>
      <x:c r="D120" s="4" t="inlineStr">
        <x:is>
          <x:t xml:space="preserve">2026-10-29 approved module separation: Summary measurement configuration belongs exclusively to Stock Management. No summary-unit field on catalogue Subcategories. Stock product/package measurements must be compatible with stock summary configuration; exact configuration structure pending discussion.</x:t>
        </x:is>
      </x:c>
      <x:c r="E120" s="4" t="inlineStr">
        <x:is>
          <x:t xml:space="preserve">FB-029, FB-034, FB-053, FB-065–FB-066</x:t>
        </x:is>
      </x:c>
      <x:c r="F120" s="4" t="inlineStr">
        <x:is>
          <x:t xml:space="preserve">Stories!B32</x:t>
        </x:is>
      </x:c>
    </x:row>
    <x:row r="121" ht="61" customHeight="1">
      <x:c r="A121" s="28" t="inlineStr">
        <x:is>
          <x:t xml:space="preserve">REQ-118</x:t>
        </x:is>
      </x:c>
      <x:c r="B121" s="28" t="inlineStr">
        <x:is>
          <x:t xml:space="preserve">Inventory management — first version, planning complete</x:t>
        </x:is>
      </x:c>
      <x:c r="C121" s="28" t="inlineStr">
        <x:is>
          <x:t xml:space="preserve">Current scope</x:t>
        </x:is>
      </x:c>
      <x:c r="D121" s="28" t="inlineStr">
        <x:is>
          <x:t xml:space="preserve">2026-10-29 approved module separation: In Stock Management, multiply each stock package count by its contents and sum compatible measurements; for example rice bags contribute kilograms and cartons contribute eggs. These totals are absent from catalogue screens.</x:t>
        </x:is>
      </x:c>
      <x:c r="E121" s="28" t="inlineStr">
        <x:is>
          <x:t xml:space="preserve">FB-029, FB-034, FB-053, FB-065–FB-066</x:t>
        </x:is>
      </x:c>
      <x:c r="F121" s="28" t="inlineStr">
        <x:is>
          <x:t xml:space="preserve">Stories!B32</x:t>
        </x:is>
      </x:c>
    </x:row>
    <x:row r="122" ht="52" customHeight="1">
      <x:c r="A122" s="4" t="inlineStr">
        <x:is>
          <x:t xml:space="preserve">REQ-119</x:t>
        </x:is>
      </x:c>
      <x:c r="B122" s="4" t="inlineStr">
        <x:is>
          <x:t xml:space="preserve">Inventory management — first version, planning complete</x:t>
        </x:is>
      </x:c>
      <x:c r="C122" s="4" t="inlineStr">
        <x:is>
          <x:t xml:space="preserve">Current scope</x:t>
        </x:is>
      </x:c>
      <x:c r="D122" s="4" t="inlineStr">
        <x:is>
          <x:t xml:space="preserve">2026-10-29 approved module separation: Stock summaries do not replace individual stock package balances. All balances/totals are owned and displayed by Stock Management only.</x:t>
        </x:is>
      </x:c>
      <x:c r="E122" s="4" t="inlineStr">
        <x:is>
          <x:t xml:space="preserve">FB-029, FB-034, FB-053, FB-065–FB-066</x:t>
        </x:is>
      </x:c>
      <x:c r="F122" s="4" t="inlineStr">
        <x:is>
          <x:t xml:space="preserve">Stories!B32</x:t>
        </x:is>
      </x:c>
    </x:row>
    <x:row r="123" ht="52" customHeight="1">
      <x:c r="A123" s="28" t="inlineStr">
        <x:is>
          <x:t xml:space="preserve">REQ-120</x:t>
        </x:is>
      </x:c>
      <x:c r="B123" s="28" t="inlineStr">
        <x:is>
          <x:t xml:space="preserve">Inventory management — first version, planning complete</x:t>
        </x:is>
      </x:c>
      <x:c r="C123" s="28" t="inlineStr">
        <x:is>
          <x:t xml:space="preserve">Current scope</x:t>
        </x:is>
      </x:c>
      <x:c r="D123" s="28" t="inlineStr">
        <x:is>
          <x:t xml:space="preserve">Stock balances change only through recorded stock movements, not by directly editing a balance. Incoming movements increase stock and outgoing movements decrease it; balances reflect those movements.</x:t>
        </x:is>
      </x:c>
      <x:c r="E123" s="28" t="inlineStr">
        <x:is>
          <x:t xml:space="preserve">FB-049–FB-056, FB-063–FB-064, FB-068</x:t>
        </x:is>
      </x:c>
      <x:c r="F123" s="28" t="inlineStr">
        <x:is>
          <x:t xml:space="preserve">Stories!B53</x:t>
        </x:is>
      </x:c>
    </x:row>
    <x:row r="124" ht="52" customHeight="1">
      <x:c r="A124" s="4" t="inlineStr">
        <x:is>
          <x:t xml:space="preserve">REQ-121</x:t>
        </x:is>
      </x:c>
      <x:c r="B124" s="4" t="inlineStr">
        <x:is>
          <x:t xml:space="preserve">Inventory management — first version, planning complete</x:t>
        </x:is>
      </x:c>
      <x:c r="C124" s="4" t="inlineStr">
        <x:is>
          <x:t xml:space="preserve">Current scope</x:t>
        </x:is>
      </x:c>
      <x:c r="D124" s="4" t="inlineStr">
        <x:is>
          <x:t xml:space="preserve">First-version movement types: Receive (food arrives), Distribute (food goes to a household), and Adjust (count corrections or damaged/ spoiled food). Every adjustment requires a reason.</x:t>
        </x:is>
      </x:c>
      <x:c r="E124" s="4" t="inlineStr">
        <x:is>
          <x:t xml:space="preserve">FB-049–FB-056, FB-063–FB-064, FB-068</x:t>
        </x:is>
      </x:c>
      <x:c r="F124" s="4" t="inlineStr">
        <x:is>
          <x:t xml:space="preserve">Stories!B53</x:t>
        </x:is>
      </x:c>
    </x:row>
    <x:row r="125" ht="52" customHeight="1">
      <x:c r="A125" s="28" t="inlineStr">
        <x:is>
          <x:t xml:space="preserve">REQ-122</x:t>
        </x:is>
      </x:c>
      <x:c r="B125" s="28" t="inlineStr">
        <x:is>
          <x:t xml:space="preserve">Inventory management — first version, planning complete</x:t>
        </x:is>
      </x:c>
      <x:c r="C125" s="28" t="inlineStr">
        <x:is>
          <x:t xml:space="preserve">Current scope</x:t>
        </x:is>
      </x:c>
      <x:c r="D125" s="28" t="inlineStr">
        <x:is>
          <x:t xml:space="preserve">Every stock movement must prevent a product's stock from falling below zero. Reject any outgoing quantity greater than available stock.</x:t>
        </x:is>
      </x:c>
      <x:c r="E125" s="28" t="inlineStr">
        <x:is>
          <x:t xml:space="preserve">FB-049–FB-056, FB-063–FB-064, FB-068</x:t>
        </x:is>
      </x:c>
      <x:c r="F125" s="28" t="inlineStr">
        <x:is>
          <x:t xml:space="preserve">Stories!B53</x:t>
        </x:is>
      </x:c>
    </x:row>
    <x:row r="126" ht="91" customHeight="1">
      <x:c r="A126" s="4" t="inlineStr">
        <x:is>
          <x:t xml:space="preserve">REQ-123</x:t>
        </x:is>
      </x:c>
      <x:c r="B126" s="4" t="inlineStr">
        <x:is>
          <x:t xml:space="preserve">Inventory management — first version, planning complete</x:t>
        </x:is>
      </x:c>
      <x:c r="C126" s="4" t="inlineStr">
        <x:is>
          <x:t xml:space="preserve">Current scope</x:t>
        </x:is>
      </x:c>
      <x:c r="D126" s="4" t="inlineStr">
        <x:is>
          <x:t xml:space="preserve">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x:t>
        </x:is>
      </x:c>
      <x:c r="E126" s="4" t="inlineStr">
        <x:is>
          <x:t xml:space="preserve">FB-032–FB-037, FB-047–FB-053</x:t>
        </x:is>
      </x:c>
      <x:c r="F126" s="4" t="inlineStr">
        <x:is>
          <x:t xml:space="preserve">Stories!B35</x:t>
        </x:is>
      </x:c>
    </x:row>
    <x:row r="127" ht="52" customHeight="1">
      <x:c r="A127" s="28" t="inlineStr">
        <x:is>
          <x:t xml:space="preserve">REQ-124</x:t>
        </x:is>
      </x:c>
      <x:c r="B127" s="28" t="inlineStr">
        <x:is>
          <x:t xml:space="preserve">Inventory management — first version, planning complete</x:t>
        </x:is>
      </x:c>
      <x:c r="C127" s="28" t="inlineStr">
        <x:is>
          <x:t xml:space="preserve">Current scope</x:t>
        </x:is>
      </x:c>
      <x:c r="D127" s="28" t="inlineStr">
        <x:is>
          <x:t xml:space="preserve">One distribution belongs to one household and can include multiple products. Either all its stock changes succeed or none are saved. Use fictional sample households until household management is built.</x:t>
        </x:is>
      </x:c>
      <x:c r="E127" s="28" t="inlineStr">
        <x:is>
          <x:t xml:space="preserve">FB-057–FB-064</x:t>
        </x:is>
      </x:c>
      <x:c r="F127" s="28" t="inlineStr">
        <x:is>
          <x:t xml:space="preserve">Stories!B63</x:t>
        </x:is>
      </x:c>
    </x:row>
    <x:row r="128" ht="136" customHeight="1">
      <x:c r="A128" s="4" t="inlineStr">
        <x:is>
          <x:t xml:space="preserve">REQ-125</x:t>
        </x:is>
      </x:c>
      <x:c r="B128" s="4" t="inlineStr">
        <x:is>
          <x:t xml:space="preserve">Inventory management — first version, planning complete</x:t>
        </x:is>
      </x:c>
      <x:c r="C128" s="4" t="inlineStr">
        <x:is>
          <x:t xml:space="preserve">Current scope</x:t>
        </x:is>
      </x:c>
      <x:c r="D128" s="4" t="str">
        <x:v>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 2026-10-29 clarification: package choices and quantities are selected in Stock Management only; catalogue contains no such fields. Selectable stock rows are stock_items, each connecting an active product and package_sizes definition.
2026-10-30 developer-approved sequence/scope revision: build and verify functional Product Catalogue without human-readable product codes. Omit code column, generation, display, code search and code acceptance checks for this catalogue phase. Keep normal internal Product id and Subcategory relationship. After catalogue checkpoint FB-067, brainstorm again at preserved FB-035 whether a user-facing code is needed and revisit code/stock design before Stock Management FB-034. Earlier PRD format is historical proposal pending reconsideration, not a current implementation requirement; no replacement format/design approved and no application code edits authorized by this discussion. Code display/search in this later stock workflow must be reconciled with the post-catalogue decision before implementation; all other agreed workflow safeguards remain.</x:v>
      </x:c>
      <x:c r="E128" s="4" t="inlineStr">
        <x:is>
          <x:t xml:space="preserve">FB-057–FB-064</x:t>
        </x:is>
      </x:c>
      <x:c r="F128" s="4" t="inlineStr">
        <x:is>
          <x:t xml:space="preserve">Stories!B63</x:t>
        </x:is>
      </x:c>
    </x:row>
    <x:row r="129" ht="52" customHeight="1">
      <x:c r="A129" s="28" t="inlineStr">
        <x:is>
          <x:t xml:space="preserve">REQ-126</x:t>
        </x:is>
      </x:c>
      <x:c r="B129" s="28" t="inlineStr">
        <x:is>
          <x:t xml:space="preserve">Inventory management — first version, planning complete</x:t>
        </x:is>
      </x:c>
      <x:c r="C129" s="28" t="inlineStr">
        <x:is>
          <x:t xml:space="preserve">Current scope</x:t>
        </x:is>
      </x:c>
      <x:c r="D129" s="28" t="inlineStr">
        <x:is>
          <x:t xml:space="preserve">One Receive entry can include multiple products. Either all stock changes in that receipt succeed or none are saved.</x:t>
        </x:is>
      </x:c>
      <x:c r="E129" s="28" t="inlineStr">
        <x:is>
          <x:t xml:space="preserve">FB-049–FB-052</x:t>
        </x:is>
      </x:c>
      <x:c r="F129" s="28" t="inlineStr">
        <x:is>
          <x:t xml:space="preserve">Stories!B53</x:t>
        </x:is>
      </x:c>
    </x:row>
    <x:row r="130" ht="61" customHeight="1">
      <x:c r="A130" s="4" t="inlineStr">
        <x:is>
          <x:t xml:space="preserve">REQ-127</x:t>
        </x:is>
      </x:c>
      <x:c r="B130" s="4" t="inlineStr">
        <x:is>
          <x:t xml:space="preserve">Inventory management — first version, planning complete</x:t>
        </x:is>
      </x:c>
      <x:c r="C130" s="4" t="inlineStr">
        <x:is>
          <x:t xml:space="preserve">Current scope</x:t>
        </x:is>
      </x:c>
      <x:c r="D130" s="4" t="inlineStr">
        <x:is>
          <x:t xml:space="preserve">Each stock_item may appear once per Receive or Distribute entry. Update its existing quantity instead of duplicate rows. The same catalogue product can appear on separate rows with different package_sizes. Quantities/packages belong exclusively to Stock Management.</x:t>
        </x:is>
      </x:c>
      <x:c r="E130" s="4" t="inlineStr">
        <x:is>
          <x:t xml:space="preserve">FB-050, FB-061</x:t>
        </x:is>
      </x:c>
      <x:c r="F130" s="4" t="inlineStr">
        <x:is>
          <x:t xml:space="preserve">Stories!B54</x:t>
        </x:is>
      </x:c>
    </x:row>
    <x:row r="131" ht="52" customHeight="1">
      <x:c r="A131" s="28" t="inlineStr">
        <x:is>
          <x:t xml:space="preserve">REQ-128</x:t>
        </x:is>
      </x:c>
      <x:c r="B131" s="28" t="inlineStr">
        <x:is>
          <x:t xml:space="preserve">Inventory management — first version, planning complete</x:t>
        </x:is>
      </x:c>
      <x:c r="C131" s="28" t="inlineStr">
        <x:is>
          <x:t xml:space="preserve">Current scope</x:t>
        </x:is>
      </x:c>
      <x:c r="D131" s="28" t="inlineStr">
        <x:is>
          <x:t xml:space="preserve">Each Receive entry has one optional notes field for the whole entry.</x:t>
        </x:is>
      </x:c>
      <x:c r="E131" s="28" t="inlineStr">
        <x:is>
          <x:t xml:space="preserve">FB-049–FB-052</x:t>
        </x:is>
      </x:c>
      <x:c r="F131" s="28" t="inlineStr">
        <x:is>
          <x:t xml:space="preserve">Stories!B53</x:t>
        </x:is>
      </x:c>
    </x:row>
    <x:row r="132" ht="61" customHeight="1">
      <x:c r="A132" s="4" t="inlineStr">
        <x:is>
          <x:t xml:space="preserve">REQ-129</x:t>
        </x:is>
      </x:c>
      <x:c r="B132" s="4" t="inlineStr">
        <x:is>
          <x:t xml:space="preserve">Inventory management — first version, planning complete</x:t>
        </x:is>
      </x:c>
      <x:c r="C132" s="4" t="inlineStr">
        <x:is>
          <x:t xml:space="preserve">Current scope</x:t>
        </x:is>
      </x:c>
      <x:c r="D132" s="4" t="inlineStr">
        <x:is>
          <x:t xml:space="preserve">Receive, Distribute, and Adjust movements automatically record the date and time they are saved. Users cannot change or backdate this timestamp. Stock changes when the entry is saved; the timestamp represents recording time, not necessarily the time food physically arrived or left.</x:t>
        </x:is>
      </x:c>
      <x:c r="E132" s="4" t="inlineStr">
        <x:is>
          <x:t xml:space="preserve">FB-049–FB-056, FB-063–FB-064, FB-068</x:t>
        </x:is>
      </x:c>
      <x:c r="F132" s="4" t="inlineStr">
        <x:is>
          <x:t xml:space="preserve">Stories!B53</x:t>
        </x:is>
      </x:c>
    </x:row>
    <x:row r="133" ht="52" customHeight="1">
      <x:c r="A133" s="28" t="inlineStr">
        <x:is>
          <x:t xml:space="preserve">REQ-130</x:t>
        </x:is>
      </x:c>
      <x:c r="B133" s="28" t="inlineStr">
        <x:is>
          <x:t xml:space="preserve">Inventory management — first version, planning complete</x:t>
        </x:is>
      </x:c>
      <x:c r="C133" s="28" t="inlineStr">
        <x:is>
          <x:t xml:space="preserve">##FUTURE</x:t>
        </x:is>
      </x:c>
      <x:c r="D133" s="28" t="inlineStr">
        <x:is>
          <x:t xml:space="preserve">##FUTURE User-entered or backdated stock-movement dates.</x:t>
        </x:is>
      </x:c>
      <x:c r="E133" s="28" t="inlineStr">
        <x:is>
          <x:t xml:space="preserve">Deferred — no current item</x:t>
        </x:is>
      </x:c>
      <x:c r="F133" s="28" t="inlineStr">
        <x:is>
          <x:t xml:space="preserve">Deferred</x:t>
        </x:is>
      </x:c>
    </x:row>
    <x:row r="134" ht="61" customHeight="1">
      <x:c r="A134" s="4" t="inlineStr">
        <x:is>
          <x:t xml:space="preserve">REQ-131</x:t>
        </x:is>
      </x:c>
      <x:c r="B134" s="4" t="inlineStr">
        <x:is>
          <x:t xml:space="preserve">Inventory management — first version, planning complete</x:t>
        </x:is>
      </x:c>
      <x:c r="C134" s="4" t="inlineStr">
        <x:is>
          <x:t xml:space="preserve">Current scope</x:t>
        </x:is>
      </x:c>
      <x:c r="D134" s="4" t="inlineStr">
        <x:is>
          <x:t xml:space="preserve">Each Adjust entry handles one stock_item (a product/package-size combination), Add or Remove, positive whole-number quantity and mandatory reason. Prevent negative balance. All packaging/quantities stay in Stock Management.</x:t>
        </x:is>
      </x:c>
      <x:c r="E134" s="4" t="inlineStr">
        <x:is>
          <x:t xml:space="preserve">FB-055–FB-056</x:t>
        </x:is>
      </x:c>
      <x:c r="F134" s="4" t="inlineStr">
        <x:is>
          <x:t xml:space="preserve">Stories!B61</x:t>
        </x:is>
      </x:c>
    </x:row>
    <x:row r="135" ht="61" customHeight="1">
      <x:c r="A135" s="28" t="inlineStr">
        <x:is>
          <x:t xml:space="preserve">REQ-132</x:t>
        </x:is>
      </x:c>
      <x:c r="B135" s="28" t="inlineStr">
        <x:is>
          <x:t xml:space="preserve">Inventory management — first version, planning complete</x:t>
        </x:is>
      </x:c>
      <x:c r="C135" s="28" t="inlineStr">
        <x:is>
          <x:t xml:space="preserve">Current scope</x:t>
        </x:is>
      </x:c>
      <x:c r="D135" s="28" t="inlineStr">
        <x:is>
          <x:t xml:space="preserve">2026-10-29 approved module separation: Within Stock Management, Managers/Super Admin can view movement history with movement type, quantity added/removed, save time, resulting balance, recorder and receipt/household/reason details. No stock history on catalogue product details.</x:t>
        </x:is>
      </x:c>
      <x:c r="E135" s="28" t="inlineStr">
        <x:is>
          <x:t xml:space="preserve">FB-054, FB-056, FB-063, FB-068</x:t>
        </x:is>
      </x:c>
      <x:c r="F135" s="28" t="inlineStr">
        <x:is>
          <x:t xml:space="preserve">Stories!B58</x:t>
        </x:is>
      </x:c>
    </x:row>
    <x:row r="136" ht="61" customHeight="1">
      <x:c r="A136" s="4" t="inlineStr">
        <x:is>
          <x:t xml:space="preserve">REQ-133</x:t>
        </x:is>
      </x:c>
      <x:c r="B136" s="4" t="inlineStr">
        <x:is>
          <x:t xml:space="preserve">Inventory management — first version, planning complete</x:t>
        </x:is>
      </x:c>
      <x:c r="C136" s="4" t="inlineStr">
        <x:is>
          <x:t xml:space="preserve">Current scope</x:t>
        </x:is>
      </x:c>
      <x:c r="D136" s="4" t="inlineStr">
        <x:is>
          <x:t xml:space="preserve">2026-10-29 approved module separation: Show balances, movement history and combined summaries exclusively in Stock Management. No quantities, sizes, units or totals in Product Catalogue, including catalogue Subcategory screens. Existing history permission restriction remains: Volunteers cannot browse stock history.</x:t>
        </x:is>
      </x:c>
      <x:c r="E136" s="4" t="inlineStr">
        <x:is>
          <x:t xml:space="preserve">FB-054, FB-066</x:t>
        </x:is>
      </x:c>
      <x:c r="F136" s="4" t="inlineStr">
        <x:is>
          <x:t xml:space="preserve">Stories!B58</x:t>
        </x:is>
      </x:c>
    </x:row>
    <x:row r="137" ht="52" customHeight="1">
      <x:c r="A137" s="28" t="inlineStr">
        <x:is>
          <x:t xml:space="preserve">REQ-134</x:t>
        </x:is>
      </x:c>
      <x:c r="B137" s="28" t="inlineStr">
        <x:is>
          <x:t xml:space="preserve">Inventory management — first version, planning complete</x:t>
        </x:is>
      </x:c>
      <x:c r="C137" s="28" t="inlineStr">
        <x:is>
          <x:t xml:space="preserve">Current scope</x:t>
        </x:is>
      </x:c>
      <x:c r="D137" s="28" t="inlineStr">
        <x:is>
          <x:t xml:space="preserve">History entries come from recorded movements automatically; users do not enter them separately. This inventory history is distinct from the broader account activity history deferred to future work.</x:t>
        </x:is>
      </x:c>
      <x:c r="E137" s="28" t="inlineStr">
        <x:is>
          <x:t xml:space="preserve">FB-054, FB-056, FB-063, FB-068</x:t>
        </x:is>
      </x:c>
      <x:c r="F137" s="28" t="inlineStr">
        <x:is>
          <x:t xml:space="preserve">Stories!B58</x:t>
        </x:is>
      </x:c>
    </x:row>
    <x:row r="138" ht="61" customHeight="1">
      <x:c r="A138" s="4" t="inlineStr">
        <x:is>
          <x:t xml:space="preserve">REQ-135</x:t>
        </x:is>
      </x:c>
      <x:c r="B138" s="4" t="inlineStr">
        <x:is>
          <x:t xml:space="preserve">Inventory management — first version, planning complete</x:t>
        </x:is>
      </x:c>
      <x:c r="C138" s="4" t="inlineStr">
        <x:is>
          <x:t xml:space="preserve">Current scope</x:t>
        </x:is>
      </x:c>
      <x:c r="D138" s="4" t="inlineStr">
        <x:is>
          <x:t xml:space="preserve">Saved stock movements cannot be edited or deleted in version one. Correct stock quantities through new adjustments with required reasons, preserving both the original movement and its correction in history.</x:t>
        </x:is>
      </x:c>
      <x:c r="E138" s="4" t="inlineStr">
        <x:is>
          <x:t xml:space="preserve">FB-054, FB-056, FB-063, FB-068</x:t>
        </x:is>
      </x:c>
      <x:c r="F138" s="4" t="inlineStr">
        <x:is>
          <x:t xml:space="preserve">Stories!B58</x:t>
        </x:is>
      </x:c>
    </x:row>
    <x:row r="139" ht="52" customHeight="1">
      <x:c r="A139" s="28" t="inlineStr">
        <x:is>
          <x:t xml:space="preserve">REQ-136</x:t>
        </x:is>
      </x:c>
      <x:c r="B139" s="28" t="inlineStr">
        <x:is>
          <x:t xml:space="preserve">Inventory management — first version, planning complete</x:t>
        </x:is>
      </x:c>
      <x:c r="C139" s="28" t="inlineStr">
        <x:is>
          <x:t xml:space="preserve">Current scope</x:t>
        </x:is>
      </x:c>
      <x:c r="D139" s="28" t="inlineStr">
        <x:is>
          <x:t xml:space="preserve">2026-10-29 approved module separation: Creating a catalogue product creates no stock quantity. Stock Management starts its stock records at zero and records opening stock through Receive so each quantity has an origin.</x:t>
        </x:is>
      </x:c>
      <x:c r="E139" s="28" t="inlineStr">
        <x:is>
          <x:t xml:space="preserve">FB-049–FB-052</x:t>
        </x:is>
      </x:c>
      <x:c r="F139" s="28" t="inlineStr">
        <x:is>
          <x:t xml:space="preserve">Stories!B53</x:t>
        </x:is>
      </x:c>
    </x:row>
    <x:row r="140" ht="61" customHeight="1">
      <x:c r="A140" s="4" t="inlineStr">
        <x:is>
          <x:t xml:space="preserve">REQ-137</x:t>
        </x:is>
      </x:c>
      <x:c r="B140" s="4" t="inlineStr">
        <x:is>
          <x:t xml:space="preserve">Inventory management — first version, planning complete</x:t>
        </x:is>
      </x:c>
      <x:c r="C140" s="4" t="inlineStr">
        <x:is>
          <x:t xml:space="preserve">Current scope</x:t>
        </x:is>
      </x:c>
      <x:c r="D140" s="4" t="inlineStr">
        <x:is>
          <x:t xml:space="preserve">2026-10-29 approved module separation: Products use Active/Inactive instead of deletion. Product deactivation is blocked if ANY stock remains for that product across Stock Management records. Catalogue performs a server-side availability check without displaying sizes/quantities. A generic explanation may say stock remains. Inactive products cannot receive movements until reactivated; records/history retained.</x:t>
        </x:is>
      </x:c>
      <x:c r="E140" s="4" t="inlineStr">
        <x:is>
          <x:t xml:space="preserve">FB-048, FB-053</x:t>
        </x:is>
      </x:c>
      <x:c r="F140" s="4" t="inlineStr">
        <x:is>
          <x:t xml:space="preserve">Stories!B50</x:t>
        </x:is>
      </x:c>
    </x:row>
    <x:row r="141" ht="52" customHeight="1">
      <x:c r="A141" s="28" t="inlineStr">
        <x:is>
          <x:t xml:space="preserve">REQ-138</x:t>
        </x:is>
      </x:c>
      <x:c r="B141" s="28" t="inlineStr">
        <x:is>
          <x:t xml:space="preserve">Inventory management — first version, planning complete</x:t>
        </x:is>
      </x:c>
      <x:c r="C141" s="28" t="inlineStr">
        <x:is>
          <x:t xml:space="preserve">Current scope</x:t>
        </x:is>
      </x:c>
      <x:c r="D141" s="28" t="inlineStr">
        <x:is>
          <x:t xml:space="preserve">Shared package_sizes package type/contents/unit become immutable once ANY stock_item references the definition, protecting every linked product. stock_items product/package_size identity must preserve movement history. No packaging fields on catalogue products. Catalogue classification/history constraints still require a focused decision before stock implementation.</x:t>
        </x:is>
      </x:c>
      <x:c r="E141" s="28" t="inlineStr">
        <x:is>
          <x:t xml:space="preserve">FB-053</x:t>
        </x:is>
      </x:c>
      <x:c r="F141" s="28" t="inlineStr">
        <x:is>
          <x:t xml:space="preserve">Stories!B57</x:t>
        </x:is>
      </x:c>
    </x:row>
    <x:row r="142" ht="61" customHeight="1">
      <x:c r="A142" s="4" t="inlineStr">
        <x:is>
          <x:t xml:space="preserve">REQ-139</x:t>
        </x:is>
      </x:c>
      <x:c r="B142" s="4" t="inlineStr">
        <x:is>
          <x:t xml:space="preserve">Inventory management — first version, planning complete</x:t>
        </x:is>
      </x:c>
      <x:c r="C142" s="4" t="inlineStr">
        <x:is>
          <x:t xml:space="preserve">Current scope</x:t>
        </x:is>
      </x:c>
      <x:c r="D142" s="4" t="inlineStr">
        <x:is>
          <x:t xml:space="preserve">2026-10-29 approved module separation: Lock Stock Management summary measurement configuration after affected stock movements, preserving meaning of package contents and totals. Catalogue Subcategories have no summary-unit field. Exact summary configuration owner pending design discussion.</x:t>
        </x:is>
      </x:c>
      <x:c r="E142" s="4" t="inlineStr">
        <x:is>
          <x:t xml:space="preserve">FB-053</x:t>
        </x:is>
      </x:c>
      <x:c r="F142" s="4" t="inlineStr">
        <x:is>
          <x:t xml:space="preserve">Stories!B57</x:t>
        </x:is>
      </x:c>
    </x:row>
    <x:row r="143" ht="52" customHeight="1">
      <x:c r="A143" s="28" t="inlineStr">
        <x:is>
          <x:t xml:space="preserve">REQ-140</x:t>
        </x:is>
      </x:c>
      <x:c r="B143" s="28" t="inlineStr">
        <x:is>
          <x:t xml:space="preserve">Inventory management — first version, planning complete</x:t>
        </x:is>
      </x:c>
      <x:c r="C143" s="28" t="inlineStr">
        <x:is>
          <x:t xml:space="preserve">Current scope</x:t>
        </x:is>
      </x:c>
      <x:c r="D143" s="28" t="inlineStr">
        <x:is>
          <x:t xml:space="preserve">2026-10-29 approved module separation: Consistent stock measurement and readable summary formatting belong exclusively to Stock Management. General unit conversion/loose-weight movements remain future scope.</x:t>
        </x:is>
      </x:c>
      <x:c r="E143" s="28" t="inlineStr">
        <x:is>
          <x:t xml:space="preserve">FB-029, FB-034, FB-053, FB-065–FB-066</x:t>
        </x:is>
      </x:c>
      <x:c r="F143" s="28" t="inlineStr">
        <x:is>
          <x:t xml:space="preserve">Stories!B32</x:t>
        </x:is>
      </x:c>
    </x:row>
    <x:row r="144" ht="52" customHeight="1">
      <x:c r="A144" s="4" t="inlineStr">
        <x:is>
          <x:t xml:space="preserve">REQ-141</x:t>
        </x:is>
      </x:c>
      <x:c r="B144" s="4" t="inlineStr">
        <x:is>
          <x:t xml:space="preserve">Inventory management — first version, planning complete</x:t>
        </x:is>
      </x:c>
      <x:c r="C144" s="4" t="inlineStr">
        <x:is>
          <x:t xml:space="preserve">Current scope</x:t>
        </x:is>
      </x:c>
      <x:c r="D144" s="4" t="inlineStr">
        <x:is>
          <x:t xml:space="preserve">Managers and the Super Admin can create and edit departments, categories, subcategories, products, and tags.</x:t>
        </x:is>
      </x:c>
      <x:c r="E144" s="4" t="inlineStr">
        <x:is>
          <x:t xml:space="preserve">FB-031, FB-037, FB-048</x:t>
        </x:is>
      </x:c>
      <x:c r="F144" s="4" t="inlineStr">
        <x:is>
          <x:t xml:space="preserve">Stories!B34</x:t>
        </x:is>
      </x:c>
    </x:row>
    <x:row r="145" ht="61" customHeight="1">
      <x:c r="A145" s="28" t="inlineStr">
        <x:is>
          <x:t xml:space="preserve">REQ-142</x:t>
        </x:is>
      </x:c>
      <x:c r="B145" s="28" t="inlineStr">
        <x:is>
          <x:t xml:space="preserve">Inventory management — first version, planning complete</x:t>
        </x:is>
      </x:c>
      <x:c r="C145" s="28" t="inlineStr">
        <x:is>
          <x:t xml:space="preserve">Current scope</x:t>
        </x:is>
      </x:c>
      <x:c r="D145" s="28" t="str">
        <x:v>2026-10-30 revised: Catalogue list shows product name, category path, optional brand/tags and status; no user-facing product code. All roles can search by product name and filter by Department, Category, Subcategory, tag and status. No sizes, units, quantities, available stock or totals. Reconsider product codes only after catalogue verification at FB-035.
2026-10-30 developer explicitly requires the reverse Tag-&gt;products relationship so products can be looked up for a tag. Use Tag::products() and Product::tags(), both belongsToMany through the SAME product_tag linking table. Future product-list main search must match tag names as well as product names: searching Halal returns products attached to the Halal tag. Keep existing separate tag filter and other filters; filter before pagination and avoid duplicated product rows when several tags match. No product-code search. Relationship is part of pending save implementation; list-search behaviour belongs at FB-040/044 and is not implemented by merely declaring the relationship.</x:v>
      </x:c>
      <x:c r="E145" s="28" t="inlineStr">
        <x:is>
          <x:t xml:space="preserve">FB-037–FB-046</x:t>
        </x:is>
      </x:c>
      <x:c r="F145" s="28" t="inlineStr">
        <x:is>
          <x:t xml:space="preserve">Stories!B39</x:t>
        </x:is>
      </x:c>
    </x:row>
    <x:row r="146" ht="52" customHeight="1">
      <x:c r="A146" s="4" t="inlineStr">
        <x:is>
          <x:t xml:space="preserve">REQ-143</x:t>
        </x:is>
      </x:c>
      <x:c r="B146" s="4" t="inlineStr">
        <x:is>
          <x:t xml:space="preserve">Inventory management — first version, planning complete</x:t>
        </x:is>
      </x:c>
      <x:c r="C146" s="4" t="inlineStr">
        <x:is>
          <x:t xml:space="preserve">Current scope</x:t>
        </x:is>
      </x:c>
      <x:c r="D146" s="4" t="inlineStr">
        <x:is>
          <x:t xml:space="preserve">Show 10 products per page. Search and filters apply across the full catalogue before results are divided into pages.</x:t>
        </x:is>
      </x:c>
      <x:c r="E146" s="4" t="inlineStr">
        <x:is>
          <x:t xml:space="preserve">FB-037–FB-046</x:t>
        </x:is>
      </x:c>
      <x:c r="F146" s="4" t="inlineStr">
        <x:is>
          <x:t xml:space="preserve">Stories!B39</x:t>
        </x:is>
      </x:c>
    </x:row>
    <x:row r="147" ht="52" customHeight="1">
      <x:c r="A147" s="28" t="inlineStr">
        <x:is>
          <x:t xml:space="preserve">REQ-144</x:t>
        </x:is>
      </x:c>
      <x:c r="B147" s="28" t="inlineStr">
        <x:is>
          <x:t xml:space="preserve">Inventory management — first version, planning complete</x:t>
        </x:is>
      </x:c>
      <x:c r="C147" s="28" t="inlineStr">
        <x:is>
          <x:t xml:space="preserve">Verification</x:t>
        </x:is>
      </x:c>
      <x:c r="D147" s="28" t="inlineStr">
        <x:is>
          <x:t xml:space="preserve">Inventory planning and the following verification checklist are approved. These are future checks; no implementation or successful tests are claimed.</x:t>
        </x:is>
      </x:c>
      <x:c r="E147" s="28" t="inlineStr">
        <x:is>
          <x:t xml:space="preserve">FB-067–FB-069</x:t>
        </x:is>
      </x:c>
      <x:c r="F147" s="28" t="inlineStr">
        <x:is>
          <x:t xml:space="preserve">Stories!B51</x:t>
        </x:is>
      </x:c>
    </x:row>
    <x:row r="148" ht="52" customHeight="1">
      <x:c r="A148" s="4" t="inlineStr">
        <x:is>
          <x:t xml:space="preserve">REQ-145</x:t>
        </x:is>
      </x:c>
      <x:c r="B148" s="4" t="inlineStr">
        <x:is>
          <x:t xml:space="preserve">Inventory management — first version, planning complete</x:t>
        </x:is>
      </x:c>
      <x:c r="C148" s="4" t="inlineStr">
        <x:is>
          <x:t xml:space="preserve">Verification</x:t>
        </x:is>
      </x:c>
      <x:c r="D148" s="4" t="inlineStr">
        <x:is>
          <x:t xml:space="preserve">Verify permanent codes, duplicate prevention, required fields, and units.</x:t>
        </x:is>
      </x:c>
      <x:c r="E148" s="4" t="inlineStr">
        <x:is>
          <x:t xml:space="preserve">FB-067, FB-069</x:t>
        </x:is>
      </x:c>
      <x:c r="F148" s="4" t="inlineStr">
        <x:is>
          <x:t xml:space="preserve">Stories!B51</x:t>
        </x:is>
      </x:c>
    </x:row>
    <x:row r="149" ht="52" customHeight="1">
      <x:c r="A149" s="28" t="inlineStr">
        <x:is>
          <x:t xml:space="preserve">REQ-146</x:t>
        </x:is>
      </x:c>
      <x:c r="B149" s="28" t="inlineStr">
        <x:is>
          <x:t xml:space="preserve">Inventory management — first version, planning complete</x:t>
        </x:is>
      </x:c>
      <x:c r="C149" s="28" t="inlineStr">
        <x:is>
          <x:t xml:space="preserve">Verification</x:t>
        </x:is>
      </x:c>
      <x:c r="D149" s="28" t="inlineStr">
        <x:is>
          <x:t xml:space="preserve">Verify Receive, Distribute, and Adjust balances; prevent negative stock, including when multiple users save simultaneously.</x:t>
        </x:is>
      </x:c>
      <x:c r="E149" s="28" t="inlineStr">
        <x:is>
          <x:t xml:space="preserve">FB-051, FB-052, FB-056, FB-063, FB-068, FB-069</x:t>
        </x:is>
      </x:c>
      <x:c r="F149" s="28" t="inlineStr">
        <x:is>
          <x:t xml:space="preserve">Stories!B55</x:t>
        </x:is>
      </x:c>
    </x:row>
    <x:row r="150" ht="52" customHeight="1">
      <x:c r="A150" s="4" t="inlineStr">
        <x:is>
          <x:t xml:space="preserve">REQ-147</x:t>
        </x:is>
      </x:c>
      <x:c r="B150" s="4" t="inlineStr">
        <x:is>
          <x:t xml:space="preserve">Inventory management — first version, planning complete</x:t>
        </x:is>
      </x:c>
      <x:c r="C150" s="4" t="inlineStr">
        <x:is>
          <x:t xml:space="preserve">Verification</x:t>
        </x:is>
      </x:c>
      <x:c r="D150" s="4" t="inlineStr">
        <x:is>
          <x:t xml:space="preserve">Verify multi-product entries save all movements together or none.</x:t>
        </x:is>
      </x:c>
      <x:c r="E150" s="4" t="inlineStr">
        <x:is>
          <x:t xml:space="preserve">FB-051, FB-063, FB-068, FB-069</x:t>
        </x:is>
      </x:c>
      <x:c r="F150" s="4" t="inlineStr">
        <x:is>
          <x:t xml:space="preserve">Stories!B55</x:t>
        </x:is>
      </x:c>
    </x:row>
    <x:row r="151" ht="52" customHeight="1">
      <x:c r="A151" s="28" t="inlineStr">
        <x:is>
          <x:t xml:space="preserve">REQ-148</x:t>
        </x:is>
      </x:c>
      <x:c r="B151" s="28" t="inlineStr">
        <x:is>
          <x:t xml:space="preserve">Inventory management — first version, planning complete</x:t>
        </x:is>
      </x:c>
      <x:c r="C151" s="28" t="inlineStr">
        <x:is>
          <x:t xml:space="preserve">Verification</x:t>
        </x:is>
      </x:c>
      <x:c r="D151" s="28" t="inlineStr">
        <x:is>
          <x:t xml:space="preserve">Verify whole-package movements, one row per product, and correct unit conversion and summary calculations/display.</x:t>
        </x:is>
      </x:c>
      <x:c r="E151" s="28" t="inlineStr">
        <x:is>
          <x:t xml:space="preserve">FB-050, FB-061, FB-065, FB-066, FB-068, FB-069</x:t>
        </x:is>
      </x:c>
      <x:c r="F151" s="28" t="inlineStr">
        <x:is>
          <x:t xml:space="preserve">Stories!B54</x:t>
        </x:is>
      </x:c>
    </x:row>
    <x:row r="152" ht="52" customHeight="1">
      <x:c r="A152" s="4" t="inlineStr">
        <x:is>
          <x:t xml:space="preserve">REQ-149</x:t>
        </x:is>
      </x:c>
      <x:c r="B152" s="4" t="inlineStr">
        <x:is>
          <x:t xml:space="preserve">Inventory management — first version, planning complete</x:t>
        </x:is>
      </x:c>
      <x:c r="C152" s="4" t="inlineStr">
        <x:is>
          <x:t xml:space="preserve">Verification</x:t>
        </x:is>
      </x:c>
      <x:c r="D152" s="4" t="inlineStr">
        <x:is>
          <x:t xml:space="preserve">Verify inactive-product restrictions, zero stock before deactivation, and protected contents/units after movements.</x:t>
        </x:is>
      </x:c>
      <x:c r="E152" s="4" t="inlineStr">
        <x:is>
          <x:t xml:space="preserve">FB-048, FB-053, FB-068, FB-069</x:t>
        </x:is>
      </x:c>
      <x:c r="F152" s="4" t="inlineStr">
        <x:is>
          <x:t xml:space="preserve">Stories!B50</x:t>
        </x:is>
      </x:c>
    </x:row>
    <x:row r="153" ht="52" customHeight="1">
      <x:c r="A153" s="28" t="inlineStr">
        <x:is>
          <x:t xml:space="preserve">REQ-150</x:t>
        </x:is>
      </x:c>
      <x:c r="B153" s="28" t="inlineStr">
        <x:is>
          <x:t xml:space="preserve">Inventory management — first version, planning complete</x:t>
        </x:is>
      </x:c>
      <x:c r="C153" s="28" t="inlineStr">
        <x:is>
          <x:t xml:space="preserve">Verification</x:t>
        </x:is>
      </x:c>
      <x:c r="D153" s="28" t="inlineStr">
        <x:is>
          <x:t xml:space="preserve">Verify role permissions on the server, including direct requests: volunteers may record movements and view balances, but cannot edit the catalogue or view history.</x:t>
        </x:is>
      </x:c>
      <x:c r="E153" s="28" t="inlineStr">
        <x:is>
          <x:t xml:space="preserve">FB-067, FB-051, FB-054, FB-056, FB-063, FB-066, FB-068, FB-069</x:t>
        </x:is>
      </x:c>
      <x:c r="F153" s="28" t="inlineStr">
        <x:is>
          <x:t xml:space="preserve">Stories!B51</x:t>
        </x:is>
      </x:c>
    </x:row>
    <x:row r="154" ht="52" customHeight="1">
      <x:c r="A154" s="4" t="inlineStr">
        <x:is>
          <x:t xml:space="preserve">REQ-151</x:t>
        </x:is>
      </x:c>
      <x:c r="B154" s="4" t="inlineStr">
        <x:is>
          <x:t xml:space="preserve">Inventory management — first version, planning complete</x:t>
        </x:is>
      </x:c>
      <x:c r="C154" s="4" t="inlineStr">
        <x:is>
          <x:t xml:space="preserve">Verification</x:t>
        </x:is>
      </x:c>
      <x:c r="D154" s="4" t="inlineStr">
        <x:is>
          <x:t xml:space="preserve">Verify search, filters, pagination, household selection, confirmation, errors, retained input, and success feedback.</x:t>
        </x:is>
      </x:c>
      <x:c r="E154" s="4" t="inlineStr">
        <x:is>
          <x:t xml:space="preserve">FB-067, FB-052, FB-058, FB-060, FB-062, FB-064, FB-068, FB-069</x:t>
        </x:is>
      </x:c>
      <x:c r="F154" s="4" t="inlineStr">
        <x:is>
          <x:t xml:space="preserve">Stories!B51</x:t>
        </x:is>
      </x:c>
    </x:row>
    <x:row r="155" ht="52" customHeight="1">
      <x:c r="A155" s="28" t="inlineStr">
        <x:is>
          <x:t xml:space="preserve">REQ-152</x:t>
        </x:is>
      </x:c>
      <x:c r="B155" s="28" t="inlineStr">
        <x:is>
          <x:t xml:space="preserve">##FUTURE — Confirmed future direction</x:t>
        </x:is>
      </x:c>
      <x:c r="C155" s="28" t="inlineStr">
        <x:is>
          <x:t xml:space="preserve">##FUTURE</x:t>
        </x:is>
      </x:c>
      <x:c r="D155" s="28" t="inlineStr">
        <x:is>
          <x:t xml:space="preserve">##FUTURE Batch and expiry tracking, including separate expiry dates for different deliveries of the same product. Version one tracks stock at product level without batch or expiry balances.</x:t>
        </x:is>
      </x:c>
      <x:c r="E155" s="28" t="inlineStr">
        <x:is>
          <x:t xml:space="preserve">Deferred — no current item</x:t>
        </x:is>
      </x:c>
      <x:c r="F155" s="28" t="inlineStr">
        <x:is>
          <x:t xml:space="preserve">Deferred</x:t>
        </x:is>
      </x:c>
    </x:row>
    <x:row r="156" ht="52" customHeight="1">
      <x:c r="A156" s="4" t="inlineStr">
        <x:is>
          <x:t xml:space="preserve">REQ-153</x:t>
        </x:is>
      </x:c>
      <x:c r="B156" s="4" t="inlineStr">
        <x:is>
          <x:t xml:space="preserve">##FUTURE — Confirmed future direction</x:t>
        </x:is>
      </x:c>
      <x:c r="C156" s="4" t="inlineStr">
        <x:is>
          <x:t xml:space="preserve">##FUTURE</x:t>
        </x:is>
      </x:c>
      <x:c r="D156" s="4" t="inlineStr">
        <x:is>
          <x:t xml:space="preserve">##FUTURE Donation management module; detailed requirements remain undecided.</x:t>
        </x:is>
      </x:c>
      <x:c r="E156" s="4" t="inlineStr">
        <x:is>
          <x:t xml:space="preserve">Deferred — no current item</x:t>
        </x:is>
      </x:c>
      <x:c r="F156" s="4" t="inlineStr">
        <x:is>
          <x:t xml:space="preserve">Deferred</x:t>
        </x:is>
      </x:c>
    </x:row>
    <x:row r="157" ht="52" customHeight="1">
      <x:c r="A157" s="28" t="inlineStr">
        <x:is>
          <x:t xml:space="preserve">REQ-154</x:t>
        </x:is>
      </x:c>
      <x:c r="B157" s="28" t="inlineStr">
        <x:is>
          <x:t xml:space="preserve">##FUTURE — Confirmed future direction</x:t>
        </x:is>
      </x:c>
      <x:c r="C157" s="28" t="inlineStr">
        <x:is>
          <x:t xml:space="preserve">##FUTURE</x:t>
        </x:is>
      </x:c>
      <x:c r="D157" s="28" t="inlineStr">
        <x:is>
          <x:t xml:space="preserve">##FUTURE Purchase management module; detailed requirements remain undecided.</x:t>
        </x:is>
      </x:c>
      <x:c r="E157" s="28" t="inlineStr">
        <x:is>
          <x:t xml:space="preserve">Deferred — no current item</x:t>
        </x:is>
      </x:c>
      <x:c r="F157" s="28" t="inlineStr">
        <x:is>
          <x:t xml:space="preserve">Deferred</x:t>
        </x:is>
      </x:c>
    </x:row>
    <x:row r="158" ht="52" customHeight="1">
      <x:c r="A158" s="4" t="inlineStr">
        <x:is>
          <x:t xml:space="preserve">REQ-155</x:t>
        </x:is>
      </x:c>
      <x:c r="B158" s="4" t="inlineStr">
        <x:is>
          <x:t xml:space="preserve">##FUTURE — Confirmed future direction</x:t>
        </x:is>
      </x:c>
      <x:c r="C158" s="4" t="inlineStr">
        <x:is>
          <x:t xml:space="preserve">##FUTURE</x:t>
        </x:is>
      </x:c>
      <x:c r="D158" s="4" t="inlineStr">
        <x:is>
          <x:t xml:space="preserve">##FUTURE Stock tracking by location.</x:t>
        </x:is>
      </x:c>
      <x:c r="E158" s="4" t="inlineStr">
        <x:is>
          <x:t xml:space="preserve">Deferred — no current item</x:t>
        </x:is>
      </x:c>
      <x:c r="F158" s="4" t="inlineStr">
        <x:is>
          <x:t xml:space="preserve">Deferred</x:t>
        </x:is>
      </x:c>
    </x:row>
    <x:row r="159" ht="52" customHeight="1">
      <x:c r="A159" s="28" t="inlineStr">
        <x:is>
          <x:t xml:space="preserve">REQ-156</x:t>
        </x:is>
      </x:c>
      <x:c r="B159" s="28" t="inlineStr">
        <x:is>
          <x:t xml:space="preserve">##FUTURE — Confirmed future direction</x:t>
        </x:is>
      </x:c>
      <x:c r="C159" s="28" t="inlineStr">
        <x:is>
          <x:t xml:space="preserve">##FUTURE</x:t>
        </x:is>
      </x:c>
      <x:c r="D159" s="28" t="inlineStr">
        <x:is>
          <x:t xml:space="preserve">##FUTURE Inventory quantities measured by loose weight and conversions between units. Detailed requirements remain undecided.</x:t>
        </x:is>
      </x:c>
      <x:c r="E159" s="28" t="inlineStr">
        <x:is>
          <x:t xml:space="preserve">Deferred — no current item</x:t>
        </x:is>
      </x:c>
      <x:c r="F159" s="28" t="inlineStr">
        <x:is>
          <x:t xml:space="preserve">Deferred</x:t>
        </x:is>
      </x:c>
    </x:row>
    <x:row r="160" ht="52" customHeight="1">
      <x:c r="A160" s="4" t="inlineStr">
        <x:is>
          <x:t xml:space="preserve">REQ-157</x:t>
        </x:is>
      </x:c>
      <x:c r="B160" s="4" t="inlineStr">
        <x:is>
          <x:t xml:space="preserve">##FUTURE — Confirmed future direction</x:t>
        </x:is>
      </x:c>
      <x:c r="C160" s="4" t="inlineStr">
        <x:is>
          <x:t xml:space="preserve">##FUTURE</x:t>
        </x:is>
      </x:c>
      <x:c r="D160" s="4" t="inlineStr">
        <x:is>
          <x:t xml:space="preserve">##FUTURE Activity history recording who created, edited, activated, deactivated, or reset an account. Detailed requirements remain undecided.</x:t>
        </x:is>
      </x:c>
      <x:c r="E160" s="4" t="inlineStr">
        <x:is>
          <x:t xml:space="preserve">Deferred — no current item</x:t>
        </x:is>
      </x:c>
      <x:c r="F160" s="4" t="inlineStr">
        <x:is>
          <x:t xml:space="preserve">Deferred</x:t>
        </x:is>
      </x:c>
    </x:row>
    <x:row r="161" ht="52" customHeight="1">
      <x:c r="A161" s="28" t="inlineStr">
        <x:is>
          <x:t xml:space="preserve">REQ-158</x:t>
        </x:is>
      </x:c>
      <x:c r="B161" s="28" t="inlineStr">
        <x:is>
          <x:t xml:space="preserve">##FUTURE — Confirmed future direction</x:t>
        </x:is>
      </x:c>
      <x:c r="C161" s="28" t="inlineStr">
        <x:is>
          <x:t xml:space="preserve">##FUTURE</x:t>
        </x:is>
      </x:c>
      <x:c r="D161" s="28" t="inlineStr">
        <x:is>
          <x:t xml:space="preserve">##FUTURE Household registration and management.</x:t>
        </x:is>
      </x:c>
      <x:c r="E161" s="28" t="inlineStr">
        <x:is>
          <x:t xml:space="preserve">Deferred — no current item</x:t>
        </x:is>
      </x:c>
      <x:c r="F161" s="28" t="inlineStr">
        <x:is>
          <x:t xml:space="preserve">Deferred</x:t>
        </x:is>
      </x:c>
    </x:row>
    <x:row r="162" ht="52" customHeight="1">
      <x:c r="A162" s="4" t="inlineStr">
        <x:is>
          <x:t xml:space="preserve">REQ-159</x:t>
        </x:is>
      </x:c>
      <x:c r="B162" s="4" t="inlineStr">
        <x:is>
          <x:t xml:space="preserve">##FUTURE — Confirmed future direction</x:t>
        </x:is>
      </x:c>
      <x:c r="C162" s="4" t="inlineStr">
        <x:is>
          <x:t xml:space="preserve">##FUTURE</x:t>
        </x:is>
      </x:c>
      <x:c r="D162" s="4" t="inlineStr">
        <x:is>
          <x:t xml:space="preserve">##FUTURE Appointment management.</x:t>
        </x:is>
      </x:c>
      <x:c r="E162" s="4" t="inlineStr">
        <x:is>
          <x:t xml:space="preserve">Deferred — no current item</x:t>
        </x:is>
      </x:c>
      <x:c r="F162" s="4" t="inlineStr">
        <x:is>
          <x:t xml:space="preserve">Deferred</x:t>
        </x:is>
      </x:c>
    </x:row>
    <x:row r="163" ht="52" customHeight="1">
      <x:c r="A163" s="28" t="inlineStr">
        <x:is>
          <x:t xml:space="preserve">REQ-160</x:t>
        </x:is>
      </x:c>
      <x:c r="B163" s="28" t="inlineStr">
        <x:is>
          <x:t xml:space="preserve">##FUTURE — Confirmed future direction</x:t>
        </x:is>
      </x:c>
      <x:c r="C163" s="28" t="inlineStr">
        <x:is>
          <x:t xml:space="preserve">##FUTURE</x:t>
        </x:is>
      </x:c>
      <x:c r="D163" s="28" t="inlineStr">
        <x:is>
          <x:t xml:space="preserve">##FUTURE Email-based initial password setup links.</x:t>
        </x:is>
      </x:c>
      <x:c r="E163" s="28" t="inlineStr">
        <x:is>
          <x:t xml:space="preserve">Deferred — no current item</x:t>
        </x:is>
      </x:c>
      <x:c r="F163" s="28" t="inlineStr">
        <x:is>
          <x:t xml:space="preserve">Deferred</x:t>
        </x:is>
      </x:c>
    </x:row>
    <x:row r="164" ht="52" customHeight="1">
      <x:c r="A164" s="4" t="inlineStr">
        <x:is>
          <x:t xml:space="preserve">REQ-161</x:t>
        </x:is>
      </x:c>
      <x:c r="B164" s="4" t="inlineStr">
        <x:is>
          <x:t xml:space="preserve">##FUTURE — Confirmed future direction</x:t>
        </x:is>
      </x:c>
      <x:c r="C164" s="4" t="inlineStr">
        <x:is>
          <x:t xml:space="preserve">##FUTURE</x:t>
        </x:is>
      </x:c>
      <x:c r="D164" s="4"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64" s="4" t="inlineStr">
        <x:is>
          <x:t xml:space="preserve">Deferred — no current item</x:t>
        </x:is>
      </x:c>
      <x:c r="F164" s="4" t="inlineStr">
        <x:is>
          <x:t xml:space="preserve">Deferred</x:t>
        </x:is>
      </x:c>
    </x:row>
    <x:row r="165" ht="52" customHeight="1">
      <x:c r="A165" s="28" t="inlineStr">
        <x:is>
          <x:t xml:space="preserve">REQ-162</x:t>
        </x:is>
      </x:c>
      <x:c r="B165" s="28" t="inlineStr">
        <x:is>
          <x:t xml:space="preserve">##FUTURE — Confirmed future direction</x:t>
        </x:is>
      </x:c>
      <x:c r="C165" s="28" t="inlineStr">
        <x:is>
          <x:t xml:space="preserve">##FUTURE</x:t>
        </x:is>
      </x:c>
      <x:c r="D165" s="28" t="inlineStr">
        <x:is>
          <x:t xml:space="preserve">##FUTURE Self-service profile editing (name, email, and phone).</x:t>
        </x:is>
      </x:c>
      <x:c r="E165" s="28" t="inlineStr">
        <x:is>
          <x:t xml:space="preserve">Deferred — no current item</x:t>
        </x:is>
      </x:c>
      <x:c r="F165" s="28" t="inlineStr">
        <x:is>
          <x:t xml:space="preserve">Deferred</x:t>
        </x:is>
      </x:c>
    </x:row>
    <x:row r="166" ht="52" customHeight="1">
      <x:c r="A166" s="4" t="inlineStr">
        <x:is>
          <x:t xml:space="preserve">REQ-163</x:t>
        </x:is>
      </x:c>
      <x:c r="B166" s="4" t="inlineStr">
        <x:is>
          <x:t xml:space="preserve">##FUTURE — Confirmed future direction</x:t>
        </x:is>
      </x:c>
      <x:c r="C166" s="4" t="inlineStr">
        <x:is>
          <x:t xml:space="preserve">##FUTURE</x:t>
        </x:is>
      </x:c>
      <x:c r="D166" s="4" t="inlineStr">
        <x:is>
          <x:t xml:space="preserve">##FUTURE Volunteer deletion; deletion and record-retention rules remain undecided.</x:t>
        </x:is>
      </x:c>
      <x:c r="E166" s="4" t="inlineStr">
        <x:is>
          <x:t xml:space="preserve">Deferred — no current item</x:t>
        </x:is>
      </x:c>
      <x:c r="F166" s="4" t="inlineStr">
        <x:is>
          <x:t xml:space="preserve">Deferred</x:t>
        </x:is>
      </x:c>
    </x:row>
    <x:row r="167" ht="52" customHeight="1">
      <x:c r="A167" s="28" t="inlineStr">
        <x:is>
          <x:t xml:space="preserve">REQ-164</x:t>
        </x:is>
      </x:c>
      <x:c r="B167" s="28" t="inlineStr">
        <x:is>
          <x:t xml:space="preserve">##FUTURE — Confirmed future direction</x:t>
        </x:is>
      </x:c>
      <x:c r="C167" s="28" t="inlineStr">
        <x:is>
          <x:t xml:space="preserve">##FUTURE</x:t>
        </x:is>
      </x:c>
      <x:c r="D167" s="28" t="inlineStr">
        <x:is>
          <x:t xml:space="preserve">##FUTURE Broader volunteer module, beyond basic data management; specific capabilities still need discussion.</x:t>
        </x:is>
      </x:c>
      <x:c r="E167" s="28" t="inlineStr">
        <x:is>
          <x:t xml:space="preserve">Deferred — no current item</x:t>
        </x:is>
      </x:c>
      <x:c r="F167" s="28" t="inlineStr">
        <x:is>
          <x:t xml:space="preserve">Deferred</x:t>
        </x:is>
      </x:c>
    </x:row>
    <x:row r="168" ht="52" customHeight="1">
      <x:c r="A168" s="4" t="inlineStr">
        <x:is>
          <x:t xml:space="preserve">REQ-165</x:t>
        </x:is>
      </x:c>
      <x:c r="B168" s="4" t="inlineStr">
        <x:is>
          <x:t xml:space="preserve">##FUTURE — Confirmed future direction</x:t>
        </x:is>
      </x:c>
      <x:c r="C168" s="4" t="inlineStr">
        <x:is>
          <x:t xml:space="preserve">##FUTURE</x:t>
        </x:is>
      </x:c>
      <x:c r="D168" s="4" t="inlineStr">
        <x:is>
          <x:t xml:space="preserve">##FUTURE Additional roles, to be defined later.</x:t>
        </x:is>
      </x:c>
      <x:c r="E168" s="4" t="inlineStr">
        <x:is>
          <x:t xml:space="preserve">Deferred — no current item</x:t>
        </x:is>
      </x:c>
      <x:c r="F168" s="4" t="inlineStr">
        <x:is>
          <x:t xml:space="preserve">Deferred</x:t>
        </x:is>
      </x:c>
    </x:row>
    <x:row r="169" ht="52" customHeight="1">
      <x:c r="A169" s="28" t="inlineStr">
        <x:is>
          <x:t xml:space="preserve">REQ-166</x:t>
        </x:is>
      </x:c>
      <x:c r="B169" s="28" t="inlineStr">
        <x:is>
          <x:t xml:space="preserve">1. Roles and account creation</x:t>
        </x:is>
      </x:c>
      <x:c r="C169" s="28" t="inlineStr">
        <x:is>
          <x:t xml:space="preserve">Current scope</x:t>
        </x:is>
      </x:c>
      <x:c r="D169" s="28" t="inlineStr">
        <x:is>
          <x: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x:t>
        </x:is>
      </x:c>
      <x:c r="E169" s="28" t="inlineStr">
        <x:is>
          <x:t xml:space="preserve">FB-021</x:t>
        </x:is>
      </x:c>
      <x:c r="F169" s="28" t="inlineStr">
        <x:is>
          <x:t xml:space="preserve">Stories!B25</x:t>
        </x:is>
      </x:c>
    </x:row>
    <x:row r="170" ht="76" customHeight="1">
      <x:c r="A170" s="4" t="inlineStr">
        <x:is>
          <x:t xml:space="preserve">REQ-167</x:t>
        </x:is>
      </x:c>
      <x:c r="B170" s="4" t="inlineStr">
        <x:is>
          <x:t xml:space="preserve">Business context</x:t>
        </x:is>
      </x:c>
      <x:c r="C170" s="4" t="inlineStr">
        <x:is>
          <x:t xml:space="preserve">Current scope</x:t>
        </x:is>
      </x:c>
      <x:c r="D170" s="4" t="inlineStr">
        <x:is>
          <x:t xml:space="preserve">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x:t>
        </x:is>
      </x:c>
      <x:c r="E170" s="4" t="inlineStr">
        <x:is>
          <x:t xml:space="preserve">FB-057</x:t>
        </x:is>
      </x:c>
      <x:c r="F170" s="4" t="inlineStr">
        <x:is>
          <x:t xml:space="preserve">Stories!B63</x:t>
        </x:is>
      </x:c>
    </x:row>
    <x:row r="171" ht="52" customHeight="1">
      <x:c r="A171" s="28" t="inlineStr">
        <x:is>
          <x:t xml:space="preserve">REQ-168</x:t>
        </x:is>
      </x:c>
      <x:c r="B171" s="28" t="inlineStr">
        <x:is>
          <x:t xml:space="preserve">Business context</x:t>
        </x:is>
      </x:c>
      <x:c r="C171" s="28" t="inlineStr">
        <x:is>
          <x:t xml:space="preserve">Current scope</x:t>
        </x:is>
      </x:c>
      <x:c r="D171" s="28" t="inlineStr">
        <x:is>
          <x:t xml:space="preserve">Food recipients belong to registered households.</x:t>
        </x:is>
      </x:c>
      <x:c r="E171" s="28" t="inlineStr">
        <x:is>
          <x:t xml:space="preserve">FB-057–FB-064</x:t>
        </x:is>
      </x:c>
      <x:c r="F171" s="28" t="inlineStr">
        <x:is>
          <x:t xml:space="preserve">Stories!B63</x:t>
        </x:is>
      </x:c>
    </x:row>
    <x:row r="172" ht="52" customHeight="1">
      <x:c r="A172" s="4" t="inlineStr">
        <x:is>
          <x:t xml:space="preserve">REQ-169</x:t>
        </x:is>
      </x:c>
      <x:c r="B172" s="4" t="inlineStr">
        <x:is>
          <x:t xml:space="preserve">Business context</x:t>
        </x:is>
      </x:c>
      <x:c r="C172" s="4" t="inlineStr">
        <x:is>
          <x:t xml:space="preserve">Current scope</x:t>
        </x:is>
      </x:c>
      <x:c r="D172" s="4" t="inlineStr">
        <x:is>
          <x:t xml:space="preserve">Assume households have appointments when they arrive to receive food.</x:t>
        </x:is>
      </x:c>
      <x:c r="E172" s="4" t="inlineStr">
        <x:is>
          <x:t xml:space="preserve">FB-057–FB-064</x:t>
        </x:is>
      </x:c>
      <x:c r="F172" s="4" t="inlineStr">
        <x:is>
          <x:t xml:space="preserve">Stories!B63</x:t>
        </x:is>
      </x:c>
    </x:row>
    <x:row r="173" ht="61" customHeight="1">
      <x:c r="A173" s="28" t="inlineStr">
        <x:is>
          <x:t xml:space="preserve">REQ-170</x:t>
        </x:is>
      </x:c>
      <x:c r="B173" s="28" t="inlineStr">
        <x:is>
          <x:t xml:space="preserve">Business context</x:t>
        </x:is>
      </x:c>
      <x:c r="C173" s="28" t="inlineStr">
        <x:is>
          <x:t xml:space="preserve">Current scope</x:t>
        </x:is>
      </x:c>
      <x:c r="D173" s="28" t="inlineStr">
        <x:is>
          <x:t xml:space="preserve">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x:t>
        </x:is>
      </x:c>
      <x:c r="E173" s="28" t="inlineStr">
        <x:is>
          <x:t xml:space="preserve">FB-057–FB-064</x:t>
        </x:is>
      </x:c>
      <x:c r="F173" s="28" t="inlineStr">
        <x:is>
          <x:t xml:space="preserve">Stories!B63</x:t>
        </x:is>
      </x:c>
    </x:row>
    <x:row r="174" ht="61" customHeight="1">
      <x:c r="A174" s="4" t="inlineStr">
        <x:is>
          <x:t xml:space="preserve">REQ-171</x:t>
        </x:is>
      </x:c>
      <x:c r="B174" s="4" t="inlineStr">
        <x:is>
          <x:t xml:space="preserve">Business context</x:t>
        </x:is>
      </x:c>
      <x:c r="C174" s="4" t="inlineStr">
        <x:is>
          <x:t xml:space="preserve">Current scope</x:t>
        </x:is>
      </x:c>
      <x:c r="D174" s="4" t="inlineStr">
        <x:is>
          <x:t xml:space="preserve">Inventory management and household distribution are approved for the first version as detailed above. Donation and purchase management remain future modules. Additional reporting beyond agreed subcategory totals and stock history has not been approved.</x:t>
        </x:is>
      </x:c>
      <x:c r="E174" s="4" t="inlineStr">
        <x:is>
          <x:t xml:space="preserve">FB-057–FB-064</x:t>
        </x:is>
      </x:c>
      <x:c r="F174" s="4" t="inlineStr">
        <x:is>
          <x:t xml:space="preserve">Stories!B63</x:t>
        </x:is>
      </x:c>
    </x:row>
    <x:row r="175" ht="61" customHeight="1">
      <x:c r="A175" s="28" t="inlineStr">
        <x:is>
          <x:t xml:space="preserve">REQ-172</x:t>
        </x:is>
      </x:c>
      <x:c r="B175" s="28" t="inlineStr">
        <x:is>
          <x:t xml:space="preserve">Build order</x:t>
        </x:is>
      </x:c>
      <x:c r="C175" s="28" t="inlineStr">
        <x:is>
          <x:t xml:space="preserve">Project context</x:t>
        </x:is>
      </x:c>
      <x:c r="D175" s="28" t="inlineStr">
        <x:is>
          <x:t xml:space="preserve">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E175" s="28" t="inlineStr">
        <x:is>
          <x:t xml:space="preserve">All current items</x:t>
        </x:is>
      </x:c>
      <x:c r="F175" s="28" t="inlineStr">
        <x:is>
          <x:t xml:space="preserve">Stories!B4</x:t>
        </x:is>
      </x:c>
    </x:row>
    <x:row r="176" ht="52" customHeight="1">
      <x:c r="A176" s="4" t="inlineStr">
        <x:is>
          <x:t xml:space="preserve">REQ-173</x:t>
        </x:is>
      </x:c>
      <x:c r="B176" s="4" t="inlineStr">
        <x:is>
          <x:t xml:space="preserve">Build order</x:t>
        </x:is>
      </x:c>
      <x:c r="C176" s="4" t="inlineStr">
        <x:is>
          <x:t xml:space="preserve">Project context</x:t>
        </x:is>
      </x:c>
      <x:c r="D176" s="4" t="inlineStr">
        <x:is>
          <x:t xml:space="preserve">Ask the developer to test first; test on their behalf only if delegated. A done response to test instructions confirms the developer tested it.</x:t>
        </x:is>
      </x:c>
      <x:c r="E176" s="4" t="inlineStr">
        <x:is>
          <x:t xml:space="preserve">All current items</x:t>
        </x:is>
      </x:c>
      <x:c r="F176" s="4" t="inlineStr">
        <x:is>
          <x:t xml:space="preserve">Stories!B4</x:t>
        </x:is>
      </x:c>
    </x:row>
    <x:row r="177" ht="100" customHeight="1">
      <x:c r="A177" s="28" t="inlineStr">
        <x:is>
          <x:t xml:space="preserve">REQ-174</x:t>
        </x:is>
      </x:c>
      <x:c r="B177" s="28" t="inlineStr">
        <x:is>
          <x:t xml:space="preserve">Build order</x:t>
        </x:is>
      </x:c>
      <x:c r="C177" s="28" t="inlineStr">
        <x:is>
          <x:t xml:space="preserve">Project context</x:t>
        </x:is>
      </x:c>
      <x:c r="D177" s="28" t="inlineStr">
        <x:is>
          <x:t xml:space="preserve">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x:t>
        </x:is>
      </x:c>
      <x:c r="E177" s="28" t="inlineStr">
        <x:is>
          <x:t xml:space="preserve">All current items</x:t>
        </x:is>
      </x:c>
      <x:c r="F177" s="28" t="inlineStr">
        <x:is>
          <x:t xml:space="preserve">Stories!B4</x:t>
        </x:is>
      </x:c>
    </x:row>
    <x:row r="178" ht="52" customHeight="1">
      <x:c r="A178" s="4" t="inlineStr">
        <x:is>
          <x:t xml:space="preserve">REQ-175</x:t>
        </x:is>
      </x:c>
      <x:c r="B178" s="4" t="inlineStr">
        <x:is>
          <x:t xml:space="preserve">Build order</x:t>
        </x:is>
      </x:c>
      <x:c r="C178" s="4" t="inlineStr">
        <x:is>
          <x:t xml:space="preserve">Project context</x:t>
        </x:is>
      </x:c>
      <x:c r="D178" s="4" t="inlineStr">
        <x:is>
          <x:t xml:space="preserve">Fixed ordering constraint: implement Super Admin recovery last.</x:t>
        </x:is>
      </x:c>
      <x:c r="E178" s="4" t="inlineStr">
        <x:is>
          <x:t xml:space="preserve">All current items</x:t>
        </x:is>
      </x:c>
      <x:c r="F178" s="4" t="inlineStr">
        <x:is>
          <x:t xml:space="preserve">Stories!B4</x:t>
        </x:is>
      </x:c>
    </x:row>
    <x:row r="179" ht="110" customHeight="1">
      <x:c r="A179" s="9" t="inlineStr">
        <x:is>
          <x:t xml:space="preserve">REQ-176</x:t>
        </x:is>
      </x:c>
      <x:c r="B179" s="9" t="inlineStr">
        <x:is>
          <x:t xml:space="preserve">Login design</x:t>
        </x:is>
      </x:c>
      <x:c r="C179" s="9" t="inlineStr">
        <x:is>
          <x:t xml:space="preserve">Current scope</x:t>
        </x:is>
      </x:c>
      <x:c r="D179" s="9" t="inlineStr">
        <x:is>
          <x:t xml:space="preserve">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x:t>
        </x:is>
      </x:c>
      <x:c r="E179" s="9" t="inlineStr">
        <x:is>
          <x:t xml:space="preserve">FB-002</x:t>
        </x:is>
      </x:c>
      <x:c r="F179" s="9" t="inlineStr">
        <x:is>
          <x:t xml:space="preserve">Stories!B5</x:t>
        </x:is>
      </x:c>
    </x:row>
    <x:row r="180" ht="110" customHeight="1">
      <x:c r="A180" s="4" t="inlineStr">
        <x:is>
          <x:t xml:space="preserve">REQ-177</x:t>
        </x:is>
      </x:c>
      <x:c r="B180" s="4" t="inlineStr">
        <x:is>
          <x:t xml:space="preserve">Login redesign task</x:t>
        </x:is>
      </x:c>
      <x:c r="C180" s="4" t="inlineStr">
        <x:is>
          <x:t xml:space="preserve">##FUTURE</x:t>
        </x:is>
      </x:c>
      <x:c r="D180" s="4" t="inlineStr">
        <x:is>
          <x:t xml:space="preserve">##FUTURE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x:t>
        </x:is>
      </x:c>
      <x:c r="E180" s="4" t="inlineStr">
        <x:is>
          <x:t xml:space="preserve">FB-002–FB-008 (prerequisites)</x:t>
        </x:is>
      </x:c>
      <x:c r="F180" s="4" t="inlineStr">
        <x:is>
          <x:t xml:space="preserve">Stories!B5</x:t>
        </x:is>
      </x:c>
    </x:row>
    <x:row r="181" ht="100" customHeight="1">
      <x:c r="A181" s="9" t="inlineStr">
        <x:is>
          <x:t xml:space="preserve">REQ-178</x:t>
        </x:is>
      </x:c>
      <x:c r="B181" s="9" t="inlineStr">
        <x:is>
          <x:t xml:space="preserve">Shared login: Remember me</x:t>
        </x:is>
      </x:c>
      <x:c r="C181" s="9" t="inlineStr">
        <x:is>
          <x:t xml:space="preserve">Current scope</x:t>
        </x:is>
      </x:c>
      <x:c r="D181" s="9" t="inlineStr">
        <x:is>
          <x:t xml:space="preserve">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81" s="9" t="inlineStr">
        <x:is>
          <x:t xml:space="preserve">FB-002, FB-003, FB-005</x:t>
        </x:is>
      </x:c>
      <x:c r="F181" s="9" t="inlineStr">
        <x:is>
          <x:t xml:space="preserve">Stories!B5</x:t>
        </x:is>
      </x:c>
    </x:row>
    <x:row r="182" ht="100" customHeight="1">
      <x:c r="A182" s="9" t="inlineStr">
        <x:is>
          <x:t xml:space="preserve">REQ-179</x:t>
        </x:is>
      </x:c>
      <x:c r="B182" s="9" t="inlineStr">
        <x:is>
          <x:t xml:space="preserve">Login keyboard order</x:t>
        </x:is>
      </x:c>
      <x:c r="C182" s="9" t="inlineStr">
        <x:is>
          <x:t xml:space="preserve">Current scope</x:t>
        </x:is>
      </x:c>
      <x:c r="D182" s="9" t="inlineStr">
        <x:is>
          <x:t xml:space="preserve">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x:t>
        </x:is>
      </x:c>
      <x:c r="E182" s="9" t="inlineStr">
        <x:is>
          <x:t xml:space="preserve">FB-003</x:t>
        </x:is>
      </x:c>
      <x:c r="F182" s="9" t="inlineStr">
        <x:is>
          <x:t xml:space="preserve">Stories!B6</x:t>
        </x:is>
      </x:c>
    </x:row>
    <x:row r="183">
      <x:c r="A183" t="inlineStr">
        <x:is>
          <x:t xml:space="preserve">REQ-180</x:t>
        </x:is>
      </x:c>
      <x:c r="B183" t="inlineStr">
        <x:is>
          <x:t xml:space="preserve">User details and navigation</x:t>
        </x:is>
      </x:c>
      <x:c r="C183" t="inlineStr">
        <x:is>
          <x:t xml:space="preserve">Current scope</x:t>
        </x:is>
      </x:c>
      <x:c r="D183" t="inlineStr">
        <x:is>
          <x:t xml:space="preserve">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x:t>
        </x:is>
      </x:c>
      <x:c r="E183" t="inlineStr">
        <x:is>
          <x:t xml:space="preserve">FB-020</x:t>
        </x:is>
      </x:c>
      <x:c r="F183" t="inlineStr">
        <x:is>
          <x:t xml:space="preserve">Stories!B12</x:t>
        </x:is>
      </x:c>
    </x:row>
    <x:row r="184">
      <x:c r="A184" t="inlineStr">
        <x:is>
          <x:t xml:space="preserve">REQ-181</x:t>
        </x:is>
      </x:c>
      <x:c r="B184" t="inlineStr">
        <x:is>
          <x:t xml:space="preserve">Department list search</x:t>
        </x:is>
      </x:c>
      <x:c r="C184" t="inlineStr">
        <x:is>
          <x:t xml:space="preserve">Current scope</x:t>
        </x:is>
      </x:c>
      <x:c r="D184" t="inlineStr">
        <x:is>
          <x:t xml:space="preserve">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x:t>
        </x:is>
      </x:c>
      <x:c r="E184" t="inlineStr">
        <x:is>
          <x:t xml:space="preserve">FB-027</x:t>
        </x:is>
      </x:c>
      <x:c r="F184" t="inlineStr">
        <x:is>
          <x:t xml:space="preserve">Stories!B30</x:t>
        </x:is>
      </x:c>
    </x:row>
    <x:row r="185">
      <x:c r="A185" t="inlineStr">
        <x:is>
          <x:t xml:space="preserve">REQ-182</x:t>
        </x:is>
      </x:c>
      <x:c r="B185" t="inlineStr">
        <x:is>
          <x:t xml:space="preserve">Inventory management — first version</x:t>
        </x:is>
      </x:c>
      <x:c r="C185" t="inlineStr">
        <x:is>
          <x:t xml:space="preserve">Current scope</x:t>
        </x:is>
      </x:c>
      <x:c r="D185" t="inlineStr">
        <x:is>
          <x:t xml:space="preserve">2026-10-29 approved: Category list uses one partial-name search matching category name OR its department name. Follow Users/Departments search pattern: search full dataset before pagination, retain search in page links, clear to restore list. Same list permissions as Departments (Manager/Super Admin).</x:t>
        </x:is>
      </x:c>
      <x:c r="E185" t="inlineStr">
        <x:is>
          <x:t xml:space="preserve">FB-028</x:t>
        </x:is>
      </x:c>
      <x:c r="F185" t="inlineStr">
        <x:is>
          <x:t xml:space="preserve">Stories!B31</x:t>
        </x:is>
      </x:c>
    </x:row>
    <x:row r="186">
      <x:c r="A186" t="inlineStr">
        <x:is>
          <x:t xml:space="preserve">REQ-183</x:t>
        </x:is>
      </x:c>
      <x:c r="B186" t="inlineStr">
        <x:is>
          <x:t xml:space="preserve">Inventory management — first version</x:t>
        </x:is>
      </x:c>
      <x:c r="C186" t="inlineStr">
        <x:is>
          <x:t xml:space="preserve">Current scope</x:t>
        </x:is>
      </x:c>
      <x:c r="D186" t="inlineStr">
        <x:is>
          <x:t xml:space="preserve">2026-10-29 approved change: Managers/Super Admin can change a Category department while editing. Load all departments alphabetically with the current one selected. If changed, Save asks confirmation identifying old/new departments; declining prevents submission, confirming saves the selected department and name. Require existing destination and category-name uniqueness within that destination (case/outer spaces ignored). Preserve Category ID. This supersedes fixed-parent Category editing only; Subcategory moves are now approved separately in REQ-188; deletions remain FUTURE.</x:t>
        </x:is>
      </x:c>
      <x:c r="E186" t="inlineStr">
        <x:is>
          <x:t xml:space="preserve">FB-028</x:t>
        </x:is>
      </x:c>
      <x:c r="F186" t="inlineStr">
        <x:is>
          <x:t xml:space="preserve">Stories!B31</x:t>
        </x:is>
      </x:c>
    </x:row>
    <x:row r="187">
      <x:c r="A187" t="inlineStr">
        <x:is>
          <x:t xml:space="preserve">REQ-184</x:t>
        </x:is>
      </x:c>
      <x:c r="B187" t="inlineStr">
        <x:is>
          <x:t xml:space="preserve">Module separation</x:t>
        </x:is>
      </x:c>
      <x:c r="C187" t="inlineStr">
        <x:is>
          <x:t xml:space="preserve">Current scope</x:t>
        </x:is>
      </x:c>
      <x:c r="D187" t="inlineStr">
        <x:is>
          <x:t xml:space="preserve">2026-10-29 approved: Product Catalogue manages classification, product identity/description, optional brand/tags and status only. Stock Management owns all package sizes/types, counting/contents/summary units, quantities, receiving, distributing, adjustments, balances, totals and history. Catalogue must show no sizes or quantities. Block deactivation while any related stock remains through a server-side stock check. This supersedes prior package-on-product and Subcategory-summary-unit rules. Modules share product identity within one application; reusable package_sizes + product/package stock_items + stock_movements structure is now approved (see shared-package requirement). Summary configuration, package-management permissions and classification-lock details remain to be settled before implementation. Subcategory creation now requires only Category and name.</x:t>
        </x:is>
      </x:c>
      <x:c r="E187" t="inlineStr">
        <x:is>
          <x:t xml:space="preserve">FB-029–FB-068</x:t>
        </x:is>
      </x:c>
      <x:c r="F187" t="inlineStr">
        <x:is>
          <x:t xml:space="preserve">Stories!B32</x:t>
        </x:is>
      </x:c>
    </x:row>
    <x:row r="188">
      <x:c r="A188" t="inlineStr">
        <x:is>
          <x:t xml:space="preserve">REQ-185</x:t>
        </x:is>
      </x:c>
      <x:c r="B188" t="inlineStr">
        <x:is>
          <x:t xml:space="preserve">Stock Management — shared package definitions</x:t>
        </x:is>
      </x:c>
      <x:c r="C188" t="inlineStr">
        <x:is>
          <x:t xml:space="preserve">Current scope</x:t>
        </x:is>
      </x:c>
      <x:c r="D188" t="inlineStr">
        <x:is>
          <x:t xml:space="preserve">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x:t>
        </x:is>
      </x:c>
      <x:c r="E188" t="inlineStr">
        <x:is>
          <x:t xml:space="preserve">FB-034, FB-049–FB-056, FB-059–FB-068</x:t>
        </x:is>
      </x:c>
      <x:c r="F188" t="inlineStr">
        <x:is>
          <x:t xml:space="preserve">Stories!B52</x:t>
        </x:is>
      </x:c>
    </x:row>
    <x:row r="189">
      <x:c r="A189" t="inlineStr">
        <x:is>
          <x:t xml:space="preserve">REQ-186</x:t>
        </x:is>
      </x:c>
      <x:c r="B189" t="inlineStr">
        <x:is>
          <x:t xml:space="preserve">Product Catalogue — Subcategory creation</x:t>
        </x:is>
      </x:c>
      <x:c r="C189" t="inlineStr">
        <x:is>
          <x:t xml:space="preserve">Current scope</x:t>
        </x:is>
      </x:c>
      <x:c r="D189" t="inlineStr">
        <x:is>
          <x:t xml:space="preserve">2026-10-29 approved Subcategory creation UI: Department dropdown, Category dropdown and required Subcategory name only. Category choices belong to selected Department; changing Department clears Category. Server validates existing Department/Category and their matching relationship. Persist Category link (category_id); Department is derived through Category rather than duplicated on Subcategory. No units, sizes, package or quantity fields. Inventory/catalogue completion remains the focus; stock design and size-specific code discussion are deferred, not new approved implementation. Original Subcategory scaffold/migration remain reverted/unstarted.</x:t>
        </x:is>
      </x:c>
      <x:c r="E189" t="inlineStr">
        <x:is>
          <x:t xml:space="preserve">FB-029</x:t>
        </x:is>
      </x:c>
      <x:c r="F189" t="inlineStr">
        <x:is>
          <x:t xml:space="preserve">Stories!B32</x:t>
        </x:is>
      </x:c>
    </x:row>
    <x:row r="190">
      <x:c r="A190" t="inlineStr">
        <x:is>
          <x:t xml:space="preserve">REQ-187</x:t>
        </x:is>
      </x:c>
      <x:c r="B190" t="inlineStr">
        <x:is>
          <x:t xml:space="preserve">Product Catalogue — Subcategory list</x:t>
        </x:is>
      </x:c>
      <x:c r="C190" t="inlineStr">
        <x:is>
          <x:t xml:space="preserve">Current scope</x:t>
        </x:is>
      </x:c>
      <x:c r="D190" t="inlineStr">
        <x:is>
          <x:t xml:space="preserve">2026-10-29 explicitly approved: Subcategory list displays Department, Category and Subcategory names only; one partial-name search matches ANY of the three names (OR). Follow Category/Department search pattern: filter full dataset before alphabetical ten-row pagination, retain search in pagination, 300ms typing pause and immediate Enter, clearing returns list. Manager/Super Admin list access enforced server-side. No stock fields or new edit behavior.</x:t>
        </x:is>
      </x:c>
      <x:c r="E190" t="inlineStr">
        <x:is>
          <x:t xml:space="preserve">FB-029</x:t>
        </x:is>
      </x:c>
      <x:c r="F190" t="inlineStr">
        <x:is>
          <x:t xml:space="preserve">Stories!B32</x:t>
        </x:is>
      </x:c>
    </x:row>
    <x:row r="191">
      <x:c r="A191" t="inlineStr">
        <x:is>
          <x:t xml:space="preserve">REQ-188</x:t>
        </x:is>
      </x:c>
      <x:c r="B191" t="inlineStr">
        <x:is>
          <x:t xml:space="preserve">Product Catalogue — Subcategory moves</x:t>
        </x:is>
      </x:c>
      <x:c r="C191" t="inlineStr">
        <x:is>
          <x:t xml:space="preserve">Current scope</x:t>
        </x:is>
      </x:c>
      <x:c r="D191" t="inlineStr">
        <x:is>
          <x:t xml:space="preserve">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x:t>
        </x:is>
      </x:c>
      <x:c r="E191" t="inlineStr">
        <x:is>
          <x:t xml:space="preserve">FB-030</x:t>
        </x:is>
      </x:c>
      <x:c r="F191" t="inlineStr">
        <x:is>
          <x:t xml:space="preserve">Stories!B33</x:t>
        </x:is>
      </x:c>
    </x:row>
    <x:row r="192">
      <x:c r="A192" t="str">
        <x:v>REQ-189</x:v>
      </x:c>
      <x:c r="B192" t="str">
        <x:v>Product Catalogue — Create form tag search</x:v>
      </x:c>
      <x:c r="C192" t="str">
        <x:v>Current scope</x:v>
      </x:c>
      <x:c r="D192" t="str">
        <x:v>2026-10-30 developer approved Product creation tag search: labelled Search tags input filters the already-loaded tag list locally with case-insensitive partial name matching, ignoring outer search spaces. Apply300ms after typing stops or immediately on Enter; Enter must not submit Product form, and cancels pending timer. Clear search restores all tags. Hidden checked tags stay selected. Show No matching tags found for zero matches; distinguish No tags available when catalogue has none. Cancel timer on leaving page. No server requests or persistence added.
2026-10-30 developer requested tag width same as Department; implemented as tag SEARCH field width. Added grid gap-4 lg:grid-cols-3 search row containing existing grid gap-2 label/input group, matching hierarchy parent columns/gap exactly on wide screens; full width on smaller screens. Tag checkbox list remains full-width. Changed only products/Create.vue layout. Formatter/build/whitespace PASS; no browser check performed. Await developer confirmation of intended width/search behaviour.</x:v>
      </x:c>
      <x:c r="E192" t="str">
        <x:v>FB-032, FB-033, FB-037</x:v>
      </x:c>
      <x:c r="F192" t="str">
        <x:v>Stories!B35</x:v>
      </x:c>
    </x:row>
  </x:sheetData>
  <x:mergeCells>
    <x:mergeCell ref="A2:F2"/>
    <x:mergeCell ref="A1:F1"/>
  </x:mergeCells>
  <x:conditionalFormatting sqref="C4:C178">
    <x:cfRule type="containsText" dxfId="1" priority="1" operator="containsText" text="##FUTURE"/>
  </x:conditionalFormatting>
  <x:pageMargins left="0.7" right="0.7" top="0.75" bottom="0.75" header="0.3" footer="0.3"/>
  <x:tableParts count="1">
    <x:tablePart xmlns:r="http://schemas.openxmlformats.org/officeDocument/2006/relationships" r:id="R6f3392e708a64010"/>
  </x:tableParts>
</x:worksheet>
</file>