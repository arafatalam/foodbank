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1a428b64b84ea9" /></Relationships>
</file>

<file path=xl/workbook.xml><?xml version="1.0" encoding="utf-8"?>
<x:workbook xmlns:x="http://schemas.openxmlformats.org/spreadsheetml/2006/main">
  <x:sheets>
    <x:sheet xmlns:r="http://schemas.openxmlformats.org/officeDocument/2006/relationships" name="Start Here" sheetId="1" r:id="R736468c541374ea0"/>
    <x:sheet xmlns:r="http://schemas.openxmlformats.org/officeDocument/2006/relationships" name="Stories" sheetId="2" r:id="R7806b91ff2fa40be"/>
    <x:sheet xmlns:r="http://schemas.openxmlformats.org/officeDocument/2006/relationships" name="Requirements" sheetId="3" r:id="Rd966852c4b0e45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534c3f1dc384d92" /><Relationship Type="http://schemas.openxmlformats.org/officeDocument/2006/relationships/theme" Target="/xl/theme/theme1.xml" Id="R4d2e7dd1da114514" /><Relationship Type="http://schemas.openxmlformats.org/officeDocument/2006/relationships/sharedStrings" Target="/xl/sharedStrings.xml" Id="Rdf128992a4bf484e" /><Relationship Type="http://schemas.openxmlformats.org/officeDocument/2006/relationships/worksheet" Target="/xl/worksheets/sheet1.xml" Id="R736468c541374ea0" /><Relationship Type="http://schemas.openxmlformats.org/officeDocument/2006/relationships/worksheet" Target="/xl/worksheets/sheet2.xml" Id="R7806b91ff2fa40be" /><Relationship Type="http://schemas.openxmlformats.org/officeDocument/2006/relationships/worksheet" Target="/xl/worksheets/sheet3.xml" Id="Rd966852c4b0e4580"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d9b8b46002643f8" /></Relationships>
</file>

<file path=xl/worksheets/_rels/sheet3.xml.rels>&#65279;<?xml version="1.0" encoding="utf-8"?><Relationships xmlns="http://schemas.openxmlformats.org/package/2006/relationships"><Relationship Type="http://schemas.openxmlformats.org/officeDocument/2006/relationships/table" Target="/xl/tables/table2.xml" Id="R040b1ade40b8441f" /></Relationships>
</file>

<file path=xl/worksheets/sheet1.xml><?xml version="1.0" encoding="utf-8"?>
<ns0:worksheet xmlns:ns0="http://schemas.openxmlformats.org/spreadsheetml/2006/main">
  <ns0:sheetPr>
    <ns0:tabColor rgb="FF17324D"/>
  </ns0:sheetPr>
  <ns0:sheetViews>
    <ns0:sheetView showGridLines="0" workbookViewId="0"/>
  </ns0:sheetViews>
  <ns0:sheetFormatPr baseColWidth="8" defaultRowHeight="15"/>
  <ns0:cols>
    <ns0:col min="1" max="1" width="27" customWidth="1"/>
    <ns0:col min="2" max="2" width="20" customWidth="1"/>
    <ns0:col min="3" max="3" width="3" customWidth="1"/>
    <ns0:col min="4" max="4" width="18" customWidth="1"/>
    <ns0:col min="5" max="5" width="18" customWidth="1"/>
    <ns0:col min="6" max="6" width="18" customWidth="1"/>
    <ns0:col min="7" max="7" width="18" customWidth="1"/>
    <ns0:col min="8" max="8" width="18" customWidth="1"/>
  </ns0:cols>
  <ns0:sheetData>
    <ns0:row r="1">
      <ns0:c r="A1" s="15" t="n"/>
      <ns0:c r="B1" s="15" t="n"/>
      <ns0:c r="C1" s="15" t="n"/>
      <ns0:c r="D1" s="15" t="n"/>
      <ns0:c r="E1" s="15" t="n"/>
      <ns0:c r="F1" s="15" t="n"/>
      <ns0:c r="G1" s="15" t="n"/>
      <ns0:c r="H1" s="15" t="n"/>
    </ns0:row>
    <ns0:row r="2" ht="32" customHeight="1">
      <ns0:c r="A2" s="16" t="inlineStr">
        <ns0:is>
          <ns0:t xml:space="preserve">FoodBank developer story tracker</ns0:t>
        </ns0:is>
      </ns0:c>
    </ns0:row>
    <ns0:row r="3">
      <ns0:c r="A3" s="15" t="n"/>
      <ns0:c r="B3" s="15" t="n"/>
      <ns0:c r="C3" s="15" t="n"/>
      <ns0:c r="D3" s="15" t="n"/>
      <ns0:c r="E3" s="15" t="n"/>
      <ns0:c r="F3" s="15" t="n"/>
      <ns0:c r="G3" s="15" t="n"/>
      <ns0:c r="H3" s="15" t="n"/>
    </ns0:row>
    <ns0:row r="4" ht="26" customHeight="1">
      <ns0:c r="A4" s="20" t="inlineStr">
        <ns0:is>
          <ns0:t xml:space="preserve">Progress</ns0:t>
        </ns0:is>
      </ns0:c>
      <ns0:c r="B4" s="20" t="inlineStr">
        <ns0:is>
          <ns0:t xml:space="preserve">Items</ns0:t>
        </ns0:is>
      </ns0:c>
      <ns0:c r="C4" s="15" t="n"/>
      <ns0:c r="D4" s="18" t="inlineStr">
        <ns0:is>
          <ns0:t xml:space="preserve">Owner: assistant maintains this workbook; developer writes application code.</ns0:t>
        </ns0:is>
      </ns0:c>
    </ns0:row>
    <ns0:row r="5" ht="24" customHeight="1">
      <ns0:c r="A5" s="15" t="inlineStr">
        <ns0:is>
          <ns0:t xml:space="preserve">Total learning items</ns0:t>
        </ns0:is>
      </ns0:c>
      <ns0:c r="B5" s="15" t="n">
        <ns0:v>70</ns0:v>
      </ns0:c>
      <ns0:c r="C5" s="15" t="n"/>
    </ns0:row>
    <ns0:row r="6" ht="24" customHeight="1">
      <ns0:c r="A6" s="15" t="inlineStr">
        <ns0:is>
          <ns0:t xml:space="preserve">Complete</ns0:t>
        </ns0:is>
      </ns0:c>
      <ns0:c r="B6" s="15" t="n">
        <ns0:f>COUNTIF(Stories!H4:H73,"Complete")</ns0:f>
        <ns0:v>14</ns0:v>
      </ns0:c>
      <ns0:c r="C6" s="15" t="n"/>
      <ns0:c r="D6" s="18" t="inlineStr">
        <ns0:is>
          <ns0:t xml:space="preserve">Complete requires code review AND a passed behaviour test, with evidence and dates.</ns0:t>
        </ns0:is>
      </ns0:c>
    </ns0:row>
    <ns0:row r="7" ht="24" customHeight="1">
      <ns0:c r="A7" s="15" t="inlineStr">
        <ns0:is>
          <ns0:t xml:space="preserve">In progress</ns0:t>
        </ns0:is>
      </ns0:c>
      <ns0:c r="B7" s="15" t="n">
        <ns0:f>COUNTIF(Stories!H4:H73,"In progress")</ns0:f>
        <ns0:v>19</ns0:v>
      </ns0:c>
      <ns0:c r="C7" s="15" t="n"/>
    </ns0:row>
    <ns0:row r="8" ht="24" customHeight="1">
      <ns0:c r="A8" s="15" t="inlineStr">
        <ns0:is>
          <ns0:t xml:space="preserve">Awaiting review/test</ns0:t>
        </ns0:is>
      </ns0:c>
      <ns0:c r="B8" s="15" t="n">
        <ns0:f>COUNTIF(Stories!H4:H73,"Awaiting*")</ns0:f>
        <ns0:v>0</ns0:v>
      </ns0:c>
      <ns0:c r="C8" s="15" t="n"/>
      <ns0:c r="D8" s="18" t="inlineStr">
        <ns0:is>
          <ns0:t xml:space="preserve">Ask the developer to test first. “Done” after the test request confirms it worked.</ns0:t>
        </ns0:is>
      </ns0:c>
    </ns0:row>
    <ns0:row r="9" ht="24" customHeight="1">
      <ns0:c r="A9" s="15" t="inlineStr">
        <ns0:is>
          <ns0:t xml:space="preserve">Blocked</ns0:t>
        </ns0:is>
      </ns0:c>
      <ns0:c r="B9" s="15" t="n">
        <ns0:f>COUNTIF(Stories!H4:H73,"Blocked")</ns0:f>
        <ns0:v>0</ns0:v>
      </ns0:c>
      <ns0:c r="C9" s="15" t="n"/>
    </ns0:row>
    <ns0:row r="10" ht="24" customHeight="1">
      <ns0:c r="A10" s="15" t="inlineStr">
        <ns0:is>
          <ns0:t xml:space="preserve">Ready to start</ns0:t>
        </ns0:is>
      </ns0:c>
      <ns0:c r="B10" s="15" t="str">
        <ns0:v>FB-038</ns0:v>
      </ns0:c>
      <ns0:c r="C10" s="15" t="n"/>
      <ns0:c r="D10" s="18" t="inlineStr">
        <ns0:is>
          <ns0:t xml:space="preserve">Only test application behaviour yourself after the developer delegates it.</ns0:t>
        </ns0:is>
      </ns0:c>
    </ns0:row>
    <ns0:row r="11" ht="24" customHeight="1">
      <ns0:c r="A11" s="15" t="inlineStr">
        <ns0:is>
          <ns0:t xml:space="preserve">Verified progress</ns0:t>
        </ns0:is>
      </ns0:c>
      <ns0:c r="B11" s="29" t="inlineStr">
        <ns0:is>
          <ns0:t>Product list FB-038–046 reviewed and developer-tested PASS on 2026-10-30. Product editing FB-047 next; not started.</ns0:t>
        </ns0:is>
      </ns0:c>
      <ns0:c r="C11" s="15" t="n"/>
    </ns0:row>
    <ns0:row r="12">
      <ns0:c r="A12" s="15" t="n"/>
      <ns0:c r="B12" s="15" t="inlineStr">
        <ns0:is>
          <ns0:t>Before starting/resuming this item or feature: reread AGENTS.md from disk; apply teaching/testing rules. Await developer php artisan test tests/Feature/ProductListTest.php and browser checks: click Tags, search/hidden selections, select two/apply ANY matching, cancel unchanged, clear+apply restores results, Next retains selections, phone dialog/keyboard usable. Do not mark revised FB-039/044/046 Complete before test evidence.</ns0:t>
        </ns0:is>
      </ns0:c>
      <ns0:c r="C12" s="15" t="n"/>
      <ns0:c r="D12" s="15" t="n"/>
      <ns0:c r="E12" s="15" t="n"/>
      <ns0:c r="F12" s="15" t="n"/>
      <ns0:c r="G12" s="15" t="n"/>
      <ns0:c r="H12" s="15" t="n"/>
    </ns0:row>
    <ns0:row r="13" ht="40" customHeight="1">
      <ns0:c r="A13" s="21" t="inlineStr">
        <ns0:is>
          <ns0:t xml:space="preserve">Current item ID</ns0:t>
        </ns0:is>
      </ns0:c>
      <ns0:c r="B13" s="22" t="inlineStr">
        <ns0:is>
          <ns0:t>FB-044</ns0:t>
        </ns0:is>
      </ns0:c>
    </ns0:row>
    <ns0:row r="14" ht="100" customHeight="1">
      <ns0:c r="A14" s="21" t="inlineStr">
        <ns0:is>
          <ns0:t xml:space="preserve">Current lesson</ns0:t>
        </ns0:is>
      </ns0:c>
      <ns0:c r="B14" s="22" t="inlineStr">
        <ns0:is>
          <ns0:t>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row>
    <ns0:row r="15" ht="100" customHeight="1">
      <ns0:c r="A15" s="21" t="inlineStr">
        <ns0:is>
          <ns0:t xml:space="preserve">Next action</ns0:t>
        </ns0:is>
      </ns0:c>
      <ns0:c r="B15" s="22" t="inlineStr">
        <ns0:is>
          <ns0:t>Before starting/resuming this item or feature: reread AGENTS.md from disk; apply teaching/testing rules. Await developer php artisan test tests/Feature/ProductListTest.php and browser checks: click Tags, search/hidden selections, select two/apply ANY matching, cancel unchanged, clear+apply restores results, Next retains selections, phone dialog/keyboard usable. Do not mark revised FB-039/044/046 Complete before test evidence.</ns0:t>
        </ns0:is>
      </ns0:c>
    </ns0:row>
    <ns0:row r="16" ht="65" customHeight="1">
      <ns0:c r="A16" s="21" t="inlineStr">
        <ns0:is>
          <ns0:t xml:space="preserve">Waiting on</ns0:t>
        </ns0:is>
      </ns0:c>
      <ns0:c r="B16" s="22" t="inlineStr">
        <ns0:is>
          <ns0:t>Developer revised multi-tag tests and browser checks.</ns0:t>
        </ns0:is>
      </ns0:c>
    </ns0:row>
    <ns0:row r="17" ht="65" customHeight="1">
      <ns0:c r="A17" s="21" t="inlineStr">
        <ns0:is>
          <ns0:t xml:space="preserve">Last reviewed revision</ns0:t>
        </ns0:is>
      </ns0:c>
      <ns0:c r="B17" s="22" t="inlineStr">
        <ns0:is>
          <ns0:t>4d345704d0dc93414b827521025631e78e58c758 plus uncommitted Product list implementation, reviewed 2026-10-30</ns0:t>
        </ns0:is>
      </ns0:c>
    </ns0:row>
    <ns0:row r="18" ht="40" customHeight="1">
      <ns0:c r="A18" s="21" t="inlineStr">
        <ns0:is>
          <ns0:t xml:space="preserve">Current item status</ns0:t>
        </ns0:is>
      </ns0:c>
      <ns0:c r="B18" s="18" t="inlineStr">
        <ns0:is>
          <ns0:t>Awaiting test</ns0:t>
        </ns0:is>
      </ns0:c>
    </ns0:row>
    <ns0:row r="19">
      <ns0:c r="A19" s="15" t="n"/>
      <ns0:c r="B19" s="15" t="inlineStr">
        <ns0:is>
          <ns0: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ns0:t>
        </ns0:is>
      </ns0:c>
      <ns0:c r="C19" s="15" t="n"/>
      <ns0:c r="D19" s="15" t="n"/>
      <ns0:c r="E19" s="15" t="n"/>
      <ns0:c r="F19" s="15" t="n"/>
      <ns0:c r="G19" s="15" t="n"/>
      <ns0:c r="H19" s="15" t="n"/>
    </ns0:row>
    <ns0:row r="20" ht="44" customHeight="1">
      <ns0:c r="A20" s="21" t="inlineStr">
        <ns0:is>
          <ns0:t xml:space="preserve">Completion process</ns0:t>
        </ns0:is>
      </ns0:c>
      <ns0:c r="B20" s="18" t="inlineStr">
        <ns0:is>
          <ns0:t xml:space="preserve">Build small lessons and ask developer to check behaviour. Review the connected feature at completion, correct findings, and record both review and passed testing before marking Complete.</ns0:t>
        </ns0:is>
      </ns0:c>
    </ns0:row>
    <ns0:row r="21" ht="44" customHeight="1">
      <ns0:c r="A21" s="21" t="inlineStr">
        <ns0:is>
          <ns0:t xml:space="preserve">Meaning of done</ns0:t>
        </ns0:is>
      </ns0:c>
      <ns0:c r="B21" s="18" t="inlineStr">
        <ns0:is>
          <ns0:t xml:space="preserve">After an explicit test request, done means the developer tested that item and it worked. Otherwise it means continue the lesson; it never bypasses code review.</ns0:t>
        </ns0:is>
      </ns0:c>
    </ns0:row>
    <ns0:row r="22" ht="44" customHeight="1">
      <ns0:c r="A22" s="21" t="inlineStr">
        <ns0:is>
          <ns0:t xml:space="preserve">What to record</ns0:t>
        </ns0:is>
      </ns0:c>
      <ns0:c r="B22" s="18" t="inlineStr">
        <ns0:is>
          <ns0:t xml:space="preserve">Keep current item, lesson, next action and blocker current. Record review/test evidence and dates in Stories. Save inspected Poker paths and pattern findings with the relevant item for reuse.</ns0:t>
        </ns0:is>
      </ns0:c>
    </ns0:row>
    <ns0:row r="23" ht="44" customHeight="1">
      <ns0:c r="A23" s="21" t="inlineStr">
        <ns0:is>
          <ns0:t xml:space="preserve">How completion works</ns0:t>
        </ns0:is>
      </ns0:c>
      <ns0:c r="B23" s="18" t="inlineStr">
        <ns0:is>
          <ns0:t xml:space="preserve">Set Work stage to Ready for review; record Passed review and test with evidence/dates. Status is calculated. Never overwrite it to claim completion.</ns0:t>
        </ns0:is>
      </ns0:c>
    </ns0:row>
    <ns0:row r="24" ht="65" customHeight="1">
      <ns0:c r="A24" s="21" t="inlineStr">
        <ns0:is>
          <ns0:t xml:space="preserve">Dependencies</ns0:t>
        </ns0:is>
      </ns0:c>
      <ns0:c r="B24" s="18" t="inlineStr">
        <ns0:is>
          <ns0: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ns0:t>
        </ns0:is>
      </ns0:c>
    </ns0:row>
    <ns0:row r="25" ht="65" customHeight="1">
      <ns0:c r="A25" s="21" t="inlineStr">
        <ns0:is>
          <ns0:t xml:space="preserve">One lesson at a time</ns0:t>
        </ns0:is>
      </ns0:c>
      <ns0:c r="B25" s="18" t="inlineStr">
        <ns0:is>
          <ns0:t xml:space="preserve">Understanding comes first. Apply teaching examples where useful and use judgment to adapt the sequence. One tracker row may take several small lessons. Build prerequisites and connect dependent behaviour as needed; verify before moving on.</ns0:t>
        </ns0:is>
      </ns0:c>
    </ns0:row>
    <ns0:row r="26" ht="44" customHeight="1">
      <ns0:c r="A26" s="21" t="inlineStr">
        <ns0:is>
          <ns0:t xml:space="preserve">Teaching emphasis</ns0:t>
        </ns0:is>
      </ns0:c>
      <ns0:c r="B26" s="18" t="inlineStr">
        <ns0:is>
          <ns0:t xml:space="preserve">Vue, Inertia and Tailwind layout: parent/child relationships, flex/grid, sizing, spacing, overflow and responsive behaviour. Reuse existing colours/typography.</ns0:t>
        </ns0:is>
      </ns0:c>
    </ns0:row>
    <ns0:row r="27" ht="44" customHeight="1">
      <ns0:c r="A27" s="21" t="inlineStr">
        <ns0:is>
          <ns0:t xml:space="preserve">Final implementation item</ns0:t>
        </ns0:is>
      </ns0:c>
      <ns0:c r="B27" s="18" t="inlineStr">
        <ns0:is>
          <ns0:t xml:space="preserve">FB-070 — Super Admin recovery remains last, including its own review and delegated/user testing.</ns0:t>
        </ns0:is>
      </ns0:c>
    </ns0:row>
    <ns0:row r="28" ht="44" customHeight="1">
      <ns0:c r="A28" s="21" t="inlineStr">
        <ns0:is>
          <ns0:t xml:space="preserve">Future work</ns0:t>
        </ns0:is>
      </ns0:c>
      <ns0:c r="B28" s="18" t="inlineStr">
        <ns0:is>
          <ns0:t xml:space="preserve">Rules marked ##FUTURE on Requirements remain deferred and are excluded from Stories and completion totals. Unresolved future details do not authorize implementation.</ns0:t>
        </ns0:is>
      </ns0:c>
    </ns0:row>
    <ns0:row r="29" ht="44" customHeight="1">
      <ns0:c r="A29" s="21" t="inlineStr">
        <ns0:is>
          <ns0:t xml:space="preserve">Source of requirements</ns0:t>
        </ns0:is>
      </ns0:c>
      <ns0:c r="B29" s="18" t="inlineStr">
        <ns0:is>
          <ns0:t xml:space="preserve">Requirements is the authoritative scope record, with detailed rules and related FB item IDs. Stories tracks implementation/evidence; Start Here records where to resume.</ns0:t>
        </ns0:is>
      </ns0:c>
    </ns0:row>
    <ns0:row r="30" ht="65" customHeight="1">
      <ns0:c r="A30" s="21" t="inlineStr">
        <ns0:is>
          <ns0:t xml:space="preserve">Reference format</ns0:t>
        </ns0:is>
      </ns0:c>
      <ns0:c r="B30" s="18" t="str">
        <ns0: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row>
    <ns0:row r="31" ht="44" customHeight="1">
      <ns0:c r="A31" s="21" t="inlineStr">
        <ns0:is>
          <ns0:t xml:space="preserve">Resume in a new chat</ns0:t>
        </ns0:is>
      </ns0:c>
      <ns0:c r="B31" s="18" t="inlineStr">
        <ns0:is>
          <ns0:t xml:space="preserve">Read AGENTS.md and this workbook: Start Here, the current Stories row, and its Requirements. Inspect relevant Poker conventions at new-chat start or on request. Reread AGENTS.md before each item.</ns0:t>
        </ns0:is>
      </ns0:c>
    </ns0:row>
    <ns0:row r="32" ht="44" customHeight="1">
      <ns0:c r="A32" s="21" t="inlineStr">
        <ns0:is>
          <ns0:t xml:space="preserve">Changes after verification</ns0:t>
        </ns0:is>
      </ns0:c>
      <ns0:c r="B32" s="18" t="inlineStr">
        <ns0:is>
          <ns0:t xml:space="preserve">If later edits invalidate a passed item, reopen it and retest affected behaviour. Preserve previous evidence in notes; never silently keep a stale Complete status.</ns0:t>
        </ns0:is>
      </ns0:c>
    </ns0:row>
    <ns0:row r="33" ht="44" customHeight="1">
      <ns0:c r="A33" s="21" t="inlineStr">
        <ns0:is>
          <ns0:t xml:space="preserve">Workbook maintenance</ns0:t>
        </ns0:is>
      </ns0:c>
      <ns0:c r="B33" s="18" t="inlineStr">
        <ns0:is>
          <ns0:t xml:space="preserve">Maintain this same workbook. Update Requirements for agreed scope changes, Stories for evidence/progress, and Start Here for handoff. Do not maintain separate feature-list or resume files.</ns0:t>
        </ns0:is>
      </ns0:c>
    </ns0:row>
    <ns0:row r="34" ht="44" customHeight="1">
      <ns0:c r="A34" s="21" t="inlineStr">
        <ns0:is>
          <ns0:t xml:space="preserve">Commit checkpoints</ns0:t>
        </ns0:is>
      </ns0:c>
      <ns0:c r="B34" s="18" t="inlineStr">
        <ns0:is>
          <ns0:t xml:space="preserve">After a coherent verified feature, suggest an accurate commit message. The developer commits unless explicitly requesting otherwise.</ns0:t>
        </ns0:is>
      </ns0:c>
    </ns0:row>
    <ns0:row r="35" ht="65" customHeight="1">
      <ns0:c r="A35" s="21" t="inlineStr">
        <ns0:is>
          <ns0:t xml:space="preserve">Application test status</ns0:t>
        </ns0:is>
      </ns0:c>
      <ns0:c r="B35" s="18" t="str">
        <ns0: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row>
    <ns0:row r="36">
      <ns0:c r="A36" s="15" t="n"/>
      <ns0:c r="B36" s="15" t="n"/>
      <ns0:c r="C36" s="15" t="n"/>
      <ns0:c r="D36" s="15" t="n"/>
      <ns0:c r="E36" s="15" t="n"/>
      <ns0:c r="F36" s="15" t="n"/>
      <ns0:c r="G36" s="15" t="n"/>
      <ns0:c r="H36" s="15" t="n"/>
    </ns0:row>
    <ns0:row r="37">
      <ns0:c r="A37" s="15" t="n"/>
      <ns0:c r="B37" s="15" t="n"/>
      <ns0:c r="C37" s="15" t="n"/>
      <ns0:c r="D37" s="15" t="n"/>
      <ns0:c r="E37" s="15" t="n"/>
      <ns0:c r="F37" s="15" t="n"/>
      <ns0:c r="G37" s="15" t="n"/>
      <ns0:c r="H37" s="15" t="n"/>
    </ns0:row>
    <ns0:row r="38">
      <ns0:c r="A38" s="15" t="n"/>
      <ns0:c r="B38" s="15" t="n"/>
      <ns0:c r="C38" s="15" t="n"/>
      <ns0:c r="D38" s="15" t="n"/>
      <ns0:c r="E38" s="15" t="n"/>
      <ns0:c r="F38" s="15" t="n"/>
      <ns0:c r="G38" s="15" t="n"/>
      <ns0:c r="H38" s="15" t="n"/>
    </ns0:row>
    <ns0:row r="39">
      <ns0:c r="A39" s="15" t="n"/>
      <ns0:c r="B39" s="15" t="n"/>
      <ns0:c r="C39" s="15" t="n"/>
      <ns0:c r="D39" s="15" t="n"/>
      <ns0:c r="E39" s="15" t="n"/>
      <ns0:c r="F39" s="15" t="n"/>
      <ns0:c r="G39" s="15" t="n"/>
      <ns0:c r="H39" s="15" t="n"/>
    </ns0:row>
    <ns0:row r="40">
      <ns0:c r="A40" s="15" t="n"/>
      <ns0:c r="B40" s="15" t="n"/>
      <ns0:c r="C40" s="15" t="n"/>
      <ns0:c r="D40" s="15" t="n"/>
      <ns0:c r="E40" s="15" t="n"/>
      <ns0:c r="F40" s="15" t="n"/>
      <ns0:c r="G40" s="15" t="n"/>
      <ns0:c r="H40" s="15" t="n"/>
    </ns0:row>
  </ns0:sheetData>
  <ns0:mergeCells>
    <ns0:mergeCell ref="D4:H5"/>
    <ns0:mergeCell ref="B24:H24"/>
    <ns0:mergeCell ref="B30:H30"/>
    <ns0:mergeCell ref="B15:H15"/>
    <ns0:mergeCell ref="B33:H33"/>
    <ns0:mergeCell ref="B20:H20"/>
    <ns0:mergeCell ref="B32:H32"/>
    <ns0:mergeCell ref="B26:H26"/>
    <ns0:mergeCell ref="D8:H9"/>
    <ns0:mergeCell ref="B35:H35"/>
    <ns0:mergeCell ref="B16:H16"/>
    <ns0:mergeCell ref="B25:H25"/>
    <ns0:mergeCell ref="D10:H11"/>
    <ns0:mergeCell ref="B31:H31"/>
    <ns0:mergeCell ref="B22:H22"/>
    <ns0:mergeCell ref="B18:H18"/>
    <ns0:mergeCell ref="B27:H27"/>
    <ns0:mergeCell ref="B21:H21"/>
    <ns0:mergeCell ref="A2:H2"/>
    <ns0:mergeCell ref="D6:H7"/>
    <ns0:mergeCell ref="B23:H23"/>
    <ns0:mergeCell ref="B14:H14"/>
    <ns0:mergeCell ref="B17:H17"/>
    <ns0:mergeCell ref="B13:H13"/>
    <ns0:mergeCell ref="B29:H29"/>
    <ns0:mergeCell ref="B34:H34"/>
    <ns0:mergeCell ref="B28:H28"/>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Pr>
    <ns0:tabColor rgb="FF17324D"/>
  </ns0:sheetPr>
  <ns0:sheetViews>
    <ns0:sheetView showGridLines="0" workbookViewId="0">
      <ns0:pane xSplit="2" ySplit="3" topLeftCell="C4" activePane="bottomRight" state="frozen"/>
    </ns0:sheetView>
  </ns0:sheetViews>
  <ns0:sheetFormatPr baseColWidth="8" defaultRowHeight="15"/>
  <ns0:cols>
    <ns0:col min="1" max="1" width="5" customWidth="1"/>
    <ns0:col min="2" max="2" width="12" customWidth="1"/>
    <ns0:col min="3" max="3" width="22" customWidth="1"/>
    <ns0:col min="4" max="4" width="42" customWidth="1"/>
    <ns0:col min="5" max="5" width="78" customWidth="1"/>
    <ns0:col min="6" max="6" width="14" customWidth="1"/>
    <ns0:col min="7" max="7" width="14" customWidth="1"/>
    <ns0:col min="8" max="8" width="26" customWidth="1"/>
    <ns0:col min="9" max="9" width="20" customWidth="1"/>
    <ns0:col min="10" max="10" width="18" customWidth="1"/>
    <ns0:col min="11" max="11" width="55" customWidth="1"/>
    <ns0:col min="12" max="12" width="15" customWidth="1"/>
    <ns0:col min="13" max="13" width="19" customWidth="1"/>
    <ns0:col min="14" max="14" width="17" customWidth="1"/>
    <ns0:col min="15" max="15" width="55" customWidth="1"/>
    <ns0:col min="16" max="16" width="15" customWidth="1"/>
    <ns0:col min="17" max="17" width="45" customWidth="1"/>
    <ns0:col min="18" max="18" width="48" customWidth="1"/>
    <ns0:col min="19" max="19" width="40" customWidth="1"/>
  </ns0:cols>
  <ns0:sheetData>
    <ns0:row r="1" ht="30" customHeight="1">
      <ns0:c r="A1" s="2" t="inlineStr">
        <ns0:is>
          <ns0:t xml:space="preserve">FoodBank learning tracker — complete one small item before continuing</ns0:t>
        </ns0:is>
      </ns0:c>
      <ns0:c r="I1" s="1" t="n"/>
      <ns0:c r="J1" s="1" t="n"/>
      <ns0:c r="K1" s="1" t="n"/>
      <ns0:c r="L1" s="1" t="n"/>
      <ns0:c r="M1" s="1" t="n"/>
      <ns0:c r="N1" s="1" t="n"/>
      <ns0:c r="O1" s="1" t="n"/>
      <ns0:c r="P1" s="1" t="n"/>
      <ns0:c r="Q1" s="1" t="n"/>
      <ns0:c r="R1" s="1" t="n"/>
      <ns0:c r="S1" s="1" t="n"/>
    </ns0:row>
    <ns0:row r="2">
      <ns0:c r="A2" s="1" t="n"/>
      <ns0:c r="B2" s="1" t="n"/>
      <ns0:c r="C2" s="1" t="n"/>
      <ns0:c r="D2" s="1" t="n"/>
      <ns0:c r="E2" s="1" t="n"/>
      <ns0:c r="F2" s="1" t="n"/>
      <ns0:c r="G2" s="1" t="n"/>
      <ns0:c r="H2" s="1" t="n"/>
      <ns0:c r="I2" s="1" t="n"/>
      <ns0:c r="J2" s="1" t="n"/>
      <ns0:c r="K2" s="1" t="n"/>
      <ns0:c r="L2" s="1" t="n"/>
      <ns0:c r="M2" s="1" t="n"/>
      <ns0:c r="N2" s="1" t="n"/>
      <ns0:c r="O2" s="1" t="n"/>
      <ns0:c r="P2" s="1" t="n"/>
      <ns0:c r="Q2" s="1" t="n"/>
      <ns0:c r="R2" s="1" t="n"/>
      <ns0:c r="S2" s="1" t="n"/>
    </ns0:row>
    <ns0:row r="3" ht="30" customHeight="1">
      <ns0:c r="A3" s="8" t="inlineStr">
        <ns0:is>
          <ns0:t xml:space="preserve">#</ns0:t>
        </ns0:is>
      </ns0:c>
      <ns0:c r="B3" s="8" t="inlineStr">
        <ns0:is>
          <ns0:t xml:space="preserve">Item ID</ns0:t>
        </ns0:is>
      </ns0:c>
      <ns0:c r="C3" s="8" t="inlineStr">
        <ns0:is>
          <ns0:t xml:space="preserve">Feature</ns0:t>
        </ns0:is>
      </ns0:c>
      <ns0:c r="D3" s="8" t="inlineStr">
        <ns0:is>
          <ns0:t xml:space="preserve">Learning item</ns0:t>
        </ns0:is>
      </ns0:c>
      <ns0:c r="E3" s="8" t="inlineStr">
        <ns0:is>
          <ns0:t xml:space="preserve">Acceptance checks</ns0:t>
        </ns0:is>
      </ns0:c>
      <ns0:c r="F3" s="8" t="inlineStr">
        <ns0:is>
          <ns0:t xml:space="preserve">Previous item</ns0:t>
        </ns0:is>
      </ns0:c>
      <ns0:c r="G3" s="8" t="inlineStr">
        <ns0:is>
          <ns0:t xml:space="preserve">Readiness</ns0:t>
        </ns0:is>
      </ns0:c>
      <ns0:c r="H3" s="8" t="inlineStr">
        <ns0:is>
          <ns0:t xml:space="preserve">Status</ns0:t>
        </ns0:is>
      </ns0:c>
      <ns0:c r="I3" s="8" t="inlineStr">
        <ns0:is>
          <ns0:t xml:space="preserve">Work stage</ns0:t>
        </ns0:is>
      </ns0:c>
      <ns0:c r="J3" s="8" t="inlineStr">
        <ns0:is>
          <ns0:t xml:space="preserve">Code review</ns0:t>
        </ns0:is>
      </ns0:c>
      <ns0:c r="K3" s="8" t="inlineStr">
        <ns0:is>
          <ns0:t xml:space="preserve">Review evidence</ns0:t>
        </ns0:is>
      </ns0:c>
      <ns0:c r="L3" s="8" t="inlineStr">
        <ns0:is>
          <ns0:t xml:space="preserve">Review date</ns0:t>
        </ns0:is>
      </ns0:c>
      <ns0:c r="M3" s="8" t="inlineStr">
        <ns0:is>
          <ns0:t xml:space="preserve">Tested by</ns0:t>
        </ns0:is>
      </ns0:c>
      <ns0:c r="N3" s="8" t="inlineStr">
        <ns0:is>
          <ns0:t xml:space="preserve">Test result</ns0:t>
        </ns0:is>
      </ns0:c>
      <ns0:c r="O3" s="8" t="inlineStr">
        <ns0:is>
          <ns0:t xml:space="preserve">Test evidence</ns0:t>
        </ns0:is>
      </ns0:c>
      <ns0:c r="P3" s="8" t="inlineStr">
        <ns0:is>
          <ns0:t xml:space="preserve">Test date</ns0:t>
        </ns0:is>
      </ns0:c>
      <ns0:c r="Q3" s="8" t="inlineStr">
        <ns0:is>
          <ns0:t xml:space="preserve">Lesson / last step</ns0:t>
        </ns0:is>
      </ns0:c>
      <ns0:c r="R3" s="8" t="inlineStr">
        <ns0:is>
          <ns0:t xml:space="preserve">Next action</ns0:t>
        </ns0:is>
      </ns0:c>
      <ns0:c r="S3" s="8" t="inlineStr">
        <ns0:is>
          <ns0:t xml:space="preserve">Blocker</ns0:t>
        </ns0:is>
      </ns0:c>
    </ns0:row>
    <ns0:row r="4" ht="400" customHeight="1">
      <ns0:c r="A4" s="4" t="n">
        <ns0:v>1</ns0:v>
      </ns0:c>
      <ns0:c r="B4" s="4" t="inlineStr">
        <ns0:is>
          <ns0:t xml:space="preserve">FB-001</ns0:t>
        </ns0:is>
      </ns0:c>
      <ns0:c r="C4" s="4" t="inlineStr">
        <ns0:is>
          <ns0:t xml:space="preserve">Starting point</ns0:t>
        </ns0:is>
      </ns0:c>
      <ns0:c r="D4" s="4" t="inlineStr">
        <ns0:is>
          <ns0:t xml:space="preserve">Inspect the projects and confirm the local starting point</ns0:t>
        </ns0:is>
      </ns0:c>
      <ns0:c r="E4" s="4" t="inlineStr">
        <ns0:is>
          <ns0:t xml:space="preserve">Review existing FoodBank code and relevant Poker workflows; explain how the current page runs; developer verifies the local page and database connection. Record actual findings before marking complete.</ns0:t>
        </ns0:is>
      </ns0:c>
      <ns0:c r="F4" s="4" t="n"/>
      <ns0:c r="G4" s="4" t="str">
        <ns0:f>IF(H4="Complete","Complete",IF(I4="Blocked","Blocked",IF(I4="In progress","Ready",IF(F4="","Ready",IF(COUNTIFS($B$4:$B$73,F4,$H$4:$H$73,"Complete")=1,"Ready","Waiting")))))</ns0:f>
        <ns0:v>Complete</ns0:v>
      </ns0:c>
      <ns0:c r="H4" s="4" t="str">
        <ns0:f>IF(I4="Not started","Not started",IF(I4="Blocked","Blocked",IF(I4="In progress","In progress",IF(J4&lt;&gt;"Passed","Awaiting code review",IF(OR(K4="",NOT(ISNUMBER(L4))),"Awaiting review evidence",IF(N4&lt;&gt;"Passed","Awaiting test",IF(OR(M4="",O4="",NOT(ISNUMBER(P4))),"Awaiting test evidence","Complete")))))))</ns0:f>
        <ns0:v>Complete</ns0:v>
      </ns0:c>
      <ns0:c r="I4" s="10" t="inlineStr">
        <ns0:is>
          <ns0:t xml:space="preserve">Ready for review</ns0:t>
        </ns0:is>
      </ns0:c>
      <ns0:c r="J4" s="10" t="inlineStr">
        <ns0:is>
          <ns0:t xml:space="preserve">Passed</ns0:t>
        </ns0:is>
      </ns0:c>
      <ns0:c r="K4" s="10" t="inlineStr">
        <ns0:is>
          <ns0: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ns0:t>
        </ns0:is>
      </ns0:c>
      <ns0:c r="L4" s="30" t="n">
        <ns0:v>46320</ns0:v>
      </ns0:c>
      <ns0:c r="M4" s="10" t="inlineStr">
        <ns0:is>
          <ns0:t xml:space="preserve">Developer</ns0:t>
        </ns0:is>
      </ns0:c>
      <ns0:c r="N4" s="10" t="inlineStr">
        <ns0:is>
          <ns0:t xml:space="preserve">Passed</ns0:t>
        </ns0:is>
      </ns0:c>
      <ns0:c r="O4" s="10" t="inlineStr">
        <ns0:is>
          <ns0: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ns0:t>
        </ns0:is>
      </ns0:c>
      <ns0:c r="P4" s="30" t="n">
        <ns0:v>46320</ns0:v>
      </ns0:c>
      <ns0:c r="Q4" s="10" t="inlineStr">
        <ns0:is>
          <ns0:t xml:space="preserve">2026-10-25: FB-001 complete after source review and developer-confirmed local page, Light/Dark refresh persistence and MySQL connection checks. Initial commit d8cdf44 already contains setup; no new tracked application changes.</ns0:t>
        </ns0:is>
      </ns0:c>
      <ns0:c r="R4" s="10" t="inlineStr">
        <ns0:is>
          <ns0:t xml:space="preserve">Before starting this item or feature: reread AGENTS.md from disk; apply its teaching and testing rules. Completed; continue with FB-002 shared login page.</ns0:t>
        </ns0:is>
      </ns0:c>
      <ns0:c r="S4" s="10" t="n"/>
    </ns0:row>
    <ns0:row r="5" ht="105" customHeight="1">
      <ns0:c r="A5" s="9" t="n">
        <ns0:v>2</ns0:v>
      </ns0:c>
      <ns0:c r="B5" s="9" t="inlineStr">
        <ns0:is>
          <ns0:t xml:space="preserve">FB-002</ns0:t>
        </ns0:is>
      </ns0:c>
      <ns0:c r="C5" s="9" t="inlineStr">
        <ns0:is>
          <ns0:t xml:space="preserve">Access</ns0:t>
        </ns0:is>
      </ns0:c>
      <ns0:c r="D5" s="9" t="inlineStr">
        <ns0:is>
          <ns0:t xml:space="preserve">Display the shared login page</ns0:t>
        </ns0:is>
      </ns0:c>
      <ns0:c r="E5" s="9" t="inlineStr">
        <ns0:is>
          <ns0:t xml:space="preserve">Show one login page for all roles, with username/email and password fields. Explain URL-to-page flow and inherited components; use local fictional accounts. Include approved Remember me checkbox (REQ-178) and verify the selected centered-card appearance (REQ-176).</ns0:t>
        </ns0:is>
      </ns0:c>
      <ns0:c r="F5" s="9" t="inlineStr">
        <ns0:is>
          <ns0:t xml:space="preserve">FB-001</ns0:t>
        </ns0:is>
      </ns0:c>
      <ns0:c r="G5" s="9" t="str">
        <ns0:f>IF(H5="Complete","Complete",IF(I5="Blocked","Blocked",IF(I5="In progress","Ready",IF(F5="","Ready",IF(COUNTIFS($B$4:$B$73,F5,$H$4:$H$73,"Complete")=1,"Ready","Waiting")))))</ns0:f>
        <ns0:v>Complete</ns0:v>
      </ns0:c>
      <ns0:c r="H5" s="9" t="str">
        <ns0:f>IF(I5="Not started","Not started",IF(I5="Blocked","Blocked",IF(I5="In progress","In progress",IF(J5&lt;&gt;"Passed","Awaiting code review",IF(OR(K5="",NOT(ISNUMBER(L5))),"Awaiting review evidence",IF(N5&lt;&gt;"Passed","Awaiting test",IF(OR(M5="",O5="",NOT(ISNUMBER(P5))),"Awaiting test evidence","Complete")))))))</ns0:f>
        <ns0:v>Complete</ns0:v>
      </ns0:c>
      <ns0:c r="I5" s="11" t="inlineStr">
        <ns0:is>
          <ns0:t xml:space="preserve">Ready for review</ns0:t>
        </ns0:is>
      </ns0:c>
      <ns0:c r="J5" s="11" t="inlineStr">
        <ns0:is>
          <ns0:t xml:space="preserve">Passed</ns0:t>
        </ns0:is>
      </ns0:c>
      <ns0:c r="K5" s="11" t="inlineStr">
        <ns0:is>
          <ns0: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ns0:t>
        </ns0:is>
      </ns0:c>
      <ns0:c r="L5" s="31" t="n">
        <ns0:v>46320</ns0:v>
      </ns0:c>
      <ns0:c r="M5" s="11" t="inlineStr">
        <ns0:is>
          <ns0:t xml:space="preserve">Developer</ns0:t>
        </ns0:is>
      </ns0:c>
      <ns0:c r="N5" s="11" t="inlineStr">
        <ns0:is>
          <ns0:t xml:space="preserve">Passed</ns0:t>
        </ns0:is>
      </ns0:c>
      <ns0:c r="O5" s="11" t="inlineStr">
        <ns0:is>
          <ns0: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ns0:t>
        </ns0:is>
      </ns0:c>
      <ns0:c r="P5" s="31" t="n">
        <ns0:v>46320</ns0:v>
      </ns0:c>
      <ns0:c r="Q5" s="11" t="inlineStr">
        <ns0:is>
          <ns0:t xml:space="preserve">2026-10-25: Reopened display work complete after final review and developer narrow/short viewport checks. Remember me display included, authentication not connected.</ns0:t>
        </ns0:is>
      </ns0:c>
      <ns0:c r="R5" s="11" t="inlineStr">
        <ns0:is>
          <ns0:t xml:space="preserve">Before starting this item or feature: reread AGENTS.md from disk; apply its teaching and testing rules. Display verified; continue FB-003 keyboard checks. Commit checkpoint: Build centered login screen with sprout branding and Remember me.</ns0:t>
        </ns0:is>
      </ns0:c>
      <ns0:c r="S5" s="11" t="n"/>
    </ns0:row>
    <ns0:row r="6" ht="105" customHeight="1">
      <ns0:c r="A6" s="4" t="n">
        <ns0:v>3</ns0:v>
      </ns0:c>
      <ns0:c r="B6" s="4" t="inlineStr">
        <ns0:is>
          <ns0:t xml:space="preserve">FB-003</ns0:t>
        </ns0:is>
      </ns0:c>
      <ns0:c r="C6" s="4" t="inlineStr">
        <ns0:is>
          <ns0:t xml:space="preserve">Access</ns0:t>
        </ns0:is>
      </ns0:c>
      <ns0:c r="D6" s="4" t="inlineStr">
        <ns0:is>
          <ns0:t xml:space="preserve">Arrange the login form for narrow and wide screens</ns0:t>
        </ns0:is>
      </ns0:c>
      <ns0:c r="E6" s="4" t="inlineStr">
        <ns0:is>
          <ns0: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ns0:t>
        </ns0:is>
      </ns0:c>
      <ns0:c r="F6" s="4" t="inlineStr">
        <ns0:is>
          <ns0:t xml:space="preserve">FB-002</ns0:t>
        </ns0:is>
      </ns0:c>
      <ns0:c r="G6" s="4" t="str">
        <ns0:f>IF(H6="Complete","Complete",IF(I6="Blocked","Blocked",IF(I6="In progress","Ready",IF(F6="","Ready",IF(COUNTIFS($B$4:$B$73,F6,$H$4:$H$73,"Complete")=1,"Ready","Waiting")))))</ns0:f>
        <ns0:v>Complete</ns0:v>
      </ns0:c>
      <ns0:c r="H6" s="4" t="str">
        <ns0:f>IF(I6="Not started","Not started",IF(I6="Blocked","Blocked",IF(I6="In progress","In progress",IF(J6&lt;&gt;"Passed","Awaiting code review",IF(OR(K6="",NOT(ISNUMBER(L6))),"Awaiting review evidence",IF(N6&lt;&gt;"Passed","Awaiting test",IF(OR(M6="",O6="",NOT(ISNUMBER(P6))),"Awaiting test evidence","Complete")))))))</ns0:f>
        <ns0:v>Complete</ns0:v>
      </ns0:c>
      <ns0:c r="I6" s="10" t="inlineStr">
        <ns0:is>
          <ns0:t xml:space="preserve">Ready for review</ns0:t>
        </ns0:is>
      </ns0:c>
      <ns0:c r="J6" s="10" t="inlineStr">
        <ns0:is>
          <ns0:t xml:space="preserve">Passed</ns0:t>
        </ns0:is>
      </ns0:c>
      <ns0:c r="K6" s="10" t="inlineStr">
        <ns0:is>
          <ns0: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ns0:t>
        </ns0:is>
      </ns0:c>
      <ns0:c r="L6" s="30" t="n">
        <ns0:v>46320</ns0:v>
      </ns0:c>
      <ns0:c r="M6" s="10" t="inlineStr">
        <ns0:is>
          <ns0:t xml:space="preserve">Developer</ns0:t>
        </ns0:is>
      </ns0:c>
      <ns0:c r="N6" s="10" t="inlineStr">
        <ns0:is>
          <ns0:t xml:space="preserve">Passed</ns0:t>
        </ns0:is>
      </ns0:c>
      <ns0:c r="O6" s="10" t="inlineStr">
        <ns0:is>
          <ns0: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ns0:t>
        </ns0:is>
      </ns0:c>
      <ns0:c r="P6" s="30" t="n">
        <ns0:v>46320</ns0:v>
      </ns0:c>
      <ns0:c r="Q6" s="10" t="inlineStr">
        <ns0:is>
          <ns0:t xml:space="preserve">Layout and approved keyboard checks complete 2026-10-25.</ns0:t>
        </ns0:is>
      </ns0:c>
      <ns0:c r="R6" s="10" t="inlineStr">
        <ns0:is>
          <ns0:t xml:space="preserve">Before starting this item or feature: reread AGENTS.md from disk; apply its teaching and testing rules. Continue FB-004 account prerequisites. Commit checkpoint: Build centered login screen with sprout branding and Remember me.</ns0:t>
        </ns0:is>
      </ns0:c>
      <ns0:c r="S6" s="10" t="n"/>
    </ns0:row>
    <ns0:row r="7" ht="105" customHeight="1">
      <ns0:c r="A7" s="9" t="n">
        <ns0:v>4</ns0:v>
      </ns0:c>
      <ns0:c r="B7" s="9" t="inlineStr">
        <ns0:is>
          <ns0:t xml:space="preserve">FB-004</ns0:t>
        </ns0:is>
      </ns0:c>
      <ns0:c r="C7" s="9" t="inlineStr">
        <ns0:is>
          <ns0:t xml:space="preserve">Access</ns0:t>
        </ns0:is>
      </ns0:c>
      <ns0:c r="D7" s="9" t="inlineStr">
        <ns0:is>
          <ns0:t xml:space="preserve">Create the initial account and fixed roles</ns0:t>
        </ns0:is>
      </ns0:c>
      <ns0:c r="E7" s="9" t="inlineStr">
        <ns0:is>
          <ns0: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F7" s="9" t="inlineStr">
        <ns0:is>
          <ns0:t xml:space="preserve">FB-003</ns0:t>
        </ns0:is>
      </ns0:c>
      <ns0:c r="G7" s="9" t="str">
        <ns0:f>IF(H7="Complete","Complete",IF(I7="Blocked","Blocked",IF(I7="In progress","Ready",IF(F7="","Ready",IF(COUNTIFS($B$4:$B$73,F7,$H$4:$H$73,"Complete")=1,"Ready","Waiting")))))</ns0:f>
        <ns0:v>Ready</ns0:v>
      </ns0:c>
      <ns0:c r="H7" s="9" t="str">
        <ns0:f>IF(I7="Not started","Not started",IF(I7="Blocked","Blocked",IF(I7="In progress","In progress",IF(J7&lt;&gt;"Passed","Awaiting code review",IF(OR(K7="",NOT(ISNUMBER(L7))),"Awaiting review evidence",IF(N7&lt;&gt;"Passed","Awaiting test",IF(OR(M7="",O7="",NOT(ISNUMBER(P7))),"Awaiting test evidence","Complete")))))))</ns0:f>
        <ns0:v>In progress</ns0:v>
      </ns0:c>
      <ns0:c r="I7" s="11" t="inlineStr">
        <ns0:is>
          <ns0:t xml:space="preserve">In progress</ns0:t>
        </ns0:is>
      </ns0:c>
      <ns0:c r="J7" s="11" t="inlineStr">
        <ns0:is>
          <ns0:t xml:space="preserve">Passed</ns0:t>
        </ns0:is>
      </ns0:c>
      <ns0:c r="K7" s="11" t="inlineStr">
        <ns0:is>
          <ns0: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ns0:t>
        </ns0:is>
      </ns0:c>
      <ns0:c r="L7" s="31" t="n">
        <ns0:v>46321</ns0:v>
      </ns0:c>
      <ns0:c r="M7" s="11" t="inlineStr">
        <ns0:is>
          <ns0:t xml:space="preserve">Developer</ns0:t>
        </ns0:is>
      </ns0:c>
      <ns0:c r="N7" s="11" t="inlineStr">
        <ns0:is>
          <ns0:t xml:space="preserve">Passed</ns0:t>
        </ns0:is>
      </ns0:c>
      <ns0:c r="O7" s="11" t="inlineStr">
        <ns0:is>
          <ns0: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ns0:t>
        </ns0:is>
      </ns0:c>
      <ns0:c r="P7" s="31" t="n">
        <ns0:v>46321</ns0:v>
      </ns0:c>
      <ns0:c r="Q7" s="11" t="inlineStr">
        <ns0:is>
          <ns0: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ns0:t>
        </ns0:is>
      </ns0:c>
      <ns0:c r="R7" s="11" t="inlineStr">
        <ns0:is>
          <ns0: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S7" s="11" t="n"/>
    </ns0:row>
    <ns0:row r="8" ht="105" customHeight="1">
      <ns0:c r="A8" s="4" t="n">
        <ns0:v>5</ns0:v>
      </ns0:c>
      <ns0:c r="B8" s="4" t="inlineStr">
        <ns0:is>
          <ns0:t xml:space="preserve">FB-005</ns0:t>
        </ns0:is>
      </ns0:c>
      <ns0:c r="C8" s="4" t="inlineStr">
        <ns0:is>
          <ns0:t xml:space="preserve">Access</ns0:t>
        </ns0:is>
      </ns0:c>
      <ns0:c r="D8" s="4" t="inlineStr">
        <ns0:is>
          <ns0:t xml:space="preserve">Connect login, logout and protected access</ns0:t>
        </ns0:is>
      </ns0:c>
      <ns0:c r="E8" s="4" t="inlineStr">
        <ns0:is>
          <ns0: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ns0:t>
        </ns0:is>
      </ns0:c>
      <ns0:c r="F8" s="4" t="inlineStr">
        <ns0:is>
          <ns0:t xml:space="preserve">FB-004</ns0:t>
        </ns0:is>
      </ns0:c>
      <ns0:c r="G8" s="4" t="str">
        <ns0:f>IF(H8="Complete","Complete",IF(I8="Blocked","Blocked",IF(I8="In progress","Ready",IF(F8="","Ready",IF(COUNTIFS($B$4:$B$73,F8,$H$4:$H$73,"Complete")=1,"Ready","Waiting")))))</ns0:f>
        <ns0:v>Ready</ns0:v>
      </ns0:c>
      <ns0:c r="H8" s="4" t="str">
        <ns0:f>IF(I8="Not started","Not started",IF(I8="Blocked","Blocked",IF(I8="In progress","In progress",IF(J8&lt;&gt;"Passed","Awaiting code review",IF(OR(K8="",NOT(ISNUMBER(L8))),"Awaiting review evidence",IF(N8&lt;&gt;"Passed","Awaiting test",IF(OR(M8="",O8="",NOT(ISNUMBER(P8))),"Awaiting test evidence","Complete")))))))</ns0:f>
        <ns0:v>In progress</ns0:v>
      </ns0:c>
      <ns0:c r="I8" s="10" t="inlineStr">
        <ns0:is>
          <ns0:t xml:space="preserve">In progress</ns0:t>
        </ns0:is>
      </ns0:c>
      <ns0:c r="J8" s="10" t="inlineStr">
        <ns0:is>
          <ns0:t xml:space="preserve">Needs changes</ns0:t>
        </ns0:is>
      </ns0:c>
      <ns0:c r="K8" s="10" t="inlineStr">
        <ns0:is>
          <ns0: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L8" s="30" t="n">
        <ns0:v>46321</ns0:v>
      </ns0:c>
      <ns0:c r="M8" s="10" t="inlineStr">
        <ns0:is>
          <ns0:t xml:space="preserve">Developer and assistant (delegated)</ns0:t>
        </ns0:is>
      </ns0:c>
      <ns0:c r="N8" s="10" t="inlineStr">
        <ns0:is>
          <ns0:t xml:space="preserve">Not tested</ns0:t>
        </ns0:is>
      </ns0:c>
      <ns0:c r="O8" s="10" t="inlineStr">
        <ns0:is>
          <ns0: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ns0:t>
        </ns0:is>
      </ns0:c>
      <ns0:c r="P8" s="30" t="n">
        <ns0:v>46321</ns0:v>
      </ns0:c>
      <ns0:c r="Q8" s="10" t="inlineStr">
        <ns0:is>
          <ns0: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8" s="10" t="inlineStr">
        <ns0:is>
          <ns0: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8" s="10" t="n"/>
    </ns0:row>
    <ns0:row r="9" ht="105" customHeight="1">
      <ns0:c r="A9" s="9" t="n">
        <ns0:v>6</ns0:v>
      </ns0:c>
      <ns0:c r="B9" s="9" t="inlineStr">
        <ns0:is>
          <ns0:t xml:space="preserve">FB-016</ns0:t>
        </ns0:is>
      </ns0:c>
      <ns0:c r="C9" s="9" t="inlineStr">
        <ns0:is>
          <ns0:t xml:space="preserve">Accounts</ns0:t>
        </ns0:is>
      </ns0:c>
      <ns0:c r="D9" s="9" t="inlineStr">
        <ns0:is>
          <ns0:t xml:space="preserve">Display a create-user page and reactive fields</ns0:t>
        </ns0:is>
      </ns0:c>
      <ns0:c r="E9" s="9" t="inlineStr">
        <ns0:is>
          <ns0: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ns0:t>
        </ns0:is>
      </ns0:c>
      <ns0:c r="F9" s="9" t="inlineStr">
        <ns0:is>
          <ns0:t xml:space="preserve">FB-005</ns0:t>
        </ns0:is>
      </ns0:c>
      <ns0:c r="G9" s="9" t="str">
        <ns0:f>IF(H9="Complete","Complete",IF(I9="Blocked","Blocked",IF(I9="In progress","Ready",IF(F9="","Ready",IF(COUNTIFS($B$4:$B$73,F9,$H$4:$H$73,"Complete")=1,"Ready","Waiting")))))</ns0:f>
        <ns0:v>Ready</ns0:v>
      </ns0:c>
      <ns0:c r="H9" s="9" t="str">
        <ns0:f>IF(I9="Not started","Not started",IF(I9="Blocked","Blocked",IF(I9="In progress","In progress",IF(J9&lt;&gt;"Passed","Awaiting code review",IF(OR(K9="",NOT(ISNUMBER(L9))),"Awaiting review evidence",IF(N9&lt;&gt;"Passed","Awaiting test",IF(OR(M9="",O9="",NOT(ISNUMBER(P9))),"Awaiting test evidence","Complete")))))))</ns0:f>
        <ns0:v>In progress</ns0:v>
      </ns0:c>
      <ns0:c r="I9" s="11" t="inlineStr">
        <ns0:is>
          <ns0:t xml:space="preserve">In progress</ns0:t>
        </ns0:is>
      </ns0:c>
      <ns0:c r="J9" s="11" t="inlineStr">
        <ns0:is>
          <ns0:t xml:space="preserve">Changes needed</ns0:t>
        </ns0:is>
      </ns0:c>
      <ns0:c r="K9"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9" s="31" t="n">
        <ns0:v>46323.5</ns0:v>
      </ns0:c>
      <ns0:c r="M9" s="11" t="inlineStr">
        <ns0:is>
          <ns0:t xml:space="preserve">Assistant (explicitly delegated; prior developer evidence retained)</ns0:t>
        </ns0:is>
      </ns0:c>
      <ns0:c r="N9" s="11" t="inlineStr">
        <ns0:is>
          <ns0:t xml:space="preserve">Failed</ns0:t>
        </ns0:is>
      </ns0:c>
      <ns0:c r="O9" s="11" t="inlineStr">
        <ns0:is>
          <ns0: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9" s="31" t="n">
        <ns0:v>46323.5</ns0:v>
      </ns0:c>
      <ns0:c r="Q9" s="11"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ns0:t>
        </ns0:is>
      </ns0:c>
      <ns0:c r="R9"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9" s="11" t="n"/>
    </ns0:row>
    <ns0:row r="10" ht="105" customHeight="1">
      <ns0:c r="A10" s="4" t="n">
        <ns0:v>7</ns0:v>
      </ns0:c>
      <ns0:c r="B10" s="4" t="inlineStr">
        <ns0:is>
          <ns0:t xml:space="preserve">FB-017</ns0:t>
        </ns0:is>
      </ns0:c>
      <ns0:c r="C10" s="4" t="inlineStr">
        <ns0:is>
          <ns0:t xml:space="preserve">Accounts</ns0:t>
        </ns0:is>
      </ns0:c>
      <ns0:c r="D10" s="4" t="inlineStr">
        <ns0:is>
          <ns0:t xml:space="preserve">Arrange the create form and format Canadian phones</ns0:t>
        </ns0:is>
      </ns0:c>
      <ns0:c r="E10" s="4" t="inlineStr">
        <ns0:is>
          <ns0:t xml:space="preserve">Teach stacked-to-column layout. While typing, phone becomes +1 506-555-0123; ten digits after +1. Labels and field errors fit without overflow.</ns0:t>
        </ns0:is>
      </ns0:c>
      <ns0:c r="F10" s="4" t="inlineStr">
        <ns0:is>
          <ns0:t xml:space="preserve">FB-016</ns0:t>
        </ns0:is>
      </ns0:c>
      <ns0:c r="G10" s="4" t="str">
        <ns0:f>IF(H10="Complete","Complete",IF(I10="Blocked","Blocked",IF(I10="In progress","Ready",IF(F10="","Ready",IF(COUNTIFS($B$4:$B$73,F10,$H$4:$H$73,"Complete")=1,"Ready","Waiting")))))</ns0:f>
        <ns0:v>Ready</ns0:v>
      </ns0:c>
      <ns0:c r="H10" s="4" t="str">
        <ns0:f>IF(I10="Not started","Not started",IF(I10="Blocked","Blocked",IF(I10="In progress","In progress",IF(J10&lt;&gt;"Passed","Awaiting code review",IF(OR(K10="",NOT(ISNUMBER(L10))),"Awaiting review evidence",IF(N10&lt;&gt;"Passed","Awaiting test",IF(OR(M10="",O10="",NOT(ISNUMBER(P10))),"Awaiting test evidence","Complete")))))))</ns0:f>
        <ns0:v>In progress</ns0:v>
      </ns0:c>
      <ns0:c r="I10" s="10" t="inlineStr">
        <ns0:is>
          <ns0:t xml:space="preserve">In progress</ns0:t>
        </ns0:is>
      </ns0:c>
      <ns0:c r="J10" s="10" t="inlineStr">
        <ns0:is>
          <ns0:t xml:space="preserve">Changes needed</ns0:t>
        </ns0:is>
      </ns0:c>
      <ns0:c r="K10" s="10"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0" s="30" t="n">
        <ns0:v>46323.5</ns0:v>
      </ns0:c>
      <ns0:c r="M10" s="10" t="inlineStr">
        <ns0:is>
          <ns0:t xml:space="preserve">Assistant (explicitly delegated; prior developer evidence retained)</ns0:t>
        </ns0:is>
      </ns0:c>
      <ns0:c r="N10" s="10" t="inlineStr">
        <ns0:is>
          <ns0:t xml:space="preserve">Failed</ns0:t>
        </ns0:is>
      </ns0:c>
      <ns0:c r="O10" s="10" t="inlineStr">
        <ns0:is>
          <ns0: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0" s="30" t="n">
        <ns0:v>46323.5</ns0:v>
      </ns0:c>
      <ns0:c r="Q10" s="10" t="inlineStr">
        <ns0:is>
          <ns0: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0" s="10"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0" s="10" t="n"/>
    </ns0:row>
    <ns0:row r="11" ht="105" customHeight="1">
      <ns0:c r="A11" s="9" t="n">
        <ns0:v>8</ns0:v>
      </ns0:c>
      <ns0:c r="B11" s="9" t="inlineStr">
        <ns0:is>
          <ns0:t xml:space="preserve">FB-018</ns0:t>
        </ns0:is>
      </ns0:c>
      <ns0:c r="C11" s="9" t="inlineStr">
        <ns0:is>
          <ns0:t xml:space="preserve">Accounts</ns0:t>
        </ns0:is>
      </ns0:c>
      <ns0:c r="D11" s="9" t="inlineStr">
        <ns0:is>
          <ns0:t xml:space="preserve">Generate meaningful unique usernames</ns0:t>
        </ns0:is>
      </ns0:c>
      <ns0:c r="E11" s="9" t="inlineStr">
        <ns0:is>
          <ns0:t xml:space="preserve">Lowercase first.last; remove spaces/hyphens/apostrophes and transliterate accents for username only. Collisions across all roles use .01, .02 etc. Unexpected symbols or unusable name parts block saving; no user.user fallback.</ns0:t>
        </ns0:is>
      </ns0:c>
      <ns0:c r="F11" s="9" t="inlineStr">
        <ns0:is>
          <ns0:t xml:space="preserve">FB-017</ns0:t>
        </ns0:is>
      </ns0:c>
      <ns0:c r="G11" s="9" t="str">
        <ns0:f>IF(H11="Complete","Complete",IF(I11="Blocked","Blocked",IF(I11="In progress","Ready",IF(F11="","Ready",IF(COUNTIFS($B$4:$B$73,F11,$H$4:$H$73,"Complete")=1,"Ready","Waiting")))))</ns0:f>
        <ns0:v>Ready</ns0:v>
      </ns0:c>
      <ns0:c r="H11" s="9" t="str">
        <ns0:f>IF(I11="Not started","Not started",IF(I11="Blocked","Blocked",IF(I11="In progress","In progress",IF(J11&lt;&gt;"Passed","Awaiting code review",IF(OR(K11="",NOT(ISNUMBER(L11))),"Awaiting review evidence",IF(N11&lt;&gt;"Passed","Awaiting test",IF(OR(M11="",O11="",NOT(ISNUMBER(P11))),"Awaiting test evidence","Complete")))))))</ns0:f>
        <ns0:v>In progress</ns0:v>
      </ns0:c>
      <ns0:c r="I11" s="11" t="inlineStr">
        <ns0:is>
          <ns0:t xml:space="preserve">In progress</ns0:t>
        </ns0:is>
      </ns0:c>
      <ns0:c r="J11" s="11" t="inlineStr">
        <ns0:is>
          <ns0:t xml:space="preserve">Changes needed</ns0:t>
        </ns0:is>
      </ns0:c>
      <ns0:c r="K11" s="11"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1" s="31" t="n">
        <ns0:v>46324</ns0:v>
      </ns0:c>
      <ns0:c r="M11" s="11" t="inlineStr">
        <ns0:is>
          <ns0:t xml:space="preserve">Assistant (delegated; browser Cancel user-assisted)</ns0:t>
        </ns0:is>
      </ns0:c>
      <ns0:c r="N11" s="11" t="inlineStr">
        <ns0:is>
          <ns0:t xml:space="preserve">Failed</ns0:t>
        </ns0:is>
      </ns0:c>
      <ns0:c r="O11" s="11" t="inlineStr">
        <ns0:is>
          <ns0: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1" s="31" t="n">
        <ns0:v>46324</ns0:v>
      </ns0:c>
      <ns0:c r="Q11" s="11" t="inlineStr">
        <ns0:is>
          <ns0: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ns0:t>
        </ns0:is>
      </ns0:c>
      <ns0:c r="R11" s="11" t="inlineStr">
        <ns0:is>
          <ns0: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ns0:t>
        </ns0:is>
      </ns0:c>
      <ns0:c r="S11" s="11" t="n"/>
    </ns0:row>
    <ns0:row r="12" ht="105" customHeight="1">
      <ns0:c r="A12" s="4" t="n">
        <ns0:v>9</ns0:v>
      </ns0:c>
      <ns0:c r="B12" s="4" t="inlineStr">
        <ns0:is>
          <ns0:t xml:space="preserve">FB-020</ns0:t>
        </ns0:is>
      </ns0:c>
      <ns0:c r="C12" s="4" t="inlineStr">
        <ns0:is>
          <ns0:t xml:space="preserve">Accounts</ns0:t>
        </ns0:is>
      </ns0:c>
      <ns0:c r="D12" s="4" t="inlineStr">
        <ns0:is>
          <ns0:t xml:space="preserve">Build the protected read-only account details page</ns0:t>
        </ns0:is>
      </ns0:c>
      <ns0:c r="E12" s="4" t="inlineStr">
        <ns0:is>
          <ns0: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ns0:t>
        </ns0:is>
      </ns0:c>
      <ns0:c r="F12" s="4" t="inlineStr">
        <ns0:is>
          <ns0:t xml:space="preserve">FB-018</ns0:t>
        </ns0:is>
      </ns0:c>
      <ns0:c r="G12" s="4" t="str">
        <ns0:f>IF(H12="Complete","Complete",IF(I12="Blocked","Blocked",IF(I12="In progress","Ready",IF(F12="","Ready",IF(COUNTIFS($B$4:$B$73,F12,$H$4:$H$73,"Complete")=1,"Ready","Waiting")))))</ns0:f>
        <ns0:v>Complete</ns0:v>
      </ns0:c>
      <ns0:c r="H12" s="4" t="str">
        <ns0:f>IF(I12="Not started","Not started",IF(I12="Blocked","Blocked",IF(I12="In progress","In progress",IF(J12&lt;&gt;"Passed","Awaiting code review",IF(OR(K12="",NOT(ISNUMBER(L12))),"Awaiting review evidence",IF(N12&lt;&gt;"Passed","Awaiting test",IF(OR(M12="",O12="",NOT(ISNUMBER(P12))),"Awaiting test evidence","Complete")))))))</ns0:f>
        <ns0:v>Complete</ns0:v>
      </ns0:c>
      <ns0:c r="I12" s="10" t="inlineStr">
        <ns0:is>
          <ns0:t xml:space="preserve">Ready for review</ns0:t>
        </ns0:is>
      </ns0:c>
      <ns0:c r="J12" s="10" t="inlineStr">
        <ns0:is>
          <ns0:t xml:space="preserve">Passed</ns0:t>
        </ns0:is>
      </ns0:c>
      <ns0:c r="K12" s="10" t="inlineStr">
        <ns0:is>
          <ns0: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2" s="30" t="n">
        <ns0:v>46323.5</ns0:v>
      </ns0:c>
      <ns0:c r="M12" s="10" t="inlineStr">
        <ns0:is>
          <ns0:t xml:space="preserve">Assistant (delegated) and Developer</ns0:t>
        </ns0:is>
      </ns0:c>
      <ns0:c r="N12" s="10" t="inlineStr">
        <ns0:is>
          <ns0:t xml:space="preserve">Passed</ns0:t>
        </ns0:is>
      </ns0:c>
      <ns0:c r="O12" s="10" t="inlineStr">
        <ns0:is>
          <ns0: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2" s="30" t="n">
        <ns0:v>46323.5</ns0:v>
      </ns0:c>
      <ns0:c r="Q12" s="10" t="inlineStr">
        <ns0:is>
          <ns0: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ns0:t>
        </ns0:is>
      </ns0:c>
      <ns0:c r="R12" s="10" t="inlineStr">
        <ns0:is>
          <ns0: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ns0:t>
        </ns0:is>
      </ns0:c>
      <ns0:c r="S12" s="10" t="n"/>
    </ns0:row>
    <ns0:row r="13" ht="105" customHeight="1">
      <ns0:c r="A13" s="9" t="n">
        <ns0:v>10</ns0:v>
      </ns0:c>
      <ns0:c r="B13" s="9" t="inlineStr">
        <ns0:is>
          <ns0:t xml:space="preserve">FB-019</ns0:t>
        </ns0:is>
      </ns0:c>
      <ns0:c r="C13" s="9" t="inlineStr">
        <ns0:is>
          <ns0:t xml:space="preserve">Accounts</ns0:t>
        </ns0:is>
      </ns0:c>
      <ns0:c r="D13" s="9" t="inlineStr">
        <ns0:is>
          <ns0: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ns0:t>
        </ns0:is>
      </ns0:c>
      <ns0:c r="E13" s="9" t="inlineStr">
        <ns0:is>
          <ns0: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F13" s="9" t="inlineStr">
        <ns0:is>
          <ns0:t xml:space="preserve">FB-020</ns0:t>
        </ns0:is>
      </ns0:c>
      <ns0:c r="G13" s="9" t="str">
        <ns0:f>IF(H13="Complete","Complete",IF(I13="Blocked","Blocked",IF(I13="In progress","Ready",IF(F13="","Ready",IF(COUNTIFS($B$4:$B$73,F13,$H$4:$H$73,"Complete")=1,"Ready","Waiting")))))</ns0:f>
        <ns0:v>Ready</ns0:v>
      </ns0:c>
      <ns0:c r="H13" s="9" t="str">
        <ns0:f>IF(I13="Not started","Not started",IF(I13="Blocked","Blocked",IF(I13="In progress","In progress",IF(J13&lt;&gt;"Passed","Awaiting code review",IF(OR(K13="",NOT(ISNUMBER(L13))),"Awaiting review evidence",IF(N13&lt;&gt;"Passed","Awaiting test",IF(OR(M13="",O13="",NOT(ISNUMBER(P13))),"Awaiting test evidence","Complete")))))))</ns0:f>
        <ns0:v>In progress</ns0:v>
      </ns0:c>
      <ns0:c r="I13" s="11" t="inlineStr">
        <ns0:is>
          <ns0:t xml:space="preserve">In progress</ns0:t>
        </ns0:is>
      </ns0:c>
      <ns0:c r="J13" s="11" t="inlineStr">
        <ns0:is>
          <ns0:t xml:space="preserve">Changes needed</ns0:t>
        </ns0:is>
      </ns0:c>
      <ns0:c r="K13"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3" s="31" t="n">
        <ns0:v>46324</ns0:v>
      </ns0:c>
      <ns0:c r="M13" s="11" t="inlineStr">
        <ns0:is>
          <ns0:t xml:space="preserve">Assistant (delegated; browser Cancel user-assisted)</ns0:t>
        </ns0:is>
      </ns0:c>
      <ns0:c r="N13" s="11" t="inlineStr">
        <ns0:is>
          <ns0:t xml:space="preserve">Failed</ns0:t>
        </ns0:is>
      </ns0:c>
      <ns0:c r="O13" s="11" t="inlineStr">
        <ns0:is>
          <ns0: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3" s="31" t="n">
        <ns0:v>46324</ns0:v>
      </ns0:c>
      <ns0:c r="Q13" s="11" t="inlineStr">
        <ns0:is>
          <ns0: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3"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3" s="11" t="n"/>
    </ns0:row>
    <ns0:row r="14" ht="105" customHeight="1">
      <ns0:c r="A14" s="4" t="n">
        <ns0:v>11</ns0:v>
      </ns0:c>
      <ns0:c r="B14" s="4" t="inlineStr">
        <ns0:is>
          <ns0:t xml:space="preserve">FB-006</ns0:t>
        </ns0:is>
      </ns0:c>
      <ns0:c r="C14" s="4" t="inlineStr">
        <ns0:is>
          <ns0:t xml:space="preserve">Access</ns0:t>
        </ns0:is>
      </ns0:c>
      <ns0:c r="D14" s="4" t="inlineStr">
        <ns0:is>
          <ns0:t xml:space="preserve">Build the required personal-password setup screen</ns0:t>
        </ns0:is>
      </ns0:c>
      <ns0:c r="E14" s="4" t="inlineStr">
        <ns0:is>
          <ns0: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ns0:t>
        </ns0:is>
      </ns0:c>
      <ns0:c r="F14" s="4" t="inlineStr">
        <ns0:is>
          <ns0:t xml:space="preserve">FB-019</ns0:t>
        </ns0:is>
      </ns0:c>
      <ns0:c r="G14" s="4" t="str">
        <ns0:f>IF(H14="Complete","Complete",IF(I14="Blocked","Blocked",IF(I14="In progress","Ready",IF(F14="","Ready",IF(COUNTIFS($B$4:$B$73,F14,$H$4:$H$73,"Complete")=1,"Ready","Waiting")))))</ns0:f>
        <ns0:v>Ready</ns0:v>
      </ns0:c>
      <ns0:c r="H14" s="4" t="str">
        <ns0:f>IF(I14="Not started","Not started",IF(I14="Blocked","Blocked",IF(I14="In progress","In progress",IF(J14&lt;&gt;"Passed","Awaiting code review",IF(OR(K14="",NOT(ISNUMBER(L14))),"Awaiting review evidence",IF(N14&lt;&gt;"Passed","Awaiting test",IF(OR(M14="",O14="",NOT(ISNUMBER(P14))),"Awaiting test evidence","Complete")))))))</ns0:f>
        <ns0:v>In progress</ns0:v>
      </ns0:c>
      <ns0:c r="I14" s="10" t="inlineStr">
        <ns0:is>
          <ns0:t xml:space="preserve">In progress</ns0:t>
        </ns0:is>
      </ns0:c>
      <ns0:c r="J14" s="10" t="inlineStr">
        <ns0:is>
          <ns0:t xml:space="preserve">Changes needed</ns0:t>
        </ns0:is>
      </ns0:c>
      <ns0:c r="K14" s="10"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ns0:t>
        </ns0:is>
      </ns0:c>
      <ns0:c r="L14" s="30" t="n">
        <ns0:v>46322</ns0:v>
      </ns0:c>
      <ns0:c r="M14" s="10" t="inlineStr">
        <ns0:is>
          <ns0:t xml:space="preserve">Assistant (delegated)</ns0:t>
        </ns0:is>
      </ns0:c>
      <ns0:c r="N14" s="10" t="inlineStr">
        <ns0:is>
          <ns0:t xml:space="preserve">Failed</ns0:t>
        </ns0:is>
      </ns0:c>
      <ns0:c r="O14" s="10"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ns0:t>
        </ns0:is>
      </ns0:c>
      <ns0:c r="P14" s="30" t="n">
        <ns0:v>46322</ns0:v>
      </ns0:c>
      <ns0:c r="Q14" s="10" t="inlineStr">
        <ns0:is>
          <ns0: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4" s="10"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4" s="10" t="n"/>
    </ns0:row>
    <ns0:row r="15" ht="105" customHeight="1">
      <ns0:c r="A15" s="9" t="n">
        <ns0:v>12</ns0:v>
      </ns0:c>
      <ns0:c r="B15" s="9" t="inlineStr">
        <ns0:is>
          <ns0:t xml:space="preserve">FB-007</ns0:t>
        </ns0:is>
      </ns0:c>
      <ns0:c r="C15" s="9" t="inlineStr">
        <ns0:is>
          <ns0:t xml:space="preserve">Access</ns0:t>
        </ns0:is>
      </ns0:c>
      <ns0:c r="D15" s="9" t="inlineStr">
        <ns0:is>
          <ns0:t xml:space="preserve">Save the initial personal password and require login again</ns0:t>
        </ns0:is>
      </ns0:c>
      <ns0:c r="E15" s="9" t="inlineStr">
        <ns0:is>
          <ns0: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ns0:t>
        </ns0:is>
      </ns0:c>
      <ns0:c r="F15" s="9" t="inlineStr">
        <ns0:is>
          <ns0:t xml:space="preserve">FB-006</ns0:t>
        </ns0:is>
      </ns0:c>
      <ns0:c r="G15" s="9" t="str">
        <ns0:f>IF(H15="Complete","Complete",IF(I15="Blocked","Blocked",IF(I15="In progress","Ready",IF(F15="","Ready",IF(COUNTIFS($B$4:$B$73,F15,$H$4:$H$73,"Complete")=1,"Ready","Waiting")))))</ns0:f>
        <ns0:v>Ready</ns0:v>
      </ns0:c>
      <ns0:c r="H15" s="9" t="str">
        <ns0:f>IF(I15="Not started","Not started",IF(I15="Blocked","Blocked",IF(I15="In progress","In progress",IF(J15&lt;&gt;"Passed","Awaiting code review",IF(OR(K15="",NOT(ISNUMBER(L15))),"Awaiting review evidence",IF(N15&lt;&gt;"Passed","Awaiting test",IF(OR(M15="",O15="",NOT(ISNUMBER(P15))),"Awaiting test evidence","Complete")))))))</ns0:f>
        <ns0:v>In progress</ns0:v>
      </ns0:c>
      <ns0:c r="I15" s="11" t="inlineStr">
        <ns0:is>
          <ns0:t xml:space="preserve">In progress</ns0:t>
        </ns0:is>
      </ns0:c>
      <ns0:c r="J15" s="11" t="inlineStr">
        <ns0:is>
          <ns0:t xml:space="preserve">Changes needed</ns0:t>
        </ns0:is>
      </ns0:c>
      <ns0:c r="K15" s="11"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ns0:t>
        </ns0:is>
      </ns0:c>
      <ns0:c r="L15" s="31" t="n">
        <ns0:v>46322</ns0:v>
      </ns0:c>
      <ns0:c r="M15" s="11" t="inlineStr">
        <ns0:is>
          <ns0:t xml:space="preserve">Assistant (delegated)</ns0:t>
        </ns0:is>
      </ns0:c>
      <ns0:c r="N15" s="11" t="inlineStr">
        <ns0:is>
          <ns0:t xml:space="preserve">Failed</ns0:t>
        </ns0:is>
      </ns0:c>
      <ns0:c r="O15" s="11"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ns0:t>
        </ns0:is>
      </ns0:c>
      <ns0:c r="P15" s="31" t="n">
        <ns0:v>46322</ns0:v>
      </ns0:c>
      <ns0:c r="Q15" s="11" t="inlineStr">
        <ns0:is>
          <ns0: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5" s="11"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5" s="11" t="n"/>
    </ns0:row>
    <ns0:row r="16" ht="105" customHeight="1">
      <ns0:c r="A16" s="4" t="n">
        <ns0:v>13</ns0:v>
      </ns0:c>
      <ns0:c r="B16" s="4" t="inlineStr">
        <ns0:is>
          <ns0:t xml:space="preserve">FB-024</ns0:t>
        </ns0:is>
      </ns0:c>
      <ns0:c r="C16" s="4" t="inlineStr">
        <ns0:is>
          <ns0:t xml:space="preserve">Accounts</ns0:t>
        </ns0:is>
      </ns0:c>
      <ns0:c r="D16" s="4" t="inlineStr">
        <ns0:is>
          <ns0:t xml:space="preserve">Change the signed-in user’s password</ns0:t>
        </ns0:is>
      </ns0:c>
      <ns0:c r="E16" s="4" t="inlineStr">
        <ns0:is>
          <ns0: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ns0:t>
        </ns0:is>
      </ns0:c>
      <ns0:c r="F16" s="4" t="inlineStr">
        <ns0:is>
          <ns0:t xml:space="preserve">FB-007</ns0:t>
        </ns0:is>
      </ns0:c>
      <ns0:c r="G16" s="4" t="str">
        <ns0:f>IF(H16="Complete","Complete",IF(I16="Blocked","Blocked",IF(I16="In progress","Ready",IF(F16="","Ready",IF(COUNTIFS($B$4:$B$73,F16,$H$4:$H$73,"Complete")=1,"Ready","Waiting")))))</ns0:f>
        <ns0:v>Ready</ns0:v>
      </ns0:c>
      <ns0:c r="H16" s="4" t="str">
        <ns0:f>IF(I16="Not started","Not started",IF(I16="Blocked","Blocked",IF(I16="In progress","In progress",IF(J16&lt;&gt;"Passed","Awaiting code review",IF(OR(K16="",NOT(ISNUMBER(L16))),"Awaiting review evidence",IF(N16&lt;&gt;"Passed","Awaiting test",IF(OR(M16="",O16="",NOT(ISNUMBER(P16))),"Awaiting test evidence","Complete")))))))</ns0:f>
        <ns0:v>In progress</ns0:v>
      </ns0:c>
      <ns0:c r="I16" s="10" t="inlineStr">
        <ns0:is>
          <ns0:t xml:space="preserve">In progress</ns0:t>
        </ns0:is>
      </ns0:c>
      <ns0:c r="J16" s="10" t="inlineStr">
        <ns0:is>
          <ns0:t xml:space="preserve">Not reviewed</ns0:t>
        </ns0:is>
      </ns0:c>
      <ns0:c r="K16" s="10" t="n"/>
      <ns0:c r="L16" s="30" t="n"/>
      <ns0:c r="M16" s="10" t="n"/>
      <ns0:c r="N16" s="10" t="inlineStr">
        <ns0:is>
          <ns0:t xml:space="preserve">Not tested</ns0:t>
        </ns0:is>
      </ns0:c>
      <ns0:c r="O16" s="10" t="n"/>
      <ns0:c r="P16" s="30" t="n"/>
      <ns0:c r="Q16" s="10" t="inlineStr">
        <ns0:is>
          <ns0: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16" s="10" t="inlineStr">
        <ns0:is>
          <ns0: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6" s="10" t="n"/>
    </ns0:row>
    <ns0:row r="17" ht="105" customHeight="1">
      <ns0:c r="A17" s="9" t="n">
        <ns0:v>14</ns0:v>
      </ns0:c>
      <ns0:c r="B17" s="9" t="inlineStr">
        <ns0:is>
          <ns0:t xml:space="preserve">FB-009</ns0:t>
        </ns0:is>
      </ns0:c>
      <ns0:c r="C17" s="9" t="inlineStr">
        <ns0:is>
          <ns0:t xml:space="preserve">Accounts</ns0:t>
        </ns0:is>
      </ns0:c>
      <ns0:c r="D17" s="9" t="inlineStr">
        <ns0:is>
          <ns0:t xml:space="preserve">Display the unfiltered user lists</ns0:t>
        </ns0:is>
      </ns0:c>
      <ns0:c r="E17" s="9" t="inlineStr">
        <ns0:is>
          <ns0:t xml:space="preserve">Shared directory available to every signed-in user; all three roles, active and inactive. SIX separate columns First name, Last name, Email, Phone, Role, Status. Fictional props/loops/stable keys first. Separate full-details/management permissions. No pictures now. REQ-041.</ns0:t>
        </ns0:is>
      </ns0:c>
      <ns0:c r="F17" s="9" t="inlineStr">
        <ns0:is>
          <ns0:t xml:space="preserve">FB-024</ns0:t>
        </ns0:is>
      </ns0:c>
      <ns0:c r="G17" s="9" t="str">
        <ns0:f>IF(H17="Complete","Complete",IF(I17="Blocked","Blocked",IF(I17="In progress","Ready",IF(F17="","Ready",IF(COUNTIFS($B$4:$B$73,F17,$H$4:$H$73,"Complete")=1,"Ready","Waiting")))))</ns0:f>
        <ns0:v>Ready</ns0:v>
      </ns0:c>
      <ns0:c r="H17" s="9" t="str">
        <ns0:f>IF(I17="Not started","Not started",IF(I17="Blocked","Blocked",IF(I17="In progress","In progress",IF(J17&lt;&gt;"Passed","Awaiting code review",IF(OR(K17="",NOT(ISNUMBER(L17))),"Awaiting review evidence",IF(N17&lt;&gt;"Passed","Awaiting test",IF(OR(M17="",O17="",NOT(ISNUMBER(P17))),"Awaiting test evidence","Complete")))))))</ns0:f>
        <ns0:v>In progress</ns0:v>
      </ns0:c>
      <ns0:c r="I17" s="11" t="inlineStr">
        <ns0:is>
          <ns0:t xml:space="preserve">In progress</ns0:t>
        </ns0:is>
      </ns0:c>
      <ns0:c r="J17" s="11" t="inlineStr">
        <ns0:is>
          <ns0:t xml:space="preserve">Changes needed</ns0:t>
        </ns0:is>
      </ns0:c>
      <ns0:c r="K17"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7" s="31" t="n">
        <ns0:v>46324</ns0:v>
      </ns0:c>
      <ns0:c r="M17" s="11" t="inlineStr">
        <ns0:is>
          <ns0:t xml:space="preserve">Developer</ns0:t>
        </ns0:is>
      </ns0:c>
      <ns0:c r="N17" s="11" t="inlineStr">
        <ns0:is>
          <ns0:t xml:space="preserve">Partial</ns0:t>
        </ns0:is>
      </ns0:c>
      <ns0:c r="O17" s="11" t="inlineStr">
        <ns0:is>
          <ns0: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7" s="31" t="inlineStr">
        <ns0:is>
          <ns0:t xml:space="preserve">2026-10-29</ns0:t>
        </ns0:is>
      </ns0:c>
      <ns0:c r="Q17" s="11" t="inlineStr">
        <ns0:is>
          <ns0: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7"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7" s="11" t="n"/>
    </ns0:row>
    <ns0:row r="18" ht="105" customHeight="1">
      <ns0:c r="A18" s="4" t="n">
        <ns0:v>15</ns0:v>
      </ns0:c>
      <ns0:c r="B18" s="4" t="inlineStr">
        <ns0:is>
          <ns0:t xml:space="preserve">FB-010</ns0:t>
        </ns0:is>
      </ns0:c>
      <ns0:c r="C18" s="4" t="inlineStr">
        <ns0:is>
          <ns0:t xml:space="preserve">Accounts</ns0:t>
        </ns0:is>
      </ns0:c>
      <ns0:c r="D18" s="4" t="inlineStr">
        <ns0:is>
          <ns0:t xml:space="preserve">Lay out the lists and toolbar</ns0:t>
        </ns0:is>
      </ns0:c>
      <ns0:c r="E18" s="4" t="inlineStr">
        <ns0:is>
          <ns0: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ns0:t>
        </ns0:is>
      </ns0:c>
      <ns0:c r="F18" s="4" t="inlineStr">
        <ns0:is>
          <ns0:t xml:space="preserve">FB-009</ns0:t>
        </ns0:is>
      </ns0:c>
      <ns0:c r="G18" s="4" t="str">
        <ns0:f>IF(H18="Complete","Complete",IF(I18="Blocked","Blocked",IF(I18="In progress","Ready",IF(F18="","Ready",IF(COUNTIFS($B$4:$B$73,F18,$H$4:$H$73,"Complete")=1,"Ready","Waiting")))))</ns0:f>
        <ns0:v>Ready</ns0:v>
      </ns0:c>
      <ns0:c r="H18" s="4" t="str">
        <ns0:f>IF(I18="Not started","Not started",IF(I18="Blocked","Blocked",IF(I18="In progress","In progress",IF(J18&lt;&gt;"Passed","Awaiting code review",IF(OR(K18="",NOT(ISNUMBER(L18))),"Awaiting review evidence",IF(N18&lt;&gt;"Passed","Awaiting test",IF(OR(M18="",O18="",NOT(ISNUMBER(P18))),"Awaiting test evidence","Complete")))))))</ns0:f>
        <ns0:v>In progress</ns0:v>
      </ns0:c>
      <ns0:c r="I18" s="10" t="inlineStr">
        <ns0:is>
          <ns0:t xml:space="preserve">In progress</ns0:t>
        </ns0:is>
      </ns0:c>
      <ns0:c r="J18" s="10" t="inlineStr">
        <ns0:is>
          <ns0:t xml:space="preserve">Not reviewed</ns0:t>
        </ns0:is>
      </ns0:c>
      <ns0:c r="K18"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8" s="30" t="n">
        <ns0:v>46324</ns0:v>
      </ns0:c>
      <ns0:c r="M18" s="10" t="inlineStr">
        <ns0:is>
          <ns0:t xml:space="preserve">Developer</ns0:t>
        </ns0:is>
      </ns0:c>
      <ns0:c r="N18" s="10" t="inlineStr">
        <ns0:is>
          <ns0:t xml:space="preserve">Partial</ns0:t>
        </ns0:is>
      </ns0:c>
      <ns0:c r="O18" s="10" t="inlineStr">
        <ns0:is>
          <ns0: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8" s="30" t="n"/>
      <ns0:c r="Q18" s="10" t="inlineStr">
        <ns0:is>
          <ns0: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8"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8" s="10" t="n"/>
    </ns0:row>
    <ns0:row r="19" ht="105" customHeight="1">
      <ns0:c r="A19" s="9" t="n">
        <ns0:v>16</ns0:v>
      </ns0:c>
      <ns0:c r="B19" s="9" t="inlineStr">
        <ns0:is>
          <ns0:t xml:space="preserve">FB-011</ns0:t>
        </ns0:is>
      </ns0:c>
      <ns0:c r="C19" s="9" t="inlineStr">
        <ns0:is>
          <ns0:t xml:space="preserve">Accounts</ns0:t>
        </ns0:is>
      </ns0:c>
      <ns0:c r="D19" s="9" t="inlineStr">
        <ns0:is>
          <ns0:t xml:space="preserve">Add account search</ns0:t>
        </ns0:is>
      </ns0:c>
      <ns0:c r="E19" s="9" t="inlineStr">
        <ns0:is>
          <ns0: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ns0:t>
        </ns0:is>
      </ns0:c>
      <ns0:c r="F19" s="9" t="inlineStr">
        <ns0:is>
          <ns0:t xml:space="preserve">FB-010</ns0:t>
        </ns0:is>
      </ns0:c>
      <ns0:c r="G19" s="9" t="str">
        <ns0:f>IF(H19="Complete","Complete",IF(I19="Blocked","Blocked",IF(I19="In progress","Ready",IF(F19="","Ready",IF(COUNTIFS($B$4:$B$73,F19,$H$4:$H$73,"Complete")=1,"Ready","Waiting")))))</ns0:f>
        <ns0:v>Ready</ns0:v>
      </ns0:c>
      <ns0:c r="H19" s="9" t="str">
        <ns0:f>IF(I19="Not started","Not started",IF(I19="Blocked","Blocked",IF(I19="In progress","In progress",IF(J19&lt;&gt;"Passed","Awaiting code review",IF(OR(K19="",NOT(ISNUMBER(L19))),"Awaiting review evidence",IF(N19&lt;&gt;"Passed","Awaiting test",IF(OR(M19="",O19="",NOT(ISNUMBER(P19))),"Awaiting test evidence","Complete")))))))</ns0:f>
        <ns0:v>In progress</ns0:v>
      </ns0:c>
      <ns0:c r="I19" s="11" t="inlineStr">
        <ns0:is>
          <ns0:t xml:space="preserve">In progress</ns0:t>
        </ns0:is>
      </ns0:c>
      <ns0:c r="J19" s="11" t="inlineStr">
        <ns0:is>
          <ns0:t xml:space="preserve">Changes needed</ns0:t>
        </ns0:is>
      </ns0:c>
      <ns0:c r="K19"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9" s="31" t="n">
        <ns0:v>46324</ns0:v>
      </ns0:c>
      <ns0:c r="M19" s="11" t="inlineStr">
        <ns0:is>
          <ns0:t xml:space="preserve">Developer</ns0:t>
        </ns0:is>
      </ns0:c>
      <ns0:c r="N19" s="11" t="inlineStr">
        <ns0:is>
          <ns0:t xml:space="preserve">Partial</ns0:t>
        </ns0:is>
      </ns0:c>
      <ns0:c r="O19" s="11" t="inlineStr">
        <ns0:is>
          <ns0: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9" s="31" t="n"/>
      <ns0:c r="Q19" s="11" t="inlineStr">
        <ns0:is>
          <ns0: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9"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9" s="11" t="n"/>
    </ns0:row>
    <ns0:row r="20" ht="105" customHeight="1">
      <ns0:c r="A20" s="4" t="n">
        <ns0:v>17</ns0:v>
      </ns0:c>
      <ns0:c r="B20" s="4" t="inlineStr">
        <ns0:is>
          <ns0:t xml:space="preserve">FB-012</ns0:t>
        </ns0:is>
      </ns0:c>
      <ns0:c r="C20" s="4" t="inlineStr">
        <ns0:is>
          <ns0:t xml:space="preserve">Accounts</ns0:t>
        </ns0:is>
      </ns0:c>
      <ns0:c r="D20" s="4" t="inlineStr">
        <ns0:is>
          <ns0:t xml:space="preserve">Extend directory search to partial role names</ns0:t>
        </ns0:is>
      </ns0:c>
      <ns0:c r="E20" s="4" t="inlineStr">
        <ns0:is>
          <ns0:t xml:space="preserve">Same single search box matches role labels as well as first name, last name, email or phone. manager, mana and manag find Managers. Search applies before pagination; no separate status or role dropdown. Related rule: REQ-041.</ns0:t>
        </ns0:is>
      </ns0:c>
      <ns0:c r="F20" s="4" t="inlineStr">
        <ns0:is>
          <ns0:t xml:space="preserve">FB-011</ns0:t>
        </ns0:is>
      </ns0:c>
      <ns0:c r="G20" s="4" t="str">
        <ns0:f>IF(H20="Complete","Complete",IF(I20="Blocked","Blocked",IF(I20="In progress","Ready",IF(F20="","Ready",IF(COUNTIFS($B$4:$B$73,F20,$H$4:$H$73,"Complete")=1,"Ready","Waiting")))))</ns0:f>
        <ns0:v>Ready</ns0:v>
      </ns0:c>
      <ns0:c r="H20" s="4" t="str">
        <ns0:f>IF(I20="Not started","Not started",IF(I20="Blocked","Blocked",IF(I20="In progress","In progress",IF(J20&lt;&gt;"Passed","Awaiting code review",IF(OR(K20="",NOT(ISNUMBER(L20))),"Awaiting review evidence",IF(N20&lt;&gt;"Passed","Awaiting test",IF(OR(M20="",O20="",NOT(ISNUMBER(P20))),"Awaiting test evidence","Complete")))))))</ns0:f>
        <ns0:v>In progress</ns0:v>
      </ns0:c>
      <ns0:c r="I20" s="10" t="inlineStr">
        <ns0:is>
          <ns0:t xml:space="preserve">In progress</ns0:t>
        </ns0:is>
      </ns0:c>
      <ns0:c r="J20" s="10" t="inlineStr">
        <ns0:is>
          <ns0:t xml:space="preserve">Changes needed</ns0:t>
        </ns0:is>
      </ns0:c>
      <ns0:c r="K20"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0" s="30" t="n">
        <ns0:v>46324</ns0:v>
      </ns0:c>
      <ns0:c r="M20" s="10" t="inlineStr">
        <ns0:is>
          <ns0:t xml:space="preserve">Developer</ns0:t>
        </ns0:is>
      </ns0:c>
      <ns0:c r="N20" s="10" t="inlineStr">
        <ns0:is>
          <ns0:t xml:space="preserve">Partial</ns0:t>
        </ns0:is>
      </ns0:c>
      <ns0:c r="O20" s="10" t="inlineStr">
        <ns0:is>
          <ns0: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0" s="30" t="n"/>
      <ns0:c r="Q20" s="10" t="inlineStr">
        <ns0:is>
          <ns0: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0"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0" s="10" t="n"/>
    </ns0:row>
    <ns0:row r="21" ht="105" customHeight="1">
      <ns0:c r="A21" s="9" t="n">
        <ns0:v>18</ns0:v>
      </ns0:c>
      <ns0:c r="B21" s="9" t="inlineStr">
        <ns0:is>
          <ns0:t xml:space="preserve">FB-013</ns0:t>
        </ns0:is>
      </ns0:c>
      <ns0:c r="C21" s="9" t="inlineStr">
        <ns0:is>
          <ns0:t xml:space="preserve">Accounts</ns0:t>
        </ns0:is>
      </ns0:c>
      <ns0:c r="D21" s="9" t="inlineStr">
        <ns0:is>
          <ns0:t xml:space="preserve">Handle cleared searches and no matching users</ns0:t>
        </ns0:is>
      </ns0:c>
      <ns0:c r="E21" s="9" t="inlineStr">
        <ns0:is>
          <ns0:t xml:space="preserve">Clearing the single search restores the full permitted directory; a search with no matches displays an understandable empty result. Include contact and partial-role searches. No separate role/status dropdowns. Related rule: REQ-041.</ns0:t>
        </ns0:is>
      </ns0:c>
      <ns0:c r="F21" s="9" t="inlineStr">
        <ns0:is>
          <ns0:t xml:space="preserve">FB-012</ns0:t>
        </ns0:is>
      </ns0:c>
      <ns0:c r="G21" s="9" t="str">
        <ns0:f>IF(H21="Complete","Complete",IF(I21="Blocked","Blocked",IF(I21="In progress","Ready",IF(F21="","Ready",IF(COUNTIFS($B$4:$B$73,F21,$H$4:$H$73,"Complete")=1,"Ready","Waiting")))))</ns0:f>
        <ns0:v>Ready</ns0:v>
      </ns0:c>
      <ns0:c r="H21" s="9" t="str">
        <ns0:f>IF(I21="Not started","Not started",IF(I21="Blocked","Blocked",IF(I21="In progress","In progress",IF(J21&lt;&gt;"Passed","Awaiting code review",IF(OR(K21="",NOT(ISNUMBER(L21))),"Awaiting review evidence",IF(N21&lt;&gt;"Passed","Awaiting test",IF(OR(M21="",O21="",NOT(ISNUMBER(P21))),"Awaiting test evidence","Complete")))))))</ns0:f>
        <ns0:v>In progress</ns0:v>
      </ns0:c>
      <ns0:c r="I21" s="11" t="inlineStr">
        <ns0:is>
          <ns0:t xml:space="preserve">In progress</ns0:t>
        </ns0:is>
      </ns0:c>
      <ns0:c r="J21" s="11" t="inlineStr">
        <ns0:is>
          <ns0:t xml:space="preserve">Changes needed</ns0:t>
        </ns0:is>
      </ns0:c>
      <ns0:c r="K21"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1" s="31" t="n">
        <ns0:v>46324</ns0:v>
      </ns0:c>
      <ns0:c r="M21" s="11" t="inlineStr">
        <ns0:is>
          <ns0:t xml:space="preserve">Developer</ns0:t>
        </ns0:is>
      </ns0:c>
      <ns0:c r="N21" s="11" t="inlineStr">
        <ns0:is>
          <ns0:t xml:space="preserve">Passed</ns0:t>
        </ns0:is>
      </ns0:c>
      <ns0:c r="O21" s="11" t="inlineStr">
        <ns0:is>
          <ns0: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1" s="31" t="n">
        <ns0:v>46324</ns0:v>
      </ns0:c>
      <ns0:c r="Q21" s="11" t="inlineStr">
        <ns0:is>
          <ns0: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1"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1" s="11" t="n"/>
    </ns0:row>
    <ns0:row r="22" ht="105" customHeight="1">
      <ns0:c r="A22" s="4" t="n">
        <ns0:v>19</ns0:v>
      </ns0:c>
      <ns0:c r="B22" s="4" t="inlineStr">
        <ns0:is>
          <ns0:t xml:space="preserve">FB-014</ns0:t>
        </ns0:is>
      </ns0:c>
      <ns0:c r="C22" s="4" t="inlineStr">
        <ns0:is>
          <ns0:t xml:space="preserve">Accounts</ns0:t>
        </ns0:is>
      </ns0:c>
      <ns0:c r="D22" s="4" t="inlineStr">
        <ns0:is>
          <ns0:t xml:space="preserve">Paginate the user lists</ns0:t>
        </ns0:is>
      </ns0:c>
      <ns0:c r="E22" s="4" t="inlineStr">
        <ns0:is>
          <ns0: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ns0:t>
        </ns0:is>
      </ns0:c>
      <ns0:c r="F22" s="4" t="inlineStr">
        <ns0:is>
          <ns0:t xml:space="preserve">FB-013</ns0:t>
        </ns0:is>
      </ns0:c>
      <ns0:c r="G22" s="4" t="str">
        <ns0:f>IF(H22="Complete","Complete",IF(I22="Blocked","Blocked",IF(I22="In progress","Ready",IF(F22="","Ready",IF(COUNTIFS($B$4:$B$73,F22,$H$4:$H$73,"Complete")=1,"Ready","Waiting")))))</ns0:f>
        <ns0:v>Ready</ns0:v>
      </ns0:c>
      <ns0:c r="H22" s="4" t="str">
        <ns0:f>IF(I22="Not started","Not started",IF(I22="Blocked","Blocked",IF(I22="In progress","In progress",IF(J22&lt;&gt;"Passed","Awaiting code review",IF(OR(K22="",NOT(ISNUMBER(L22))),"Awaiting review evidence",IF(N22&lt;&gt;"Passed","Awaiting test",IF(OR(M22="",O22="",NOT(ISNUMBER(P22))),"Awaiting test evidence","Complete")))))))</ns0:f>
        <ns0:v>In progress</ns0:v>
      </ns0:c>
      <ns0:c r="I22" s="10" t="inlineStr">
        <ns0:is>
          <ns0:t xml:space="preserve">In progress</ns0:t>
        </ns0:is>
      </ns0:c>
      <ns0:c r="J22" s="10" t="inlineStr">
        <ns0:is>
          <ns0:t xml:space="preserve">Changes needed</ns0:t>
        </ns0:is>
      </ns0:c>
      <ns0:c r="K22"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2" s="30" t="n">
        <ns0:v>46324</ns0:v>
      </ns0:c>
      <ns0:c r="M22" s="10" t="inlineStr">
        <ns0:is>
          <ns0:t xml:space="preserve">Developer</ns0:t>
        </ns0:is>
      </ns0:c>
      <ns0:c r="N22" s="10" t="inlineStr">
        <ns0:is>
          <ns0:t xml:space="preserve">Passed</ns0:t>
        </ns0:is>
      </ns0:c>
      <ns0:c r="O22" s="10" t="inlineStr">
        <ns0:is>
          <ns0: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2" s="30" t="n">
        <ns0:v>46324</ns0:v>
      </ns0:c>
      <ns0:c r="Q22" s="10" t="inlineStr">
        <ns0:is>
          <ns0: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2"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2" s="10" t="n"/>
    </ns0:row>
    <ns0:row r="23" ht="105" customHeight="1">
      <ns0:c r="A23" s="9" t="n">
        <ns0:v>20</ns0:v>
      </ns0:c>
      <ns0:c r="B23" s="9" t="inlineStr">
        <ns0:is>
          <ns0:t xml:space="preserve">FB-015</ns0:t>
        </ns0:is>
      </ns0:c>
      <ns0:c r="C23" s="9" t="inlineStr">
        <ns0:is>
          <ns0:t xml:space="preserve">Accounts</ns0:t>
        </ns0:is>
      </ns0:c>
      <ns0:c r="D23" s="9" t="inlineStr">
        <ns0:is>
          <ns0:t xml:space="preserve">Verify shared directory access on the server</ns0:t>
        </ns0:is>
      </ns0:c>
      <ns0:c r="E23" s="9" t="inlineStr">
        <ns0:is>
          <ns0: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ns0:t>
        </ns0:is>
      </ns0:c>
      <ns0:c r="F23" s="9" t="inlineStr">
        <ns0:is>
          <ns0:t xml:space="preserve">FB-014</ns0:t>
        </ns0:is>
      </ns0:c>
      <ns0:c r="G23" s="9" t="str">
        <ns0:f>IF(H23="Complete","Complete",IF(I23="Blocked","Blocked",IF(I23="In progress","Ready",IF(F23="","Ready",IF(COUNTIFS($B$4:$B$73,F23,$H$4:$H$73,"Complete")=1,"Ready","Waiting")))))</ns0:f>
        <ns0:v>Ready</ns0:v>
      </ns0:c>
      <ns0:c r="H23" s="9" t="str">
        <ns0:f>IF(I23="Not started","Not started",IF(I23="Blocked","Blocked",IF(I23="In progress","In progress",IF(J23&lt;&gt;"Passed","Awaiting code review",IF(OR(K23="",NOT(ISNUMBER(L23))),"Awaiting review evidence",IF(N23&lt;&gt;"Passed","Awaiting test",IF(OR(M23="",O23="",NOT(ISNUMBER(P23))),"Awaiting test evidence","Complete")))))))</ns0:f>
        <ns0:v>In progress</ns0:v>
      </ns0:c>
      <ns0:c r="I23" s="11" t="inlineStr">
        <ns0:is>
          <ns0:t xml:space="preserve">In progress</ns0:t>
        </ns0:is>
      </ns0:c>
      <ns0:c r="J23" s="11" t="inlineStr">
        <ns0:is>
          <ns0:t xml:space="preserve">Changes needed</ns0:t>
        </ns0:is>
      </ns0:c>
      <ns0:c r="K23"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3" s="31" t="n">
        <ns0:v>46324</ns0:v>
      </ns0:c>
      <ns0:c r="M23" s="11" t="inlineStr">
        <ns0:is>
          <ns0:t xml:space="preserve">Developer</ns0:t>
        </ns0:is>
      </ns0:c>
      <ns0:c r="N23" s="11" t="inlineStr">
        <ns0:is>
          <ns0:t xml:space="preserve">Partial</ns0:t>
        </ns0:is>
      </ns0:c>
      <ns0:c r="O23" s="11" t="inlineStr">
        <ns0:is>
          <ns0: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3" s="31" t="n"/>
      <ns0:c r="Q23" s="11" t="inlineStr">
        <ns0:is>
          <ns0: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3"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3" s="11" t="n"/>
    </ns0:row>
    <ns0:row r="24" ht="105" customHeight="1">
      <ns0:c r="A24" s="4" t="n">
        <ns0:v>21</ns0:v>
      </ns0:c>
      <ns0:c r="B24" s="4" t="inlineStr">
        <ns0:is>
          <ns0:t xml:space="preserve">FB-008</ns0:t>
        </ns0:is>
      </ns0:c>
      <ns0:c r="C24" s="4" t="inlineStr">
        <ns0:is>
          <ns0:t xml:space="preserve">Access</ns0:t>
        </ns0:is>
      </ns0:c>
      <ns0:c r="D24" s="4" t="inlineStr">
        <ns0:is>
          <ns0:t xml:space="preserve">Display role landing pages and navigation</ns0:t>
        </ns0:is>
      </ns0:c>
      <ns0:c r="E24" s="4" t="inlineStr">
        <ns0:is>
          <ns0:t xml:space="preserve">After normal login: manager volunteer list, Super Admin combined list, volunteer welcome page. Setup takes priority. Welcome offers password change/logout; add inventory links as those features become available.</ns0:t>
        </ns0:is>
      </ns0:c>
      <ns0:c r="F24" s="4" t="inlineStr">
        <ns0:is>
          <ns0:t xml:space="preserve">FB-068</ns0:t>
        </ns0:is>
      </ns0:c>
      <ns0:c r="G24" s="4" t="str">
        <ns0:f>IF(H24="Complete","Complete",IF(I24="Blocked","Blocked",IF(I24="In progress","Ready",IF(F24="","Ready",IF(COUNTIFS($B$4:$B$73,F24,$H$4:$H$73,"Complete")=1,"Ready","Waiting")))))</ns0:f>
        <ns0:v>Waiting</ns0:v>
      </ns0:c>
      <ns0:c r="H24" s="4" t="str">
        <ns0:f>IF(I24="Not started","Not started",IF(I24="Blocked","Blocked",IF(I24="In progress","In progress",IF(J24&lt;&gt;"Passed","Awaiting code review",IF(OR(K24="",NOT(ISNUMBER(L24))),"Awaiting review evidence",IF(N24&lt;&gt;"Passed","Awaiting test",IF(OR(M24="",O24="",NOT(ISNUMBER(P24))),"Awaiting test evidence","Complete")))))))</ns0:f>
        <ns0:v>Not started</ns0:v>
      </ns0:c>
      <ns0:c r="I24" s="10" t="inlineStr">
        <ns0:is>
          <ns0:t xml:space="preserve">Not started</ns0:t>
        </ns0:is>
      </ns0:c>
      <ns0:c r="J24" s="10" t="inlineStr">
        <ns0:is>
          <ns0:t xml:space="preserve">Not reviewed</ns0:t>
        </ns0:is>
      </ns0:c>
      <ns0:c r="K24" s="10" t="n"/>
      <ns0:c r="L24" s="30" t="n"/>
      <ns0:c r="M24" s="10" t="n"/>
      <ns0:c r="N24" s="10" t="inlineStr">
        <ns0:is>
          <ns0:t xml:space="preserve">Not tested</ns0:t>
        </ns0:is>
      </ns0:c>
      <ns0:c r="O24" s="10" t="n"/>
      <ns0:c r="P24" s="30" t="n"/>
      <ns0:c r="Q24" s="10" t="inlineStr">
        <ns0:is>
          <ns0: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4" s="10" t="inlineStr">
        <ns0:is>
          <ns0: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4" s="10" t="n"/>
    </ns0:row>
    <ns0:row r="25" ht="105" customHeight="1">
      <ns0:c r="A25" s="9" t="n">
        <ns0:v>22</ns0:v>
      </ns0:c>
      <ns0:c r="B25" s="9" t="inlineStr">
        <ns0:is>
          <ns0:t xml:space="preserve">FB-021</ns0:t>
        </ns0:is>
      </ns0:c>
      <ns0:c r="C25" s="9" t="inlineStr">
        <ns0:is>
          <ns0:t xml:space="preserve">Accounts</ns0:t>
        </ns0:is>
      </ns0:c>
      <ns0:c r="D25" s="9" t="inlineStr">
        <ns0:is>
          <ns0:t xml:space="preserve">Build and save the separate edit page</ns0:t>
        </ns0:is>
      </ns0:c>
      <ns0:c r="E25" s="9" t="inlineStr">
        <ns0:is>
          <ns0: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ns0:t>
        </ns0:is>
      </ns0:c>
      <ns0:c r="F25" s="9" t="inlineStr">
        <ns0:is>
          <ns0:t xml:space="preserve">FB-015</ns0:t>
        </ns0:is>
      </ns0:c>
      <ns0:c r="G25" s="9" t="str">
        <ns0:f>IF(H25="Complete","Complete",IF(I25="Blocked","Blocked",IF(I25="In progress","Ready",IF(F25="","Ready",IF(COUNTIFS($B$4:$B$73,F25,$H$4:$H$73,"Complete")=1,"Ready","Waiting")))))</ns0:f>
        <ns0:v>Ready</ns0:v>
      </ns0:c>
      <ns0:c r="H25" s="9" t="str">
        <ns0:f>IF(I25="Not started","Not started",IF(I25="Blocked","Blocked",IF(I25="In progress","In progress",IF(J25&lt;&gt;"Passed","Awaiting code review",IF(OR(K25="",NOT(ISNUMBER(L25))),"Awaiting review evidence",IF(N25&lt;&gt;"Passed","Awaiting test",IF(OR(M25="",O25="",NOT(ISNUMBER(P25))),"Awaiting test evidence","Complete")))))))</ns0:f>
        <ns0:v>In progress</ns0:v>
      </ns0:c>
      <ns0:c r="I25" s="11" t="inlineStr">
        <ns0:is>
          <ns0:t xml:space="preserve">In progress</ns0:t>
        </ns0:is>
      </ns0:c>
      <ns0:c r="J25" s="11" t="inlineStr">
        <ns0:is>
          <ns0:t xml:space="preserve">Changes needed</ns0:t>
        </ns0:is>
      </ns0:c>
      <ns0:c r="K25" s="11" t="inlineStr">
        <ns0:is>
          <ns0: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5" s="31" t="n">
        <ns0:v>46324</ns0:v>
      </ns0:c>
      <ns0:c r="M25" s="11" t="inlineStr">
        <ns0:is>
          <ns0:t xml:space="preserve">Assistant (delegated; browser Cancel user-assisted)</ns0:t>
        </ns0:is>
      </ns0:c>
      <ns0:c r="N25" s="11" t="inlineStr">
        <ns0:is>
          <ns0:t xml:space="preserve">Failed</ns0:t>
        </ns0:is>
      </ns0:c>
      <ns0:c r="O25" s="11" t="inlineStr">
        <ns0:is>
          <ns0: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5" s="31" t="n">
        <ns0:v>46324</ns0:v>
      </ns0:c>
      <ns0:c r="Q25" s="11" t="inlineStr">
        <ns0:is>
          <ns0: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5" s="11"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5" s="11" t="n"/>
    </ns0:row>
    <ns0:row r="26" ht="105" customHeight="1">
      <ns0:c r="A26" s="4" t="n">
        <ns0:v>23</ns0:v>
      </ns0:c>
      <ns0:c r="B26" s="4" t="inlineStr">
        <ns0:is>
          <ns0:t xml:space="preserve">FB-022</ns0:t>
        </ns0:is>
      </ns0:c>
      <ns0:c r="C26" s="4" t="inlineStr">
        <ns0:is>
          <ns0:t xml:space="preserve">Accounts</ns0:t>
        </ns0:is>
      </ns0:c>
      <ns0:c r="D26" s="4" t="inlineStr">
        <ns0:is>
          <ns0:t xml:space="preserve">Deactivate and reactivate accounts</ns0:t>
        </ns0:is>
      </ns0:c>
      <ns0:c r="E26" s="4" t="inlineStr">
        <ns0:is>
          <ns0: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ns0:t>
        </ns0:is>
      </ns0:c>
      <ns0:c r="F26" s="4" t="inlineStr">
        <ns0:is>
          <ns0:t xml:space="preserve">FB-021</ns0:t>
        </ns0:is>
      </ns0:c>
      <ns0:c r="G26" s="4" t="str">
        <ns0:f>IF(H26="Complete","Complete",IF(I26="Blocked","Blocked",IF(I26="In progress","Ready",IF(F26="","Ready",IF(COUNTIFS($B$4:$B$73,F26,$H$4:$H$73,"Complete")=1,"Ready","Waiting")))))</ns0:f>
        <ns0:v>Ready</ns0:v>
      </ns0:c>
      <ns0:c r="H26" s="4" t="str">
        <ns0:f>IF(I26="Not started","Not started",IF(I26="Blocked","Blocked",IF(I26="In progress","In progress",IF(J26&lt;&gt;"Passed","Awaiting code review",IF(OR(K26="",NOT(ISNUMBER(L26))),"Awaiting review evidence",IF(N26&lt;&gt;"Passed","Awaiting test",IF(OR(M26="",O26="",NOT(ISNUMBER(P26))),"Awaiting test evidence","Complete")))))))</ns0:f>
        <ns0:v>In progress</ns0:v>
      </ns0:c>
      <ns0:c r="I26" s="10" t="inlineStr">
        <ns0:is>
          <ns0:t xml:space="preserve">In progress</ns0:t>
        </ns0:is>
      </ns0:c>
      <ns0:c r="J26" s="10" t="inlineStr">
        <ns0:is>
          <ns0:t xml:space="preserve">Not reviewed</ns0:t>
        </ns0:is>
      </ns0:c>
      <ns0:c r="K26" s="10" t="inlineStr">
        <ns0:is>
          <ns0: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6" s="30" t="n"/>
      <ns0:c r="M26" s="10" t="inlineStr">
        <ns0:is>
          <ns0:t xml:space="preserve">Assistant (explicit narrow test delegation)</ns0:t>
        </ns0:is>
      </ns0:c>
      <ns0:c r="N26" s="10" t="inlineStr">
        <ns0:is>
          <ns0:t xml:space="preserve">Partial</ns0:t>
        </ns0:is>
      </ns0:c>
      <ns0:c r="O26" s="10" t="inlineStr">
        <ns0:is>
          <ns0: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6" s="30" t="n">
        <ns0:v>46324</ns0:v>
      </ns0:c>
      <ns0:c r="Q26" s="10" t="inlineStr">
        <ns0:is>
          <ns0: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ns0:t>
        </ns0:is>
      </ns0:c>
      <ns0:c r="R26" s="10" t="inlineStr">
        <ns0:is>
          <ns0: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ns0:t>
        </ns0:is>
      </ns0:c>
      <ns0:c r="S26" s="10" t="n"/>
    </ns0:row>
    <ns0:row r="27" ht="105" customHeight="1">
      <ns0:c r="A27" s="9" t="n">
        <ns0:v>24</ns0:v>
      </ns0:c>
      <ns0:c r="B27" s="9" t="inlineStr">
        <ns0:is>
          <ns0:t xml:space="preserve">FB-023</ns0:t>
        </ns0:is>
      </ns0:c>
      <ns0:c r="C27" s="9" t="inlineStr">
        <ns0:is>
          <ns0:t xml:space="preserve">Accounts</ns0:t>
        </ns0:is>
      </ns0:c>
      <ns0:c r="D27" s="9" t="inlineStr">
        <ns0:is>
          <ns0:t xml:space="preserve">Reset manager and volunteer passwords</ns0:t>
        </ns0:is>
      </ns0:c>
      <ns0:c r="E27" s="9" t="inlineStr">
        <ns0:is>
          <ns0:t xml:space="preserve">Confirm reset; managers reset volunteers, Super Admin resets both roles. Set common password, invalidate old password/all sessions, require setup. Preserve Active/Inactive status. Check form/action permissions and next-login cycle.</ns0:t>
        </ns0:is>
      </ns0:c>
      <ns0:c r="F27" s="9" t="inlineStr">
        <ns0:is>
          <ns0:t xml:space="preserve">FB-008</ns0:t>
        </ns0:is>
      </ns0:c>
      <ns0:c r="G27" s="9" t="str">
        <ns0:f>IF(H27="Complete","Complete",IF(I27="Blocked","Blocked",IF(I27="In progress","Ready",IF(F27="","Ready",IF(COUNTIFS($B$4:$B$73,F27,$H$4:$H$73,"Complete")=1,"Ready","Waiting")))))</ns0:f>
        <ns0:v>Waiting</ns0:v>
      </ns0:c>
      <ns0:c r="H27" s="9" t="str">
        <ns0:f>IF(I27="Not started","Not started",IF(I27="Blocked","Blocked",IF(I27="In progress","In progress",IF(J27&lt;&gt;"Passed","Awaiting code review",IF(OR(K27="",NOT(ISNUMBER(L27))),"Awaiting review evidence",IF(N27&lt;&gt;"Passed","Awaiting test",IF(OR(M27="",O27="",NOT(ISNUMBER(P27))),"Awaiting test evidence","Complete")))))))</ns0:f>
        <ns0:v>Not started</ns0:v>
      </ns0:c>
      <ns0:c r="I27" s="11" t="inlineStr">
        <ns0:is>
          <ns0:t xml:space="preserve">Not started</ns0:t>
        </ns0:is>
      </ns0:c>
      <ns0:c r="J27" s="11" t="inlineStr">
        <ns0:is>
          <ns0:t xml:space="preserve">Not reviewed</ns0:t>
        </ns0:is>
      </ns0:c>
      <ns0:c r="K27" s="11" t="n"/>
      <ns0:c r="L27" s="31" t="n"/>
      <ns0:c r="M27" s="11" t="n"/>
      <ns0:c r="N27" s="11" t="inlineStr">
        <ns0:is>
          <ns0:t xml:space="preserve">Not tested</ns0:t>
        </ns0:is>
      </ns0:c>
      <ns0:c r="O27" s="11" t="n"/>
      <ns0:c r="P27" s="31" t="n"/>
      <ns0:c r="Q27" s="11" t="inlineStr">
        <ns0:is>
          <ns0: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7" s="11" t="inlineStr">
        <ns0:is>
          <ns0: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7" s="11" t="n"/>
    </ns0:row>
    <ns0:row r="28" ht="105" customHeight="1">
      <ns0:c r="A28" s="4" t="n">
        <ns0:v>25</ns0:v>
      </ns0:c>
      <ns0:c r="B28" s="4" t="inlineStr">
        <ns0:is>
          <ns0:t xml:space="preserve">FB-025</ns0:t>
        </ns0:is>
      </ns0:c>
      <ns0:c r="C28" s="4" t="inlineStr">
        <ns0:is>
          <ns0:t xml:space="preserve">Accounts</ns0:t>
        </ns0:is>
      </ns0:c>
      <ns0:c r="D28" s="4" t="inlineStr">
        <ns0:is>
          <ns0:t xml:space="preserve">Verify the complete account journey</ns0:t>
        </ns0:is>
      </ns0:c>
      <ns0:c r="E28" s="4" t="inlineStr">
        <ns0:is>
          <ns0:t xml:space="preserve">Developer first tests all three roles, creation/edit/details, search/filter/pagination, inactive sessions and password flows; record automated/direct-request checks as applicable. Review code and retain evidence, not assumptions.</ns0:t>
        </ns0:is>
      </ns0:c>
      <ns0:c r="F28" s="4" t="inlineStr">
        <ns0:is>
          <ns0:t xml:space="preserve">FB-022</ns0:t>
        </ns0:is>
      </ns0:c>
      <ns0:c r="G28" s="4" t="str">
        <ns0:f>IF(H28="Complete","Complete",IF(I28="Blocked","Blocked",IF(I28="In progress","Ready",IF(F28="","Ready",IF(COUNTIFS($B$4:$B$73,F28,$H$4:$H$73,"Complete")=1,"Ready","Waiting")))))</ns0:f>
        <ns0:v>Ready</ns0:v>
      </ns0:c>
      <ns0:c r="H28" s="4" t="str">
        <ns0:f>IF(I28="Not started","Not started",IF(I28="Blocked","Blocked",IF(I28="In progress","In progress",IF(J28&lt;&gt;"Passed","Awaiting code review",IF(OR(K28="",NOT(ISNUMBER(L28))),"Awaiting review evidence",IF(N28&lt;&gt;"Passed","Awaiting test",IF(OR(M28="",O28="",NOT(ISNUMBER(P28))),"Awaiting test evidence","Complete")))))))</ns0:f>
        <ns0:v>In progress</ns0:v>
      </ns0:c>
      <ns0:c r="I28" s="10" t="inlineStr">
        <ns0:is>
          <ns0:t xml:space="preserve">In progress</ns0:t>
        </ns0:is>
      </ns0:c>
      <ns0:c r="J28" s="10" t="inlineStr">
        <ns0:is>
          <ns0:t xml:space="preserve">Changes needed</ns0:t>
        </ns0:is>
      </ns0:c>
      <ns0:c r="K28" s="10" t="str">
        <ns0: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8" s="30" t="n">
        <ns0:v>46324</ns0:v>
      </ns0:c>
      <ns0:c r="M28" s="10" t="inlineStr">
        <ns0:is>
          <ns0:t xml:space="preserve">Assistant (delegated; browser Cancel user-assisted)</ns0:t>
        </ns0:is>
      </ns0:c>
      <ns0:c r="N28" s="10" t="inlineStr">
        <ns0:is>
          <ns0:t xml:space="preserve">Failed</ns0:t>
        </ns0:is>
      </ns0:c>
      <ns0:c r="O28" s="10" t="inlineStr">
        <ns0:is>
          <ns0: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8" s="30" t="n">
        <ns0:v>46324</ns0:v>
      </ns0:c>
      <ns0:c r="Q28" s="10" t="inlineStr">
        <ns0:is>
          <ns0: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8" s="10"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8" s="10" t="n"/>
    </ns0:row>
    <ns0:row r="29" ht="105" customHeight="1">
      <ns0:c r="A29" s="9" t="n">
        <ns0:v>26</ns0:v>
      </ns0:c>
      <ns0:c r="B29" s="9" t="inlineStr">
        <ns0:is>
          <ns0:t xml:space="preserve">FB-026</ns0:t>
        </ns0:is>
      </ns0:c>
      <ns0:c r="C29" s="9" t="inlineStr">
        <ns0:is>
          <ns0:t xml:space="preserve">Departments</ns0:t>
        </ns0:is>
      </ns0:c>
      <ns0:c r="D29" s="9" t="inlineStr">
        <ns0:is>
          <ns0:t xml:space="preserve">Build Department storage and complete creation</ns0:t>
        </ns0:is>
      </ns0:c>
      <ns0:c r="E29" s="9" t="inlineStr">
        <ns0:is>
          <ns0: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ns0:t>
        </ns0:is>
      </ns0:c>
      <ns0:c r="F29" s="9" t="inlineStr">
        <ns0:is>
          <ns0:t xml:space="preserve">FB-025</ns0:t>
        </ns0:is>
      </ns0:c>
      <ns0:c r="G29" s="9" t="str">
        <ns0:f>IF(H29="Complete","Complete",IF(I29="Blocked","Blocked",IF(I29="In progress","Ready",IF(F29="","Ready",IF(COUNTIFS($B$4:$B$73,F29,$H$4:$H$73,"Complete")=1,"Ready","Waiting")))))</ns0:f>
        <ns0:v>Complete</ns0:v>
      </ns0:c>
      <ns0:c r="H29" s="9" t="str">
        <ns0:f>IF(I29="Not started","Not started",IF(I29="Blocked","Blocked",IF(I29="In progress","In progress",IF(J29&lt;&gt;"Passed","Awaiting code review",IF(OR(K29="",NOT(ISNUMBER(L29))),"Awaiting review evidence",IF(N29&lt;&gt;"Passed","Awaiting test",IF(OR(M29="",O29="",NOT(ISNUMBER(P29))),"Awaiting test evidence","Complete")))))))</ns0:f>
        <ns0:v>Complete</ns0:v>
      </ns0:c>
      <ns0:c r="I29" s="11" t="inlineStr">
        <ns0:is>
          <ns0:t xml:space="preserve">Ready for review</ns0:t>
        </ns0:is>
      </ns0:c>
      <ns0:c r="J29" s="11" t="inlineStr">
        <ns0:is>
          <ns0:t xml:space="preserve">Passed</ns0:t>
        </ns0:is>
      </ns0:c>
      <ns0:c r="K29" s="11" t="str">
        <ns0: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9" s="31" t="n">
        <ns0:v>46324</ns0:v>
      </ns0:c>
      <ns0:c r="M29" s="11" t="inlineStr">
        <ns0:is>
          <ns0:t xml:space="preserve">Developer</ns0:t>
        </ns0:is>
      </ns0:c>
      <ns0:c r="N29" s="11" t="inlineStr">
        <ns0:is>
          <ns0:t xml:space="preserve">Passed</ns0:t>
        </ns0:is>
      </ns0:c>
      <ns0:c r="O29" s="11" t="inlineStr">
        <ns0:is>
          <ns0: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ns0:t>
        </ns0:is>
      </ns0:c>
      <ns0:c r="P29" s="31" t="n">
        <ns0:v>46324</ns0:v>
      </ns0:c>
      <ns0:c r="Q29" s="11" t="inlineStr">
        <ns0:is>
          <ns0:t xml:space="preserve">2026-10-29 creation complete based on passed source review and overall developer-reported creation testing. No assistant application testing. Seeder added under explicit permission and developer ran successfully.</ns0:t>
        </ns0:is>
      </ns0:c>
      <ns0:c r="R29" s="11" t="inlineStr">
        <ns0:is>
          <ns0:t xml:space="preserve">Before starting/resuming this item or feature: reread AGENTS.md from disk; apply teaching/testing rules. FB-026 complete; continue FB-027 Department list then rename.</ns0:t>
        </ns0:is>
      </ns0:c>
      <ns0:c r="S29" s="11" t="n"/>
    </ns0:row>
    <ns0:row r="30" ht="105" customHeight="1">
      <ns0:c r="A30" s="4" t="n">
        <ns0:v>27</ns0:v>
      </ns0:c>
      <ns0:c r="B30" s="4" t="inlineStr">
        <ns0:is>
          <ns0:t xml:space="preserve">FB-027</ns0:t>
        </ns0:is>
      </ns0:c>
      <ns0:c r="C30" s="4" t="inlineStr">
        <ns0:is>
          <ns0:t xml:space="preserve">Departments</ns0:t>
        </ns0:is>
      </ns0:c>
      <ns0:c r="D30" s="4" t="inlineStr">
        <ns0:is>
          <ns0:t xml:space="preserve">Display Department list, then rename departments</ns0:t>
        </ns0:is>
      </ns0:c>
      <ns0:c r="E30" s="4" t="inlineStr">
        <ns0:is>
          <ns0: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ns0:t>
        </ns0:is>
      </ns0:c>
      <ns0:c r="F30" s="4" t="inlineStr">
        <ns0:is>
          <ns0:t xml:space="preserve">FB-026</ns0:t>
        </ns0:is>
      </ns0:c>
      <ns0:c r="G30" s="4" t="str">
        <ns0:f>IF(H30="Complete","Complete",IF(I30="Blocked","Blocked",IF(I30="In progress","Ready",IF(F30="","Ready",IF(COUNTIFS($B$4:$B$73,F30,$H$4:$H$73,"Complete")=1,"Ready","Waiting")))))</ns0:f>
        <ns0:v>Complete</ns0:v>
      </ns0:c>
      <ns0:c r="H30" s="4" t="str">
        <ns0:f>IF(I30="Not started","Not started",IF(I30="Blocked","Blocked",IF(I30="In progress","In progress",IF(J30&lt;&gt;"Passed","Awaiting code review",IF(OR(K30="",NOT(ISNUMBER(L30))),"Awaiting review evidence",IF(N30&lt;&gt;"Passed","Awaiting test",IF(OR(M30="",O30="",NOT(ISNUMBER(P30))),"Awaiting test evidence","Complete")))))))</ns0:f>
        <ns0:v>Complete</ns0:v>
      </ns0:c>
      <ns0:c r="I30" s="10" t="inlineStr">
        <ns0:is>
          <ns0:t xml:space="preserve">Ready for review</ns0:t>
        </ns0:is>
      </ns0:c>
      <ns0:c r="J30" s="10" t="inlineStr">
        <ns0:is>
          <ns0:t xml:space="preserve">Passed</ns0:t>
        </ns0:is>
      </ns0:c>
      <ns0:c r="K30" s="10" t="str">
        <ns0: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0" s="30" t="n">
        <ns0:v>46324</ns0:v>
      </ns0:c>
      <ns0:c r="M30" s="10" t="inlineStr">
        <ns0:is>
          <ns0:t xml:space="preserve">Developer</ns0:t>
        </ns0:is>
      </ns0:c>
      <ns0:c r="N30" s="10" t="inlineStr">
        <ns0:is>
          <ns0:t xml:space="preserve">Passed</ns0:t>
        </ns0:is>
      </ns0:c>
      <ns0:c r="O30" s="10" t="inlineStr">
        <ns0:is>
          <ns0: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ns0:t>
        </ns0:is>
      </ns0:c>
      <ns0:c r="P30" s="30" t="n">
        <ns0:v>46324</ns0:v>
      </ns0:c>
      <ns0:c r="Q30" s="10" t="inlineStr">
        <ns0:is>
          <ns0: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ns0:t>
        </ns0:is>
      </ns0:c>
      <ns0:c r="R30" s="10" t="inlineStr">
        <ns0:is>
          <ns0:t xml:space="preserve">Before starting/resuming this item or feature: reread AGENTS.md from disk; apply teaching/testing rules. Developer checks full-width Department edit input and right-aligned buttons on wide and narrow screens; record result, then resume FB-028.</ns0:t>
        </ns0:is>
      </ns0:c>
      <ns0:c r="S30" s="10" t="n"/>
    </ns0:row>
    <ns0:row r="31" ht="105" customHeight="1">
      <ns0:c r="A31" s="9" t="n">
        <ns0:v>28</ns0:v>
      </ns0:c>
      <ns0:c r="B31" s="9" t="inlineStr">
        <ns0:is>
          <ns0:t xml:space="preserve">FB-028</ns0:t>
        </ns0:is>
      </ns0:c>
      <ns0:c r="C31" s="9" t="inlineStr">
        <ns0:is>
          <ns0:t xml:space="preserve">Categories</ns0:t>
        </ns0:is>
      </ns0:c>
      <ns0:c r="D31" s="9" t="inlineStr">
        <ns0:is>
          <ns0:t xml:space="preserve">Build and verify Category within Department</ns0:t>
        </ns0:is>
      </ns0:c>
      <ns0:c r="E31" s="9" t="inlineStr">
        <ns0:is>
          <ns0: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ns0:t>
        </ns0:is>
      </ns0:c>
      <ns0:c r="F31" s="9" t="inlineStr">
        <ns0:is>
          <ns0:t xml:space="preserve">FB-027</ns0:t>
        </ns0:is>
      </ns0:c>
      <ns0:c r="G31" s="9" t="str">
        <ns0:f>IF(H31="Complete","Complete",IF(I31="Blocked","Blocked",IF(I31="In progress","Ready",IF(F31="","Ready",IF(COUNTIFS($B$4:$B$73,F31,$H$4:$H$73,"Complete")=1,"Ready","Waiting")))))</ns0:f>
        <ns0:v>Complete</ns0:v>
      </ns0:c>
      <ns0:c r="H31" s="9" t="str">
        <ns0:f>IF(I31="Not started","Not started",IF(I31="Blocked","Blocked",IF(I31="In progress","In progress",IF(J31&lt;&gt;"Passed","Awaiting code review",IF(OR(K31="",NOT(ISNUMBER(L31))),"Awaiting review evidence",IF(N31&lt;&gt;"Passed","Awaiting test",IF(OR(M31="",O31="",NOT(ISNUMBER(P31))),"Awaiting test evidence","Complete")))))))</ns0:f>
        <ns0:v>Complete</ns0:v>
      </ns0:c>
      <ns0:c r="I31" s="11" t="inlineStr">
        <ns0:is>
          <ns0:t xml:space="preserve">Ready for review</ns0:t>
        </ns0:is>
      </ns0:c>
      <ns0:c r="J31" s="11" t="inlineStr">
        <ns0:is>
          <ns0:t xml:space="preserve">Passed</ns0:t>
        </ns0:is>
      </ns0:c>
      <ns0:c r="K31" s="11" t="str">
        <ns0: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1" s="31" t="n">
        <ns0:v>46324</ns0:v>
      </ns0:c>
      <ns0:c r="M31" s="11" t="inlineStr">
        <ns0:is>
          <ns0:t xml:space="preserve">Developer (create/list); Assistant (delegated edit tests and browser)</ns0:t>
        </ns0:is>
      </ns0:c>
      <ns0:c r="N31" s="11" t="inlineStr">
        <ns0:is>
          <ns0:t xml:space="preserve">Passed</ns0:t>
        </ns0:is>
      </ns0:c>
      <ns0:c r="O31" s="11" t="inlineStr">
        <ns0:is>
          <ns0: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ns0:t>
        </ns0:is>
      </ns0:c>
      <ns0:c r="P31" s="31" t="n">
        <ns0:v>46324</ns0:v>
      </ns0:c>
      <ns0:c r="Q31" s="11" t="inlineStr">
        <ns0:is>
          <ns0: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ns0:t>
        </ns0:is>
      </ns0:c>
      <ns0:c r="R31" s="11" t="inlineStr">
        <ns0:is>
          <ns0: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ns0:t>
        </ns0:is>
      </ns0:c>
      <ns0:c r="S31" s="11" t="n"/>
    </ns0:row>
    <ns0:row r="32" ht="105" customHeight="1">
      <ns0:c r="A32" s="4" t="n">
        <ns0:v>29</ns0:v>
      </ns0:c>
      <ns0:c r="B32" s="4" t="inlineStr">
        <ns0:is>
          <ns0:t xml:space="preserve">FB-029</ns0:t>
        </ns0:is>
      </ns0:c>
      <ns0:c r="C32" s="4" t="inlineStr">
        <ns0:is>
          <ns0:t xml:space="preserve">Subcategories</ns0:t>
        </ns0:is>
      </ns0:c>
      <ns0:c r="D32" s="4" t="inlineStr">
        <ns0:is>
          <ns0:t xml:space="preserve">Build Subcategory storage, complete creation, then list</ns0:t>
        </ns0:is>
      </ns0:c>
      <ns0:c r="E32" s="4" t="inlineStr">
        <ns0:is>
          <ns0: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ns0:t>
        </ns0:is>
      </ns0:c>
      <ns0:c r="F32" s="4" t="inlineStr">
        <ns0:is>
          <ns0:t xml:space="preserve">FB-028</ns0:t>
        </ns0:is>
      </ns0:c>
      <ns0:c r="G32" s="4" t="str">
        <ns0:f>IF(H32="Complete","Complete",IF(I32="Blocked","Blocked",IF(I32="In progress","Ready",IF(F32="","Ready",IF(COUNTIFS($B$4:$B$73,F32,$H$4:$H$73,"Complete")=1,"Ready","Waiting")))))</ns0:f>
        <ns0:v>Complete</ns0:v>
      </ns0:c>
      <ns0:c r="H32" s="4" t="str">
        <ns0:f>IF(I32="Not started","Not started",IF(I32="Blocked","Blocked",IF(I32="In progress","In progress",IF(J32&lt;&gt;"Passed","Awaiting code review",IF(OR(K32="",NOT(ISNUMBER(L32))),"Awaiting review evidence",IF(N32&lt;&gt;"Passed","Awaiting test",IF(OR(M32="",O32="",NOT(ISNUMBER(P32))),"Awaiting test evidence","Complete")))))))</ns0:f>
        <ns0:v>Complete</ns0:v>
      </ns0:c>
      <ns0:c r="I32" s="10" t="str">
        <ns0:v>Ready for review</ns0:v>
      </ns0:c>
      <ns0:c r="J32" s="10" t="str">
        <ns0:v>Passed</ns0:v>
      </ns0:c>
      <ns0:c r="K32" s="10" t="str">
        <ns0: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2" s="30" t="n">
        <ns0:v>46325</ns0:v>
      </ns0:c>
      <ns0:c r="M32" s="10" t="str">
        <ns0:v>Assistant (explicitly delegated browser and earlier automated checks)</ns0:v>
      </ns0:c>
      <ns0:c r="N32" s="10" t="str">
        <ns0:v>Passed</ns0:v>
      </ns0:c>
      <ns0:c r="O32" s="10" t="str">
        <ns0: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P32" s="30" t="n">
        <ns0:v>46325</ns0:v>
      </ns0:c>
      <ns0:c r="Q32" s="10" t="str">
        <ns0:v>2026-10-30 completed-feature review consolidated; code review and recorded behaviour checks pass. Subcategory module verified; proceed to Tags FB-031.</ns0:v>
      </ns0:c>
      <ns0:c r="R32" s="10" t="str">
        <ns0:v>Before starting/resuming this item or feature: reread AGENTS.md from disk; apply teaching/testing rules. Completed; continue Tags FB-031.</ns0:v>
      </ns0:c>
      <ns0:c r="S32" s="10" t="n"/>
    </ns0:row>
    <ns0:row r="33" ht="105" customHeight="1">
      <ns0:c r="A33" s="9" t="n">
        <ns0:v>30</ns0:v>
      </ns0:c>
      <ns0:c r="B33" s="9" t="inlineStr">
        <ns0:is>
          <ns0:t xml:space="preserve">FB-030</ns0:t>
        </ns0:is>
      </ns0:c>
      <ns0:c r="C33" s="9" t="inlineStr">
        <ns0:is>
          <ns0:t xml:space="preserve">Subcategories</ns0:t>
        </ns0:is>
      </ns0:c>
      <ns0:c r="D33" s="9" t="inlineStr">
        <ns0:is>
          <ns0:t xml:space="preserve">Rename and move subcategories; verify catalogue permissions</ns0:t>
        </ns0:is>
      </ns0:c>
      <ns0:c r="E33" s="9" t="inlineStr">
        <ns0:is>
          <ns0: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ns0:t>
        </ns0:is>
      </ns0:c>
      <ns0:c r="F33" s="9" t="inlineStr">
        <ns0:is>
          <ns0:t xml:space="preserve">FB-029</ns0:t>
        </ns0:is>
      </ns0:c>
      <ns0:c r="G33" s="9" t="str">
        <ns0:f>IF(H33="Complete","Complete",IF(I33="Blocked","Blocked",IF(I33="In progress","Ready",IF(F33="","Ready",IF(COUNTIFS($B$4:$B$73,F33,$H$4:$H$73,"Complete")=1,"Ready","Waiting")))))</ns0:f>
        <ns0:v>Complete</ns0:v>
      </ns0:c>
      <ns0:c r="H33" s="9" t="str">
        <ns0:f>IF(I33="Not started","Not started",IF(I33="Blocked","Blocked",IF(I33="In progress","In progress",IF(J33&lt;&gt;"Passed","Awaiting code review",IF(OR(K33="",NOT(ISNUMBER(L33))),"Awaiting review evidence",IF(N33&lt;&gt;"Passed","Awaiting test",IF(OR(M33="",O33="",NOT(ISNUMBER(P33))),"Awaiting test evidence","Complete")))))))</ns0:f>
        <ns0:v>Complete</ns0:v>
      </ns0:c>
      <ns0:c r="I33" s="11" t="str">
        <ns0:v>Ready for review</ns0:v>
      </ns0:c>
      <ns0:c r="J33" s="11" t="str">
        <ns0:v>Passed</ns0:v>
      </ns0:c>
      <ns0:c r="K33" s="11" t="str">
        <ns0: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33" s="31" t="n">
        <ns0:v>46325</ns0:v>
      </ns0:c>
      <ns0:c r="M33" s="11" t="str">
        <ns0:v>Assistant (explicitly delegated browser and earlier automated checks)</ns0:v>
      </ns0:c>
      <ns0:c r="N33" s="11" t="str">
        <ns0:v>Passed</ns0:v>
      </ns0:c>
      <ns0:c r="O33" s="11" t="str">
        <ns0: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P33" s="31" t="n">
        <ns0:v>46325</ns0:v>
      </ns0:c>
      <ns0:c r="Q33" s="11" t="str">
        <ns0:v>2026-10-30 completed-feature review consolidated; code review and recorded behaviour checks pass. Subcategory module verified; proceed to Tags FB-031.</ns0:v>
      </ns0:c>
      <ns0:c r="R33" s="11" t="str">
        <ns0:v>Before starting/resuming this item or feature: reread AGENTS.md from disk; apply teaching/testing rules. Completed; continue Tags FB-031.</ns0:v>
      </ns0:c>
      <ns0:c r="S33" s="11" t="n"/>
    </ns0:row>
    <ns0:row r="34" ht="105" customHeight="1">
      <ns0:c r="A34" s="4" t="n">
        <ns0:v>31</ns0:v>
      </ns0:c>
      <ns0:c r="B34" s="4" t="inlineStr">
        <ns0:is>
          <ns0:t xml:space="preserve">FB-031</ns0:t>
        </ns0:is>
      </ns0:c>
      <ns0:c r="C34" s="4" t="inlineStr">
        <ns0:is>
          <ns0:t xml:space="preserve">Tags</ns0:t>
        </ns0:is>
      </ns0:c>
      <ns0:c r="D34" s="4" t="inlineStr">
        <ns0:is>
          <ns0:t xml:space="preserve">Create shared tags, then list and rename them</ns0:t>
        </ns0:is>
      </ns0:c>
      <ns0:c r="E34" s="4" t="inlineStr">
        <ns0:is>
          <ns0: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ns0:t>
        </ns0:is>
      </ns0:c>
      <ns0:c r="F34" s="4" t="inlineStr">
        <ns0:is>
          <ns0:t xml:space="preserve">FB-030</ns0:t>
        </ns0:is>
      </ns0:c>
      <ns0:c r="G34" s="4" t="str">
        <ns0:f>IF(H34="Complete","Complete",IF(I34="Blocked","Blocked",IF(I34="In progress","Ready",IF(F34="","Ready",IF(COUNTIFS($B$4:$B$73,F34,$H$4:$H$73,"Complete")=1,"Ready","Waiting")))))</ns0:f>
        <ns0:v>Complete</ns0:v>
      </ns0:c>
      <ns0:c r="H34" s="4" t="str">
        <ns0:f>IF(I34="Not started","Not started",IF(I34="Blocked","Blocked",IF(I34="In progress","In progress",IF(J34&lt;&gt;"Passed","Awaiting code review",IF(OR(K34="",NOT(ISNUMBER(L34))),"Awaiting review evidence",IF(N34&lt;&gt;"Passed","Awaiting test",IF(OR(M34="",O34="",NOT(ISNUMBER(P34))),"Awaiting test evidence","Complete")))))))</ns0:f>
        <ns0:v>Complete</ns0:v>
      </ns0:c>
      <ns0:c r="I34" s="10" t="str">
        <ns0:v>Ready for review</ns0:v>
      </ns0:c>
      <ns0:c r="J34" s="10" t="str">
        <ns0:v>Passed</ns0:v>
      </ns0:c>
      <ns0:c r="K34" s="10" t="str">
        <ns0: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ns0:v>
      </ns0:c>
      <ns0:c r="L34" s="30" t="n">
        <ns0:v>46325</ns0:v>
      </ns0:c>
      <ns0:c r="M34" s="10" t="str">
        <ns0:v>Assistant (explicitly delegated automated, MySQL and browser checks)</ns0:v>
      </ns0:c>
      <ns0:c r="N34" s="10" t="str">
        <ns0:v>Passed</ns0:v>
      </ns0:c>
      <ns0:c r="O34" s="10" t="str">
        <ns0: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ns0:v>
      </ns0:c>
      <ns0:c r="P34" s="30" t="n">
        <ns0:v>46325</ns0:v>
      </ns0:c>
      <ns0:c r="Q34" s="10" t="str">
        <ns0:v>2026-10-30 FB-031 complete: implemented/reviewed/tested tag creation, paginated search list and rename. Product-related tag work remains at FB-037/048.</ns0:v>
      </ns0:c>
      <ns0:c r="R34" s="10" t="str">
        <ns0:v>Before starting/resuming this item or feature: reread AGENTS.md from disk; apply teaching/testing rules. Verified complete. Next ready module Products FB-032; resume developer-written small lessons unless explicitly delegated.</ns0:v>
      </ns0:c>
      <ns0:c r="S34" s="10" t="str"/>
    </ns0:row>
    <ns0:row r="35" ht="105" customHeight="1">
      <ns0:c r="A35" s="9" t="n">
        <ns0:v>32</ns0:v>
      </ns0:c>
      <ns0:c r="B35" s="9" t="inlineStr">
        <ns0:is>
          <ns0:t xml:space="preserve">FB-032</ns0:t>
        </ns0:is>
      </ns0:c>
      <ns0:c r="C35" s="9" t="inlineStr">
        <ns0:is>
          <ns0:t xml:space="preserve">Products</ns0:t>
        </ns0:is>
      </ns0:c>
      <ns0:c r="D35" s="9" t="inlineStr">
        <ns0:is>
          <ns0:t xml:space="preserve">Introduce Product storage and its hierarchy form</ns0:t>
        </ns0:is>
      </ns0:c>
      <ns0:c r="E35" s="9" t="str">
        <ns0:v>Product belongs to Subcategory. Required name/hierarchy/status; optional brand/tags. Build without product codes; retain internal database id. No sizes, packaging, counting/contents units, balances or quantities. Introduce tag persistence at FB-037. Reconsider codes after FB-067 at FB-035.</ns0:v>
      </ns0:c>
      <ns0:c r="F35" s="9" t="inlineStr">
        <ns0:is>
          <ns0:t xml:space="preserve">FB-031</ns0:t>
        </ns0:is>
      </ns0:c>
      <ns0:c r="G35" s="9" t="str">
        <ns0:f>IF(H35="Complete","Complete",IF(I35="Blocked","Blocked",IF(I35="In progress","Ready",IF(F35="","Ready",IF(COUNTIFS($B$4:$B$73,F35,$H$4:$H$73,"Complete")=1,"Ready","Waiting")))))</ns0:f>
        <ns0:v>Complete</ns0:v>
      </ns0:c>
      <ns0:c r="H35" s="9" t="str">
        <ns0:f>IF(I35="Not started","Not started",IF(I35="Blocked","Blocked",IF(I35="In progress","In progress",IF(J35&lt;&gt;"Passed","Awaiting code review",IF(OR(K35="",NOT(ISNUMBER(L35))),"Awaiting review evidence",IF(N35&lt;&gt;"Passed","Awaiting test",IF(OR(M35="",O35="",NOT(ISNUMBER(P35))),"Awaiting test evidence","Complete")))))))</ns0:f>
        <ns0:v>Complete</ns0:v>
      </ns0:c>
      <ns0:c r="I35" s="11" t="str">
        <ns0:v>Ready for review</ns0:v>
      </ns0:c>
      <ns0:c r="J35" s="11" t="str">
        <ns0:v>Passed</ns0:v>
      </ns0:c>
      <ns0:c r="K35"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5" s="31" t="n">
        <ns0:v>46325</ns0:v>
      </ns0:c>
      <ns0:c r="M35" s="11" t="str">
        <ns0:v>Assistant (explicitly delegated automated, MySQL and browser checks)</ns0:v>
      </ns0:c>
      <ns0:c r="N35" s="11" t="str">
        <ns0:v>Passed</ns0:v>
      </ns0:c>
      <ns0:c r="O35" s="11" t="str">
        <ns0: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5" s="31" t="n">
        <ns0:v>46325</ns0:v>
      </ns0:c>
      <ns0:c r="Q35" s="11" t="str">
        <ns0:v>2026-10-30 Product creation feature implemented/reviewed/tested; this item verified. Product list next; no product code/stock features implemented.</ns0:v>
      </ns0:c>
      <ns0:c r="R35" s="11"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5" s="11" t="str"/>
    </ns0:row>
    <ns0:row r="36" ht="105" customHeight="1">
      <ns0:c r="A36" s="4" t="n">
        <ns0:v>33</ns0:v>
      </ns0:c>
      <ns0:c r="B36" s="4" t="inlineStr">
        <ns0:is>
          <ns0:t xml:space="preserve">FB-033</ns0:t>
        </ns0:is>
      </ns0:c>
      <ns0:c r="C36" s="4" t="inlineStr">
        <ns0:is>
          <ns0:t xml:space="preserve">Products</ns0:t>
        </ns0:is>
      </ns0:c>
      <ns0:c r="D36" s="4" t="inlineStr">
        <ns0:is>
          <ns0:t xml:space="preserve">Lay out the product form and bind its inputs</ns0:t>
        </ns0:is>
      </ns0:c>
      <ns0:c r="E36" s="4" t="inlineStr">
        <ns0:is>
          <ns0:t xml:space="preserve">Teach responsive layout and temporary state for catalogue identity fields only. No package preview or stock values.</ns0:t>
        </ns0:is>
      </ns0:c>
      <ns0:c r="F36" s="4" t="inlineStr">
        <ns0:is>
          <ns0:t xml:space="preserve">FB-032</ns0:t>
        </ns0:is>
      </ns0:c>
      <ns0:c r="G36" s="4" t="str">
        <ns0:f>IF(H36="Complete","Complete",IF(I36="Blocked","Blocked",IF(I36="In progress","Ready",IF(F36="","Ready",IF(COUNTIFS($B$4:$B$73,F36,$H$4:$H$73,"Complete")=1,"Ready","Waiting")))))</ns0:f>
        <ns0:v>Complete</ns0:v>
      </ns0:c>
      <ns0:c r="H36" s="4" t="str">
        <ns0:f>IF(I36="Not started","Not started",IF(I36="Blocked","Blocked",IF(I36="In progress","In progress",IF(J36&lt;&gt;"Passed","Awaiting code review",IF(OR(K36="",NOT(ISNUMBER(L36))),"Awaiting review evidence",IF(N36&lt;&gt;"Passed","Awaiting test",IF(OR(M36="",O36="",NOT(ISNUMBER(P36))),"Awaiting test evidence","Complete")))))))</ns0:f>
        <ns0:v>Complete</ns0:v>
      </ns0:c>
      <ns0:c r="I36" s="10" t="str">
        <ns0:v>Ready for review</ns0:v>
      </ns0:c>
      <ns0:c r="J36" s="10" t="str">
        <ns0:v>Passed</ns0:v>
      </ns0:c>
      <ns0:c r="K36"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6" s="30" t="n">
        <ns0:v>46325</ns0:v>
      </ns0:c>
      <ns0:c r="M36" s="10" t="str">
        <ns0:v>Assistant (explicitly delegated automated, MySQL and browser checks)</ns0:v>
      </ns0:c>
      <ns0:c r="N36" s="10" t="str">
        <ns0:v>Passed</ns0:v>
      </ns0:c>
      <ns0:c r="O36"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6" s="30" t="n">
        <ns0:v>46325</ns0:v>
      </ns0:c>
      <ns0:c r="Q36" s="10" t="str">
        <ns0:v>2026-10-30 Product creation feature implemented/reviewed/tested; this item verified. Product list next; no product code/stock features implemented.</ns0:v>
      </ns0:c>
      <ns0:c r="R36" s="10"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6" s="10" t="str"/>
    </ns0:row>
    <ns0:row r="37" ht="105" customHeight="1">
      <ns0:c r="A37" s="4" t="n">
        <ns0:v>48</ns0:v>
      </ns0:c>
      <ns0:c r="B37" s="4" t="inlineStr">
        <ns0:is>
          <ns0:t xml:space="preserve">FB-035</ns0:t>
        </ns0:is>
      </ns0:c>
      <ns0:c r="C37" s="4" t="inlineStr">
        <ns0:is>
          <ns0:t xml:space="preserve">Products</ns0:t>
        </ns0:is>
      </ns0:c>
      <ns0:c r="D37" s="4" t="str">
        <ns0:v>Reconsider product codes and stock connections after the catalogue works</ns0:v>
      </ns0:c>
      <ns0:c r="E37" s="4" t="str">
        <ns0: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ns0:v>
      </ns0:c>
      <ns0:c r="F37" s="4" t="str">
        <ns0:v>FB-067</ns0:v>
      </ns0:c>
      <ns0:c r="G37" s="4" t="str">
        <ns0:f>IF(H37="Complete","Complete",IF(I37="Blocked","Blocked",IF(I37="In progress","Ready",IF(F37="","Ready",IF(COUNTIFS($B$4:$B$73,F37,$H$4:$H$73,"Complete")=1,"Ready","Waiting")))))</ns0:f>
        <ns0:v>Waiting</ns0:v>
      </ns0:c>
      <ns0:c r="H37" s="4" t="str">
        <ns0:f>IF(I37="Not started","Not started",IF(I37="Blocked","Blocked",IF(I37="In progress","In progress",IF(J37&lt;&gt;"Passed","Awaiting code review",IF(OR(K37="",NOT(ISNUMBER(L37))),"Awaiting review evidence",IF(N37&lt;&gt;"Passed","Awaiting test",IF(OR(M37="",O37="",NOT(ISNUMBER(P37))),"Awaiting test evidence","Complete")))))))</ns0:f>
        <ns0:v>Not started</ns0:v>
      </ns0:c>
      <ns0:c r="I37" s="10" t="inlineStr">
        <ns0:is>
          <ns0:t xml:space="preserve">Not started</ns0:t>
        </ns0:is>
      </ns0:c>
      <ns0:c r="J37" s="10" t="inlineStr">
        <ns0:is>
          <ns0:t xml:space="preserve">Not reviewed</ns0:t>
        </ns0:is>
      </ns0:c>
      <ns0:c r="K37" s="10" t="n"/>
      <ns0:c r="L37" s="30" t="n"/>
      <ns0:c r="M37" s="10" t="n"/>
      <ns0:c r="N37" s="10" t="inlineStr">
        <ns0:is>
          <ns0:t xml:space="preserve">Not tested</ns0:t>
        </ns0:is>
      </ns0:c>
      <ns0:c r="O37" s="10" t="n"/>
      <ns0:c r="P37" s="30" t="n"/>
      <ns0:c r="Q37" s="10" t="str">
        <ns0: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37" s="10" t="str">
        <ns0: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ns0:v>
      </ns0:c>
      <ns0:c r="S37" s="10" t="n"/>
    </ns0:row>
    <ns0:row r="38" ht="105" customHeight="1">
      <ns0:c r="A38" s="9" t="n">
        <ns0:v>34</ns0:v>
      </ns0:c>
      <ns0:c r="B38" s="9" t="inlineStr">
        <ns0:is>
          <ns0:t xml:space="preserve">FB-036</ns0:t>
        </ns0:is>
      </ns0:c>
      <ns0:c r="C38" s="9" t="inlineStr">
        <ns0:is>
          <ns0:t xml:space="preserve">Products</ns0:t>
        </ns0:is>
      </ns0:c>
      <ns0:c r="D38" s="9" t="inlineStr">
        <ns0:is>
          <ns0:t xml:space="preserve">Prevent duplicate catalogue products</ns0:t>
        </ns0:is>
      </ns0:c>
      <ns0:c r="E38" s="9" t="inlineStr">
        <ns0:is>
          <ns0:t xml:space="preserve">Compare name/brand/Subcategory, ignore case/outer spaces and include inactive products. No package contents, counting unit or size in catalogue duplicate identity.</ns0:t>
        </ns0:is>
      </ns0:c>
      <ns0:c r="F38" s="9" t="str">
        <ns0:v>FB-033</ns0:v>
      </ns0:c>
      <ns0:c r="G38" s="9" t="str">
        <ns0:f>IF(H38="Complete","Complete",IF(I38="Blocked","Blocked",IF(I38="In progress","Ready",IF(F38="","Ready",IF(COUNTIFS($B$4:$B$73,F38,$H$4:$H$73,"Complete")=1,"Ready","Waiting")))))</ns0:f>
        <ns0:v>Complete</ns0:v>
      </ns0:c>
      <ns0:c r="H38" s="9" t="str">
        <ns0:f>IF(I38="Not started","Not started",IF(I38="Blocked","Blocked",IF(I38="In progress","In progress",IF(J38&lt;&gt;"Passed","Awaiting code review",IF(OR(K38="",NOT(ISNUMBER(L38))),"Awaiting review evidence",IF(N38&lt;&gt;"Passed","Awaiting test",IF(OR(M38="",O38="",NOT(ISNUMBER(P38))),"Awaiting test evidence","Complete")))))))</ns0:f>
        <ns0:v>Complete</ns0:v>
      </ns0:c>
      <ns0:c r="I38" s="11" t="str">
        <ns0:v>Ready for review</ns0:v>
      </ns0:c>
      <ns0:c r="J38" s="11" t="str">
        <ns0:v>Passed</ns0:v>
      </ns0:c>
      <ns0:c r="K38"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ns0:v>
      </ns0:c>
      <ns0:c r="L38" s="31" t="n">
        <ns0:v>46325</ns0:v>
      </ns0:c>
      <ns0:c r="M38" s="11" t="str">
        <ns0:v>Assistant (explicitly delegated automated, MySQL and browser checks)</ns0:v>
      </ns0:c>
      <ns0:c r="N38" s="11" t="str">
        <ns0:v>Passed</ns0:v>
      </ns0:c>
      <ns0:c r="O38" s="11"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8" s="31" t="n">
        <ns0:v>46325</ns0:v>
      </ns0:c>
      <ns0:c r="Q38" s="11" t="str">
        <ns0:v>2026-10-30 Product creation feature implemented/reviewed/tested; this item verified. Product list next; no product code/stock features implemented.</ns0:v>
      </ns0:c>
      <ns0:c r="R38" s="11"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8" s="11" t="str"/>
    </ns0:row>
    <ns0:row r="39" ht="105" customHeight="1">
      <ns0:c r="A39" s="4" t="n">
        <ns0:v>35</ns0:v>
      </ns0:c>
      <ns0:c r="B39" s="4" t="inlineStr">
        <ns0:is>
          <ns0:t xml:space="preserve">FB-037</ns0:t>
        </ns0:is>
      </ns0:c>
      <ns0:c r="C39" s="4" t="inlineStr">
        <ns0:is>
          <ns0:t xml:space="preserve">Products</ns0:t>
        </ns0:is>
      </ns0:c>
      <ns0:c r="D39" s="4" t="inlineStr">
        <ns0:is>
          <ns0:t xml:space="preserve">Save products and attach optional tags</ns0:t>
        </ns0:is>
      </ns0:c>
      <ns0:c r="E39" s="4" t="str">
        <ns0: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ns0:v>
      </ns0:c>
      <ns0:c r="F39" s="4" t="inlineStr">
        <ns0:is>
          <ns0:t xml:space="preserve">FB-036</ns0:t>
        </ns0:is>
      </ns0:c>
      <ns0:c r="G39" s="4" t="str">
        <ns0:f>IF(H39="Complete","Complete",IF(I39="Blocked","Blocked",IF(I39="In progress","Ready",IF(F39="","Ready",IF(COUNTIFS($B$4:$B$73,F39,$H$4:$H$73,"Complete")=1,"Ready","Waiting")))))</ns0:f>
        <ns0:v>Complete</ns0:v>
      </ns0:c>
      <ns0:c r="H39" s="4" t="str">
        <ns0:f>IF(I39="Not started","Not started",IF(I39="Blocked","Blocked",IF(I39="In progress","In progress",IF(J39&lt;&gt;"Passed","Awaiting code review",IF(OR(K39="",NOT(ISNUMBER(L39))),"Awaiting review evidence",IF(N39&lt;&gt;"Passed","Awaiting test",IF(OR(M39="",O39="",NOT(ISNUMBER(P39))),"Awaiting test evidence","Complete")))))))</ns0:f>
        <ns0:v>Complete</ns0:v>
      </ns0:c>
      <ns0:c r="I39" s="10" t="str">
        <ns0:v>Ready for review</ns0:v>
      </ns0:c>
      <ns0:c r="J39" s="10" t="str">
        <ns0:v>Passed</ns0:v>
      </ns0:c>
      <ns0:c r="K39"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ns0:v>
      </ns0:c>
      <ns0:c r="L39" s="30" t="n">
        <ns0:v>46325</ns0:v>
      </ns0:c>
      <ns0:c r="M39" s="10" t="str">
        <ns0:v>Assistant (explicitly delegated automated, MySQL and browser checks)</ns0:v>
      </ns0:c>
      <ns0:c r="N39" s="10" t="str">
        <ns0:v>Passed</ns0:v>
      </ns0:c>
      <ns0:c r="O39"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ns0:v>
      </ns0:c>
      <ns0:c r="P39" s="30" t="n">
        <ns0:v>46325</ns0:v>
      </ns0:c>
      <ns0:c r="Q39" s="10" t="str">
        <ns0:v>2026-10-30 Product creation feature implemented/reviewed/tested; this item verified. Product list next; no product code/stock features implemented.</ns0:v>
      </ns0:c>
      <ns0:c r="R39" s="10" t="str">
        <ns0:v>Before starting/resuming this item or feature: reread AGENTS.md from disk; apply teaching/testing rules. Completed. Next ready item FB-038 Product list; show proposed changes before applying, preserve Poker coding/current catalogue UI and name-or-tag search checkpoints.</ns0:v>
      </ns0:c>
      <ns0:c r="S39" s="10" t="str"/>
    </ns0:row>
    <ns0:row r="40" ht="105" customHeight="1">
      <ns0:c r="A40" s="9" t="n">
        <ns0:v>36</ns0:v>
      </ns0:c>
      <ns0:c r="B40" s="9" t="inlineStr">
        <ns0:is>
          <ns0:t xml:space="preserve">FB-038</ns0:t>
        </ns0:is>
      </ns0:c>
      <ns0:c r="C40" s="9" t="inlineStr">
        <ns0:is>
          <ns0:t xml:space="preserve">Products</ns0:t>
        </ns0:is>
      </ns0:c>
      <ns0:c r="D40" s="9" t="inlineStr">
        <ns0:is>
          <ns0:t xml:space="preserve">Display the unfiltered catalogue product list</ns0:t>
        </ns0:is>
      </ns0:c>
      <ns0:c r="E40" s="9" t="inlineStr">
        <ns0:is>
          <ns0:t>All roles see product name, optional brand/tags and status. No category path column; retain hierarchy filters. No product code, sizes, units, available quantity or totals. Verify server permissions.</ns0:t>
        </ns0:is>
      </ns0:c>
      <ns0:c r="F40" s="9" t="inlineStr">
        <ns0:is>
          <ns0:t xml:space="preserve">FB-037</ns0:t>
        </ns0:is>
      </ns0:c>
      <ns0:c r="G40" s="9" t="str">
        <ns0:f>IF(H40="Complete","Complete",IF(I40="Blocked","Blocked",IF(I40="In progress","Ready",IF(F40="","Ready",IF(COUNTIFS($B$4:$B$73,F40,$H$4:$H$73,"Complete")=1,"Ready","Waiting")))))</ns0:f>
        <ns0:v>Ready</ns0:v>
      </ns0:c>
      <ns0:c r="H40" s="9" t="str">
        <ns0:f>IF(I40="Not started","Not started",IF(I40="Blocked","Blocked",IF(I40="In progress","In progress",IF(J40&lt;&gt;"Passed","Awaiting code review",IF(OR(K40="",NOT(ISNUMBER(L40))),"Awaiting review evidence",IF(N40&lt;&gt;"Passed","Awaiting test",IF(OR(M40="",O40="",NOT(ISNUMBER(P40))),"Awaiting test evidence","Complete")))))))</ns0:f>
        <ns0:v>Not started</ns0:v>
      </ns0:c>
      <ns0:c r="I40" s="11" t="inlineStr">
        <ns0:is>
          <ns0:t>Ready for review</ns0:t>
        </ns0:is>
      </ns0:c>
      <ns0:c r="J40" s="11" t="inlineStr">
        <ns0:is>
          <ns0:t>Passed</ns0:t>
        </ns0:is>
      </ns0:c>
      <ns0:c r="K40"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c r="L40" s="31" t="n">
        <ns0:v>46325</ns0:v>
      </ns0:c>
      <ns0:c r="M40" s="11" t="inlineStr">
        <ns0:is>
          <ns0:t>Developer</ns0:t>
        </ns0:is>
      </ns0:c>
      <ns0:c r="N40" s="11" t="inlineStr">
        <ns0:is>
          <ns0:t>Not tested</ns0:t>
        </ns0:is>
      </ns0:c>
      <ns0:c r="O40"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0" s="31" t="n">
        <ns0:v>46325</ns0:v>
      </ns0:c>
      <ns0:c r="Q40" s="11" t="inlineStr">
        <ns0:is>
          <ns0:t>
2026-10-30 developer explicitly authorized refactoring CreateProduct. Extracted private findAndLockCategory, findAndLockSubcategory, ensureProductIsUnique and findAndLockTags helpers only. Reviewed diff: permission check remains before transaction; query/lock order, duplicate rules, errors, saving and tag attachment preserved. Scoped Pint and PHPStan PASS (0 errors). Behaviour verification of this refactor pending developer run: php artisan test tests/Feature/ProductCreateTest.php. Previous creation test evidence is historical; do not claim refactor behaviour verified. Product list remains not started.
2026-10-30 developer-reported PASS: replied done all tests passed after explicit php artisan test tests/Feature/ProductCreateTest.php request for CreateProduct helper refactor. Refactor source review, scoped Pint and PHPStan already passed. Refactor verification complete; no assistant-executed application tests claimed. Suggested commit: Refactor product creation into focused helper methods. FB-038 Product list remains not started.</ns0:t>
        </ns0:is>
      </ns0:c>
      <ns0:c r="R40" s="11"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0" s="11" t="n"/>
    </ns0:row>
    <ns0:row r="41" ht="105" customHeight="1">
      <ns0:c r="A41" s="4" t="n">
        <ns0:v>37</ns0:v>
      </ns0:c>
      <ns0:c r="B41" s="4" t="inlineStr">
        <ns0:is>
          <ns0:t xml:space="preserve">FB-039</ns0:t>
        </ns0:is>
      </ns0:c>
      <ns0:c r="C41" s="4" t="inlineStr">
        <ns0:is>
          <ns0:t xml:space="preserve">Products</ns0:t>
        </ns0:is>
      </ns0:c>
      <ns0:c r="D41" s="4" t="inlineStr">
        <ns0:is>
          <ns0:t xml:space="preserve">Arrange catalogue rows and filter toolbar</ns0:t>
        </ns0:is>
      </ns0:c>
      <ns0:c r="E41" s="4" t="inlineStr">
        <ns0:is>
          <ns0:t xml:space="preserve">Teach responsive widths, wrapping/table overflow/stacked toolbar for product identity/classification. No stock/size columns.</ns0:t>
        </ns0:is>
      </ns0:c>
      <ns0:c r="F41" s="4" t="inlineStr">
        <ns0:is>
          <ns0:t xml:space="preserve">FB-038</ns0:t>
        </ns0:is>
      </ns0:c>
      <ns0:c r="G41" s="4" t="str">
        <ns0:f>IF(H41="Complete","Complete",IF(I41="Blocked","Blocked",IF(I41="In progress","Ready",IF(F41="","Ready",IF(COUNTIFS($B$4:$B$73,F41,$H$4:$H$73,"Complete")=1,"Ready","Waiting")))))</ns0:f>
        <ns0:v>Waiting</ns0:v>
      </ns0:c>
      <ns0:c r="H41" s="4" t="str">
        <ns0:f>IF(I41="Not started","Not started",IF(I41="Blocked","Blocked",IF(I41="In progress","In progress",IF(J41&lt;&gt;"Passed","Awaiting code review",IF(OR(K41="",NOT(ISNUMBER(L41))),"Awaiting review evidence",IF(N41&lt;&gt;"Passed","Awaiting test",IF(OR(M41="",O41="",NOT(ISNUMBER(P41))),"Awaiting test evidence","Complete")))))))</ns0:f>
        <ns0:v>Not started</ns0:v>
      </ns0:c>
      <ns0:c r="I41" s="10" t="inlineStr">
        <ns0:is>
          <ns0:t>Ready for review</ns0:t>
        </ns0:is>
      </ns0:c>
      <ns0:c r="J41" s="10" t="inlineStr">
        <ns0:is>
          <ns0:t>Passed</ns0:t>
        </ns0:is>
      </ns0:c>
      <ns0:c r="K41"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c r="L41" s="30" t="n">
        <ns0:v>46325</ns0:v>
      </ns0:c>
      <ns0:c r="M41" s="10" t="inlineStr">
        <ns0:is>
          <ns0:t>Developer</ns0:t>
        </ns0:is>
      </ns0:c>
      <ns0:c r="N41" s="10" t="inlineStr">
        <ns0:is>
          <ns0:t>Not tested</ns0:t>
        </ns0:is>
      </ns0:c>
      <ns0:c r="O41"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ns0:t>
        </ns0:is>
      </ns0:c>
      <ns0:c r="P41" s="30" t="n">
        <ns0:v>46325</ns0:v>
      </ns0:c>
      <ns0:c r="Q41" s="10" t="n"/>
      <ns0:c r="R41" s="10" t="inlineStr">
        <ns0:is>
          <ns0:t>Before starting/resuming this item or feature: reread AGENTS.md from disk; apply teaching/testing rules. Await developer php artisan test tests/Feature/ProductListTest.php and browser checks: click Tags, search/hidden selections, select two/apply ANY matching, cancel unchanged, clear+apply restores results, Next retains selections, phone dialog/keyboard usable. Do not mark revised FB-039/044/046 Complete before test evidence.</ns0:t>
        </ns0:is>
      </ns0:c>
      <ns0:c r="S41" s="10" t="n"/>
    </ns0:row>
    <ns0:row r="42" ht="105" customHeight="1">
      <ns0:c r="A42" s="9" t="n">
        <ns0:v>38</ns0:v>
      </ns0:c>
      <ns0:c r="B42" s="9" t="inlineStr">
        <ns0:is>
          <ns0:t xml:space="preserve">FB-040</ns0:t>
        </ns0:is>
      </ns0:c>
      <ns0:c r="C42" s="9" t="inlineStr">
        <ns0:is>
          <ns0:t xml:space="preserve">Products</ns0:t>
        </ns0:is>
      </ns0:c>
      <ns0:c r="D42" s="9" t="str">
        <ns0:v>Add search by product name or tag name</ns0:v>
      </ns0:c>
      <ns0:c r="E42" s="9" t="str">
        <ns0: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ns0:v>
      </ns0:c>
      <ns0:c r="F42" s="9" t="inlineStr">
        <ns0:is>
          <ns0:t xml:space="preserve">FB-039</ns0:t>
        </ns0:is>
      </ns0:c>
      <ns0:c r="G42" s="9" t="str">
        <ns0:f>IF(H42="Complete","Complete",IF(I42="Blocked","Blocked",IF(I42="In progress","Ready",IF(F42="","Ready",IF(COUNTIFS($B$4:$B$73,F42,$H$4:$H$73,"Complete")=1,"Ready","Waiting")))))</ns0:f>
        <ns0:v>Waiting</ns0:v>
      </ns0:c>
      <ns0:c r="H42" s="9" t="str">
        <ns0:f>IF(I42="Not started","Not started",IF(I42="Blocked","Blocked",IF(I42="In progress","In progress",IF(J42&lt;&gt;"Passed","Awaiting code review",IF(OR(K42="",NOT(ISNUMBER(L42))),"Awaiting review evidence",IF(N42&lt;&gt;"Passed","Awaiting test",IF(OR(M42="",O42="",NOT(ISNUMBER(P42))),"Awaiting test evidence","Complete")))))))</ns0:f>
        <ns0:v>Not started</ns0:v>
      </ns0:c>
      <ns0:c r="I42" s="11" t="inlineStr">
        <ns0:is>
          <ns0:t>Ready for review</ns0:t>
        </ns0:is>
      </ns0:c>
      <ns0:c r="J42" s="11" t="inlineStr">
        <ns0:is>
          <ns0:t>Passed</ns0:t>
        </ns0:is>
      </ns0:c>
      <ns0:c r="K42"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ns0:t>
        </ns0:is>
      </ns0:c>
      <ns0:c r="L42" s="31" t="n">
        <ns0:v>46325</ns0:v>
      </ns0:c>
      <ns0:c r="M42" s="11" t="inlineStr">
        <ns0:is>
          <ns0:t>Developer</ns0:t>
        </ns0:is>
      </ns0:c>
      <ns0:c r="N42" s="11" t="inlineStr">
        <ns0:is>
          <ns0:t>Passed</ns0:t>
        </ns0:is>
      </ns0:c>
      <ns0:c r="O42"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2" s="31" t="n">
        <ns0:v>46325</ns0:v>
      </ns0:c>
      <ns0:c r="Q42" s="11" t="n"/>
      <ns0:c r="R42" s="11"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2" s="11" t="n"/>
    </ns0:row>
    <ns0:row r="43" ht="105" customHeight="1">
      <ns0:c r="A43" s="4" t="n">
        <ns0:v>39</ns0:v>
      </ns0:c>
      <ns0:c r="B43" s="4" t="inlineStr">
        <ns0:is>
          <ns0:t xml:space="preserve">FB-041</ns0:t>
        </ns0:is>
      </ns0:c>
      <ns0:c r="C43" s="4" t="inlineStr">
        <ns0:is>
          <ns0:t xml:space="preserve">Products</ns0:t>
        </ns0:is>
      </ns0:c>
      <ns0:c r="D43" s="4" t="inlineStr">
        <ns0:is>
          <ns0:t xml:space="preserve">Add the department filter</ns0:t>
        </ns0:is>
      </ns0:c>
      <ns0:c r="E43" s="4" t="inlineStr">
        <ns0:is>
          <ns0:t xml:space="preserve">Filter by department alone and with search. Explain selected state and request values; do not introduce remaining filters yet.</ns0:t>
        </ns0:is>
      </ns0:c>
      <ns0:c r="F43" s="4" t="inlineStr">
        <ns0:is>
          <ns0:t xml:space="preserve">FB-040</ns0:t>
        </ns0:is>
      </ns0:c>
      <ns0:c r="G43" s="4" t="str">
        <ns0:f>IF(H43="Complete","Complete",IF(I43="Blocked","Blocked",IF(I43="In progress","Ready",IF(F43="","Ready",IF(COUNTIFS($B$4:$B$73,F43,$H$4:$H$73,"Complete")=1,"Ready","Waiting")))))</ns0:f>
        <ns0:v>Waiting</ns0:v>
      </ns0:c>
      <ns0:c r="H43" s="4" t="str">
        <ns0:f>IF(I43="Not started","Not started",IF(I43="Blocked","Blocked",IF(I43="In progress","In progress",IF(J43&lt;&gt;"Passed","Awaiting code review",IF(OR(K43="",NOT(ISNUMBER(L43))),"Awaiting review evidence",IF(N43&lt;&gt;"Passed","Awaiting test",IF(OR(M43="",O43="",NOT(ISNUMBER(P43))),"Awaiting test evidence","Complete")))))))</ns0:f>
        <ns0:v>Not started</ns0:v>
      </ns0:c>
      <ns0:c r="I43" s="10" t="inlineStr">
        <ns0:is>
          <ns0:t>Ready for review</ns0:t>
        </ns0:is>
      </ns0:c>
      <ns0:c r="J43" s="10" t="inlineStr">
        <ns0:is>
          <ns0:t>Passed</ns0:t>
        </ns0:is>
      </ns0:c>
      <ns0:c r="K43"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ns0:t>
        </ns0:is>
      </ns0:c>
      <ns0:c r="L43" s="30" t="n">
        <ns0:v>46325</ns0:v>
      </ns0:c>
      <ns0:c r="M43" s="10" t="inlineStr">
        <ns0:is>
          <ns0:t>Developer</ns0:t>
        </ns0:is>
      </ns0:c>
      <ns0:c r="N43" s="10" t="inlineStr">
        <ns0:is>
          <ns0:t>Passed</ns0:t>
        </ns0:is>
      </ns0:c>
      <ns0:c r="O43"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3" s="30" t="n">
        <ns0:v>46325</ns0:v>
      </ns0:c>
      <ns0:c r="Q43" s="10" t="n"/>
      <ns0:c r="R43" s="10"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3" s="10" t="n"/>
    </ns0:row>
    <ns0:row r="44" ht="105" customHeight="1">
      <ns0:c r="A44" s="9" t="n">
        <ns0:v>40</ns0:v>
      </ns0:c>
      <ns0:c r="B44" s="9" t="inlineStr">
        <ns0:is>
          <ns0:t xml:space="preserve">FB-042</ns0:t>
        </ns0:is>
      </ns0:c>
      <ns0:c r="C44" s="9" t="inlineStr">
        <ns0:is>
          <ns0:t xml:space="preserve">Products</ns0:t>
        </ns0:is>
      </ns0:c>
      <ns0:c r="D44" s="9" t="inlineStr">
        <ns0:is>
          <ns0:t xml:space="preserve">Add the category filter</ns0:t>
        </ns0:is>
      </ns0:c>
      <ns0:c r="E44" s="9" t="inlineStr">
        <ns0:is>
          <ns0:t xml:space="preserve">Filter by category and combine with department/search; changing parent must not leave incompatible selections.</ns0:t>
        </ns0:is>
      </ns0:c>
      <ns0:c r="F44" s="9" t="inlineStr">
        <ns0:is>
          <ns0:t xml:space="preserve">FB-041</ns0:t>
        </ns0:is>
      </ns0:c>
      <ns0:c r="G44" s="9" t="str">
        <ns0:f>IF(H44="Complete","Complete",IF(I44="Blocked","Blocked",IF(I44="In progress","Ready",IF(F44="","Ready",IF(COUNTIFS($B$4:$B$73,F44,$H$4:$H$73,"Complete")=1,"Ready","Waiting")))))</ns0:f>
        <ns0:v>Waiting</ns0:v>
      </ns0:c>
      <ns0:c r="H44" s="9" t="str">
        <ns0:f>IF(I44="Not started","Not started",IF(I44="Blocked","Blocked",IF(I44="In progress","In progress",IF(J44&lt;&gt;"Passed","Awaiting code review",IF(OR(K44="",NOT(ISNUMBER(L44))),"Awaiting review evidence",IF(N44&lt;&gt;"Passed","Awaiting test",IF(OR(M44="",O44="",NOT(ISNUMBER(P44))),"Awaiting test evidence","Complete")))))))</ns0:f>
        <ns0:v>Not started</ns0:v>
      </ns0:c>
      <ns0:c r="I44" s="11" t="inlineStr">
        <ns0:is>
          <ns0:t>Ready for review</ns0:t>
        </ns0:is>
      </ns0:c>
      <ns0:c r="J44" s="11" t="inlineStr">
        <ns0:is>
          <ns0:t>Passed</ns0:t>
        </ns0:is>
      </ns0:c>
      <ns0:c r="K44"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ns0:t>
        </ns0:is>
      </ns0:c>
      <ns0:c r="L44" s="31" t="n">
        <ns0:v>46325</ns0:v>
      </ns0:c>
      <ns0:c r="M44" s="11" t="inlineStr">
        <ns0:is>
          <ns0:t>Developer</ns0:t>
        </ns0:is>
      </ns0:c>
      <ns0:c r="N44" s="11" t="inlineStr">
        <ns0:is>
          <ns0:t>Passed</ns0:t>
        </ns0:is>
      </ns0:c>
      <ns0:c r="O44"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4" s="31" t="n">
        <ns0:v>46325</ns0:v>
      </ns0:c>
      <ns0:c r="Q44" s="11" t="n"/>
      <ns0:c r="R44" s="11"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4" s="11" t="n"/>
    </ns0:row>
    <ns0:row r="45" ht="105" customHeight="1">
      <ns0:c r="A45" s="4" t="n">
        <ns0:v>41</ns0:v>
      </ns0:c>
      <ns0:c r="B45" s="4" t="inlineStr">
        <ns0:is>
          <ns0:t xml:space="preserve">FB-043</ns0:t>
        </ns0:is>
      </ns0:c>
      <ns0:c r="C45" s="4" t="inlineStr">
        <ns0:is>
          <ns0:t xml:space="preserve">Products</ns0:t>
        </ns0:is>
      </ns0:c>
      <ns0:c r="D45" s="4" t="inlineStr">
        <ns0:is>
          <ns0:t xml:space="preserve">Add the subcategory filter</ns0:t>
        </ns0:is>
      </ns0:c>
      <ns0:c r="E45" s="4" t="inlineStr">
        <ns0:is>
          <ns0:t xml:space="preserve">Filter by subcategory alongside existing selections; verify full path and no skipped/contradictory parent selection.</ns0:t>
        </ns0:is>
      </ns0:c>
      <ns0:c r="F45" s="4" t="inlineStr">
        <ns0:is>
          <ns0:t xml:space="preserve">FB-042</ns0:t>
        </ns0:is>
      </ns0:c>
      <ns0:c r="G45" s="4" t="str">
        <ns0:f>IF(H45="Complete","Complete",IF(I45="Blocked","Blocked",IF(I45="In progress","Ready",IF(F45="","Ready",IF(COUNTIFS($B$4:$B$73,F45,$H$4:$H$73,"Complete")=1,"Ready","Waiting")))))</ns0:f>
        <ns0:v>Waiting</ns0:v>
      </ns0:c>
      <ns0:c r="H45" s="4" t="str">
        <ns0:f>IF(I45="Not started","Not started",IF(I45="Blocked","Blocked",IF(I45="In progress","In progress",IF(J45&lt;&gt;"Passed","Awaiting code review",IF(OR(K45="",NOT(ISNUMBER(L45))),"Awaiting review evidence",IF(N45&lt;&gt;"Passed","Awaiting test",IF(OR(M45="",O45="",NOT(ISNUMBER(P45))),"Awaiting test evidence","Complete")))))))</ns0:f>
        <ns0:v>Not started</ns0:v>
      </ns0:c>
      <ns0:c r="I45" s="10" t="inlineStr">
        <ns0:is>
          <ns0:t>Ready for review</ns0:t>
        </ns0:is>
      </ns0:c>
      <ns0:c r="J45" s="10" t="inlineStr">
        <ns0:is>
          <ns0:t>Passed</ns0:t>
        </ns0:is>
      </ns0:c>
      <ns0:c r="K45"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ns0:t>
        </ns0:is>
      </ns0:c>
      <ns0:c r="L45" s="30" t="n">
        <ns0:v>46325</ns0:v>
      </ns0:c>
      <ns0:c r="M45" s="10" t="inlineStr">
        <ns0:is>
          <ns0:t>Developer</ns0:t>
        </ns0:is>
      </ns0:c>
      <ns0:c r="N45" s="10" t="inlineStr">
        <ns0:is>
          <ns0:t>Passed</ns0:t>
        </ns0:is>
      </ns0:c>
      <ns0:c r="O45"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5" s="30" t="n">
        <ns0:v>46325</ns0:v>
      </ns0:c>
      <ns0:c r="Q45" s="10" t="n"/>
      <ns0:c r="R45" s="10"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5" s="10" t="n"/>
    </ns0:row>
    <ns0:row r="46" ht="105" customHeight="1">
      <ns0:c r="A46" s="9" t="n">
        <ns0:v>42</ns0:v>
      </ns0:c>
      <ns0:c r="B46" s="9" t="inlineStr">
        <ns0:is>
          <ns0:t xml:space="preserve">FB-044</ns0:t>
        </ns0:is>
      </ns0:c>
      <ns0:c r="C46" s="9" t="inlineStr">
        <ns0:is>
          <ns0:t xml:space="preserve">Products</ns0:t>
        </ns0:is>
      </ns0:c>
      <ns0:c r="D46" s="9" t="inlineStr">
        <ns0:is>
          <ns0:t xml:space="preserve">Add the tag filter</ns0:t>
        </ns0:is>
      </ns0:c>
      <ns0:c r="E46" s="9" t="inlineStr">
        <ns0:is>
          <ns0:t>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ns0:t>
        </ns0:is>
      </ns0:c>
      <ns0:c r="F46" s="9" t="inlineStr">
        <ns0:is>
          <ns0:t xml:space="preserve">FB-043</ns0:t>
        </ns0:is>
      </ns0:c>
      <ns0:c r="G46" s="9" t="str">
        <ns0:f>IF(H46="Complete","Complete",IF(I46="Blocked","Blocked",IF(I46="In progress","Ready",IF(F46="","Ready",IF(COUNTIFS($B$4:$B$73,F46,$H$4:$H$73,"Complete")=1,"Ready","Waiting")))))</ns0:f>
        <ns0:v>Waiting</ns0:v>
      </ns0:c>
      <ns0:c r="H46" s="9" t="str">
        <ns0:f>IF(I46="Not started","Not started",IF(I46="Blocked","Blocked",IF(I46="In progress","In progress",IF(J46&lt;&gt;"Passed","Awaiting code review",IF(OR(K46="",NOT(ISNUMBER(L46))),"Awaiting review evidence",IF(N46&lt;&gt;"Passed","Awaiting test",IF(OR(M46="",O46="",NOT(ISNUMBER(P46))),"Awaiting test evidence","Complete")))))))</ns0:f>
        <ns0:v>Not started</ns0:v>
      </ns0:c>
      <ns0:c r="I46" s="11" t="inlineStr">
        <ns0:is>
          <ns0:t>Ready for review</ns0:t>
        </ns0:is>
      </ns0:c>
      <ns0:c r="J46" s="11" t="inlineStr">
        <ns0:is>
          <ns0:t>Passed</ns0:t>
        </ns0:is>
      </ns0:c>
      <ns0:c r="K46"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c r="L46" s="31" t="n">
        <ns0:v>46325</ns0:v>
      </ns0:c>
      <ns0:c r="M46" s="11" t="inlineStr">
        <ns0:is>
          <ns0:t>Developer</ns0:t>
        </ns0:is>
      </ns0:c>
      <ns0:c r="N46" s="11" t="inlineStr">
        <ns0:is>
          <ns0:t>Not tested</ns0:t>
        </ns0:is>
      </ns0:c>
      <ns0:c r="O46"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ns0:t>
        </ns0:is>
      </ns0:c>
      <ns0:c r="P46" s="31" t="n">
        <ns0:v>46325</ns0:v>
      </ns0:c>
      <ns0:c r="Q46" s="11" t="n"/>
      <ns0:c r="R46" s="11" t="inlineStr">
        <ns0:is>
          <ns0:t>Before starting/resuming this item or feature: reread AGENTS.md from disk; apply teaching/testing rules. Await developer php artisan test tests/Feature/ProductListTest.php and browser checks: click Tags, search/hidden selections, select two/apply ANY matching, cancel unchanged, clear+apply restores results, Next retains selections, phone dialog/keyboard usable. Do not mark revised FB-039/044/046 Complete before test evidence.</ns0:t>
        </ns0:is>
      </ns0:c>
      <ns0:c r="S46" s="11" t="n"/>
    </ns0:row>
    <ns0:row r="47" ht="105" customHeight="1">
      <ns0:c r="A47" s="4" t="n">
        <ns0:v>43</ns0:v>
      </ns0:c>
      <ns0:c r="B47" s="4" t="inlineStr">
        <ns0:is>
          <ns0:t xml:space="preserve">FB-045</ns0:t>
        </ns0:is>
      </ns0:c>
      <ns0:c r="C47" s="4" t="inlineStr">
        <ns0:is>
          <ns0:t xml:space="preserve">Products</ns0:t>
        </ns0:is>
      </ns0:c>
      <ns0:c r="D47" s="4" t="inlineStr">
        <ns0:is>
          <ns0:t xml:space="preserve">Add the product status filter</ns0:t>
        </ns0:is>
      </ns0:c>
      <ns0:c r="E47" s="4" t="inlineStr">
        <ns0:is>
          <ns0:t xml:space="preserve">All/Active/Inactive works with existing filters. General product list may show inactive/zero-stock products; distribution picker later has stricter rules.</ns0:t>
        </ns0:is>
      </ns0:c>
      <ns0:c r="F47" s="4" t="inlineStr">
        <ns0:is>
          <ns0:t xml:space="preserve">FB-044</ns0:t>
        </ns0:is>
      </ns0:c>
      <ns0:c r="G47" s="4" t="str">
        <ns0:f>IF(H47="Complete","Complete",IF(I47="Blocked","Blocked",IF(I47="In progress","Ready",IF(F47="","Ready",IF(COUNTIFS($B$4:$B$73,F47,$H$4:$H$73,"Complete")=1,"Ready","Waiting")))))</ns0:f>
        <ns0:v>Waiting</ns0:v>
      </ns0:c>
      <ns0:c r="H47" s="4" t="str">
        <ns0:f>IF(I47="Not started","Not started",IF(I47="Blocked","Blocked",IF(I47="In progress","In progress",IF(J47&lt;&gt;"Passed","Awaiting code review",IF(OR(K47="",NOT(ISNUMBER(L47))),"Awaiting review evidence",IF(N47&lt;&gt;"Passed","Awaiting test",IF(OR(M47="",O47="",NOT(ISNUMBER(P47))),"Awaiting test evidence","Complete")))))))</ns0:f>
        <ns0:v>Not started</ns0:v>
      </ns0:c>
      <ns0:c r="I47" s="10" t="inlineStr">
        <ns0:is>
          <ns0:t>Ready for review</ns0:t>
        </ns0:is>
      </ns0:c>
      <ns0:c r="J47" s="10" t="inlineStr">
        <ns0:is>
          <ns0:t>Passed</ns0:t>
        </ns0:is>
      </ns0:c>
      <ns0:c r="K47"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ns0:t>
        </ns0:is>
      </ns0:c>
      <ns0:c r="L47" s="30" t="n">
        <ns0:v>46325</ns0:v>
      </ns0:c>
      <ns0:c r="M47" s="10" t="inlineStr">
        <ns0:is>
          <ns0:t>Developer</ns0:t>
        </ns0:is>
      </ns0:c>
      <ns0:c r="N47" s="10" t="inlineStr">
        <ns0:is>
          <ns0:t>Passed</ns0:t>
        </ns0:is>
      </ns0:c>
      <ns0:c r="O47"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ns0:t>
        </ns0:is>
      </ns0:c>
      <ns0:c r="P47" s="30" t="n">
        <ns0:v>46325</ns0:v>
      </ns0:c>
      <ns0:c r="Q47" s="10" t="n"/>
      <ns0:c r="R47" s="10"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7" s="10" t="n"/>
    </ns0:row>
    <ns0:row r="48" ht="105" customHeight="1">
      <ns0:c r="A48" s="9" t="n">
        <ns0:v>44</ns0:v>
      </ns0:c>
      <ns0:c r="B48" s="9" t="inlineStr">
        <ns0:is>
          <ns0:t xml:space="preserve">FB-046</ns0:t>
        </ns0:is>
      </ns0:c>
      <ns0:c r="C48" s="9" t="inlineStr">
        <ns0:is>
          <ns0:t xml:space="preserve">Products</ns0:t>
        </ns0:is>
      </ns0:c>
      <ns0:c r="D48" s="9" t="inlineStr">
        <ns0:is>
          <ns0:t xml:space="preserve">Paginate and verify the full product list</ns0:t>
        </ns0:is>
      </ns0:c>
      <ns0:c r="E48" s="9" t="inlineStr">
        <ns0:is>
          <ns0:t xml:space="preserve">10 products per page after all search/filters. Preserve selections across pages; all roles may list/search/filter. Verify combinations and boundary/empty pages.</ns0:t>
        </ns0:is>
      </ns0:c>
      <ns0:c r="F48" s="9" t="inlineStr">
        <ns0:is>
          <ns0:t xml:space="preserve">FB-045</ns0:t>
        </ns0:is>
      </ns0:c>
      <ns0:c r="G48" s="9" t="str">
        <ns0:f>IF(H48="Complete","Complete",IF(I48="Blocked","Blocked",IF(I48="In progress","Ready",IF(F48="","Ready",IF(COUNTIFS($B$4:$B$73,F48,$H$4:$H$73,"Complete")=1,"Ready","Waiting")))))</ns0:f>
        <ns0:v>Waiting</ns0:v>
      </ns0:c>
      <ns0:c r="H48" s="9" t="str">
        <ns0:f>IF(I48="Not started","Not started",IF(I48="Blocked","Blocked",IF(I48="In progress","In progress",IF(J48&lt;&gt;"Passed","Awaiting code review",IF(OR(K48="",NOT(ISNUMBER(L48))),"Awaiting review evidence",IF(N48&lt;&gt;"Passed","Awaiting test",IF(OR(M48="",O48="",NOT(ISNUMBER(P48))),"Awaiting test evidence","Complete")))))))</ns0:f>
        <ns0:v>Not started</ns0:v>
      </ns0:c>
      <ns0:c r="I48" s="11" t="inlineStr">
        <ns0:is>
          <ns0:t>Ready for review</ns0:t>
        </ns0:is>
      </ns0:c>
      <ns0:c r="J48" s="11" t="inlineStr">
        <ns0:is>
          <ns0:t>Passed</ns0:t>
        </ns0:is>
      </ns0:c>
      <ns0:c r="K48"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c r="L48" s="31" t="n">
        <ns0:v>46325</ns0:v>
      </ns0:c>
      <ns0:c r="M48" s="11" t="inlineStr">
        <ns0:is>
          <ns0:t>Developer</ns0:t>
        </ns0:is>
      </ns0:c>
      <ns0:c r="N48" s="11" t="inlineStr">
        <ns0:is>
          <ns0:t>Not tested</ns0:t>
        </ns0:is>
      </ns0:c>
      <ns0:c r="O48"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ns0:t>
        </ns0:is>
      </ns0:c>
      <ns0:c r="P48" s="31" t="n">
        <ns0:v>46325</ns0:v>
      </ns0:c>
      <ns0:c r="Q48" s="11" t="n"/>
      <ns0:c r="R48" s="11" t="inlineStr">
        <ns0:is>
          <ns0:t>Before starting/resuming this item or feature: reread AGENTS.md from disk; apply teaching/testing rules. Await developer php artisan test tests/Feature/ProductListTest.php and browser checks: click Tags, search/hidden selections, select two/apply ANY matching, cancel unchanged, clear+apply restores results, Next retains selections, phone dialog/keyboard usable. Do not mark revised FB-039/044/046 Complete before test evidence.</ns0:t>
        </ns0:is>
      </ns0:c>
      <ns0:c r="S48" s="11" t="n"/>
    </ns0:row>
    <ns0:row r="49" ht="105" customHeight="1">
      <ns0:c r="A49" s="4" t="n">
        <ns0:v>45</ns0:v>
      </ns0:c>
      <ns0:c r="B49" s="4" t="inlineStr">
        <ns0:is>
          <ns0:t xml:space="preserve">FB-047</ns0:t>
        </ns0:is>
      </ns0:c>
      <ns0:c r="C49" s="4" t="inlineStr">
        <ns0:is>
          <ns0:t xml:space="preserve">Products</ns0:t>
        </ns0:is>
      </ns0:c>
      <ns0:c r="D49" s="4" t="inlineStr">
        <ns0:is>
          <ns0:t xml:space="preserve">Edit catalogue product details</ns0:t>
        </ns0:is>
      </ns0:c>
      <ns0:c r="E49" s="4" t="str">
        <ns0:v>Managers/Super Admin edit catalogue fields with duplicate checks. No code, packaging or stock fields. Stock-related classification constraints remain for the post-catalogue design checkpoint.</ns0:v>
      </ns0:c>
      <ns0:c r="F49" s="4" t="inlineStr">
        <ns0:is>
          <ns0:t xml:space="preserve">FB-046</ns0:t>
        </ns0:is>
      </ns0:c>
      <ns0:c r="G49" s="4" t="str">
        <ns0:f>IF(H49="Complete","Complete",IF(I49="Blocked","Blocked",IF(I49="In progress","Ready",IF(F49="","Ready",IF(COUNTIFS($B$4:$B$73,F49,$H$4:$H$73,"Complete")=1,"Ready","Waiting")))))</ns0:f>
        <ns0:v>Waiting</ns0:v>
      </ns0:c>
      <ns0:c r="H49" s="4" t="str">
        <ns0:f>IF(I49="Not started","Not started",IF(I49="Blocked","Blocked",IF(I49="In progress","In progress",IF(J49&lt;&gt;"Passed","Awaiting code review",IF(OR(K49="",NOT(ISNUMBER(L49))),"Awaiting review evidence",IF(N49&lt;&gt;"Passed","Awaiting test",IF(OR(M49="",O49="",NOT(ISNUMBER(P49))),"Awaiting test evidence","Complete")))))))</ns0:f>
        <ns0:v>Not started</ns0:v>
      </ns0:c>
      <ns0:c r="I49" s="10" t="inlineStr">
        <ns0:is>
          <ns0:t xml:space="preserve">Not started</ns0:t>
        </ns0:is>
      </ns0:c>
      <ns0:c r="J49" s="10" t="inlineStr">
        <ns0:is>
          <ns0:t xml:space="preserve">Not reviewed</ns0:t>
        </ns0:is>
      </ns0:c>
      <ns0:c r="K49" s="10" t="n"/>
      <ns0:c r="L49" s="30" t="n"/>
      <ns0:c r="M49" s="10" t="n"/>
      <ns0:c r="N49" s="10" t="inlineStr">
        <ns0:is>
          <ns0:t xml:space="preserve">Not tested</ns0:t>
        </ns0:is>
      </ns0:c>
      <ns0:c r="O49" s="10" t="n"/>
      <ns0:c r="P49" s="30" t="n"/>
      <ns0:c r="Q49" s="10" t="n"/>
      <ns0:c r="R49" s="10" t="inlineStr">
        <ns0:is>
          <ns0:t>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ns0:t>
        </ns0:is>
      </ns0:c>
      <ns0:c r="S49" s="10" t="n"/>
    </ns0:row>
    <ns0:row r="50" ht="105" customHeight="1">
      <ns0:c r="A50" s="9" t="n">
        <ns0:v>46</ns0:v>
      </ns0:c>
      <ns0:c r="B50" s="9" t="inlineStr">
        <ns0:is>
          <ns0:t xml:space="preserve">FB-048</ns0:t>
        </ns0:is>
      </ns0:c>
      <ns0:c r="C50" s="9" t="inlineStr">
        <ns0:is>
          <ns0:t xml:space="preserve">Products</ns0:t>
        </ns0:is>
      </ns0:c>
      <ns0:c r="D50" s="9" t="inlineStr">
        <ns0:is>
          <ns0:t xml:space="preserve">Activate/deactivate products and manage tag removal</ns0:t>
        </ns0:is>
      </ns0:c>
      <ns0:c r="E50" s="9" t="inlineStr">
        <ns0:is>
          <ns0: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ns0:t>
        </ns0:is>
      </ns0:c>
      <ns0:c r="F50" s="9" t="inlineStr">
        <ns0:is>
          <ns0:t xml:space="preserve">FB-047</ns0:t>
        </ns0:is>
      </ns0:c>
      <ns0:c r="G50" s="9" t="str">
        <ns0:f>IF(H50="Complete","Complete",IF(I50="Blocked","Blocked",IF(I50="In progress","Ready",IF(F50="","Ready",IF(COUNTIFS($B$4:$B$73,F50,$H$4:$H$73,"Complete")=1,"Ready","Waiting")))))</ns0:f>
        <ns0:v>Waiting</ns0:v>
      </ns0:c>
      <ns0:c r="H50" s="9" t="str">
        <ns0:f>IF(I50="Not started","Not started",IF(I50="Blocked","Blocked",IF(I50="In progress","In progress",IF(J50&lt;&gt;"Passed","Awaiting code review",IF(OR(K50="",NOT(ISNUMBER(L50))),"Awaiting review evidence",IF(N50&lt;&gt;"Passed","Awaiting test",IF(OR(M50="",O50="",NOT(ISNUMBER(P50))),"Awaiting test evidence","Complete")))))))</ns0:f>
        <ns0:v>Not started</ns0:v>
      </ns0:c>
      <ns0:c r="I50" s="11" t="inlineStr">
        <ns0:is>
          <ns0:t xml:space="preserve">Not started</ns0:t>
        </ns0:is>
      </ns0:c>
      <ns0:c r="J50" s="11" t="inlineStr">
        <ns0:is>
          <ns0:t xml:space="preserve">Not reviewed</ns0:t>
        </ns0:is>
      </ns0:c>
      <ns0:c r="K50" s="11" t="n"/>
      <ns0:c r="L50" s="31" t="n"/>
      <ns0:c r="M50" s="11" t="n"/>
      <ns0:c r="N50" s="11" t="inlineStr">
        <ns0:is>
          <ns0:t xml:space="preserve">Not tested</ns0:t>
        </ns0:is>
      </ns0:c>
      <ns0:c r="O50" s="11" t="n"/>
      <ns0:c r="P50" s="31" t="n"/>
      <ns0:c r="Q50" s="11" t="n"/>
      <ns0:c r="R50" s="11"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0" s="11" t="n"/>
    </ns0:row>
    <ns0:row r="51" ht="105" customHeight="1">
      <ns0:c r="A51" s="4" t="n">
        <ns0:v>47</ns0:v>
      </ns0:c>
      <ns0:c r="B51" s="4" t="inlineStr">
        <ns0:is>
          <ns0:t xml:space="preserve">FB-067</ns0:t>
        </ns0:is>
      </ns0:c>
      <ns0:c r="C51" s="4" t="inlineStr">
        <ns0:is>
          <ns0:t xml:space="preserve">Verification</ns0:t>
        </ns0:is>
      </ns0:c>
      <ns0:c r="D51" s="4" t="inlineStr">
        <ns0:is>
          <ns0:t xml:space="preserve">Verify completed Product Catalogue before Stock Management</ns0:t>
        </ns0:is>
      </ns0:c>
      <ns0:c r="E51" s="4" t="str">
        <ns0: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ns0:v>
      </ns0:c>
      <ns0:c r="F51" s="4" t="inlineStr">
        <ns0:is>
          <ns0:t xml:space="preserve">FB-048</ns0:t>
        </ns0:is>
      </ns0:c>
      <ns0:c r="G51" s="4" t="str">
        <ns0:f>IF(H51="Complete","Complete",IF(I51="Blocked","Blocked",IF(I51="In progress","Ready",IF(F51="","Ready",IF(COUNTIFS($B$4:$B$73,F51,$H$4:$H$73,"Complete")=1,"Ready","Waiting")))))</ns0:f>
        <ns0:v>Waiting</ns0:v>
      </ns0:c>
      <ns0:c r="H51" s="4" t="str">
        <ns0:f>IF(I51="Not started","Not started",IF(I51="Blocked","Blocked",IF(I51="In progress","In progress",IF(J51&lt;&gt;"Passed","Awaiting code review",IF(OR(K51="",NOT(ISNUMBER(L51))),"Awaiting review evidence",IF(N51&lt;&gt;"Passed","Awaiting test",IF(OR(M51="",O51="",NOT(ISNUMBER(P51))),"Awaiting test evidence","Complete")))))))</ns0:f>
        <ns0:v>Not started</ns0:v>
      </ns0:c>
      <ns0:c r="I51" s="10" t="inlineStr">
        <ns0:is>
          <ns0:t xml:space="preserve">Not started</ns0:t>
        </ns0:is>
      </ns0:c>
      <ns0:c r="J51" s="10" t="inlineStr">
        <ns0:is>
          <ns0:t xml:space="preserve">Not reviewed</ns0:t>
        </ns0:is>
      </ns0:c>
      <ns0:c r="K51" s="10" t="n"/>
      <ns0:c r="L51" s="30" t="n"/>
      <ns0:c r="M51" s="10" t="n"/>
      <ns0:c r="N51" s="10" t="inlineStr">
        <ns0:is>
          <ns0:t xml:space="preserve">Not tested</ns0:t>
        </ns0:is>
      </ns0:c>
      <ns0:c r="O51" s="10" t="n"/>
      <ns0:c r="P51" s="30" t="n"/>
      <ns0:c r="Q51" s="10" t="n"/>
      <ns0:c r="R51" s="10" t="str">
        <ns0: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1" s="10" t="n"/>
    </ns0:row>
    <ns0:row r="52" ht="105" customHeight="1">
      <ns0:c r="A52" s="9" t="n">
        <ns0:v>49</ns0:v>
      </ns0:c>
      <ns0:c r="B52" s="9" t="inlineStr">
        <ns0:is>
          <ns0:t xml:space="preserve">FB-034</ns0:t>
        </ns0:is>
      </ns0:c>
      <ns0:c r="C52" s="9" t="inlineStr">
        <ns0:is>
          <ns0:t xml:space="preserve">Stock Management</ns0:t>
        </ns0:is>
      </ns0:c>
      <ns0:c r="D52" s="9" t="inlineStr">
        <ns0:is>
          <ns0:t xml:space="preserve">Build reusable package sizes and product stock items</ns0:t>
        </ns0:is>
      </ns0:c>
      <ns0:c r="E52" s="9" t="inlineStr">
        <ns0:is>
          <ns0: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ns0:t>
        </ns0:is>
      </ns0:c>
      <ns0:c r="F52" s="9" t="str">
        <ns0:v>FB-035</ns0:v>
      </ns0:c>
      <ns0:c r="G52" s="9" t="str">
        <ns0:f>IF(H52="Complete","Complete",IF(I52="Blocked","Blocked",IF(I52="In progress","Ready",IF(F52="","Ready",IF(COUNTIFS($B$4:$B$73,F52,$H$4:$H$73,"Complete")=1,"Ready","Waiting")))))</ns0:f>
        <ns0:v>Waiting</ns0:v>
      </ns0:c>
      <ns0:c r="H52" s="9" t="str">
        <ns0:f>IF(I52="Not started","Not started",IF(I52="Blocked","Blocked",IF(I52="In progress","In progress",IF(J52&lt;&gt;"Passed","Awaiting code review",IF(OR(K52="",NOT(ISNUMBER(L52))),"Awaiting review evidence",IF(N52&lt;&gt;"Passed","Awaiting test",IF(OR(M52="",O52="",NOT(ISNUMBER(P52))),"Awaiting test evidence","Complete")))))))</ns0:f>
        <ns0:v>Not started</ns0:v>
      </ns0:c>
      <ns0:c r="I52" s="11" t="inlineStr">
        <ns0:is>
          <ns0:t xml:space="preserve">Not started</ns0:t>
        </ns0:is>
      </ns0:c>
      <ns0:c r="J52" s="11" t="inlineStr">
        <ns0:is>
          <ns0:t xml:space="preserve">Not reviewed</ns0:t>
        </ns0:is>
      </ns0:c>
      <ns0:c r="K52" s="11" t="n"/>
      <ns0:c r="L52" s="31" t="n"/>
      <ns0:c r="M52" s="11" t="n"/>
      <ns0:c r="N52" s="11" t="inlineStr">
        <ns0:is>
          <ns0:t xml:space="preserve">Not tested</ns0:t>
        </ns0:is>
      </ns0:c>
      <ns0:c r="O52" s="11" t="n"/>
      <ns0:c r="P52" s="31" t="n"/>
      <ns0:c r="Q52" s="11" t="inlineStr">
        <ns0:is>
          <ns0: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ns0:t>
        </ns0:is>
      </ns0:c>
      <ns0:c r="R52" s="11" t="str">
        <ns0: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52" s="11" t="n"/>
    </ns0:row>
    <ns0:row r="53" ht="105" customHeight="1">
      <ns0:c r="A53" s="9" t="n">
        <ns0:v>50</ns0:v>
      </ns0:c>
      <ns0:c r="B53" s="9" t="inlineStr">
        <ns0:is>
          <ns0:t xml:space="preserve">FB-049</ns0:t>
        </ns0:is>
      </ns0:c>
      <ns0:c r="C53" s="9" t="inlineStr">
        <ns0:is>
          <ns0:t xml:space="preserve">Receive</ns0:t>
        </ns0:is>
      </ns0:c>
      <ns0:c r="D53" s="9" t="inlineStr">
        <ns0:is>
          <ns0:t xml:space="preserve">Display and lay out a multi-product Receive form</ns0:t>
        </ns0:is>
      </ns0:c>
      <ns0:c r="E53" s="9" t="inlineStr">
        <ns0:is>
          <ns0: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3" s="9" t="inlineStr">
        <ns0:is>
          <ns0:t xml:space="preserve">FB-034</ns0:t>
        </ns0:is>
      </ns0:c>
      <ns0:c r="G53" s="9" t="str">
        <ns0:f>IF(H53="Complete","Complete",IF(I53="Blocked","Blocked",IF(I53="In progress","Ready",IF(F53="","Ready",IF(COUNTIFS($B$4:$B$73,F53,$H$4:$H$73,"Complete")=1,"Ready","Waiting")))))</ns0:f>
        <ns0:v>Waiting</ns0:v>
      </ns0:c>
      <ns0:c r="H53" s="9" t="str">
        <ns0:f>IF(I53="Not started","Not started",IF(I53="Blocked","Blocked",IF(I53="In progress","In progress",IF(J53&lt;&gt;"Passed","Awaiting code review",IF(OR(K53="",NOT(ISNUMBER(L53))),"Awaiting review evidence",IF(N53&lt;&gt;"Passed","Awaiting test",IF(OR(M53="",O53="",NOT(ISNUMBER(P53))),"Awaiting test evidence","Complete")))))))</ns0:f>
        <ns0:v>Not started</ns0:v>
      </ns0:c>
      <ns0:c r="I53" s="11" t="inlineStr">
        <ns0:is>
          <ns0:t xml:space="preserve">Not started</ns0:t>
        </ns0:is>
      </ns0:c>
      <ns0:c r="J53" s="11" t="inlineStr">
        <ns0:is>
          <ns0:t xml:space="preserve">Not reviewed</ns0:t>
        </ns0:is>
      </ns0:c>
      <ns0:c r="K53" s="11" t="n"/>
      <ns0:c r="L53" s="31" t="n"/>
      <ns0:c r="M53" s="11" t="n"/>
      <ns0:c r="N53" s="11" t="inlineStr">
        <ns0:is>
          <ns0:t xml:space="preserve">Not tested</ns0:t>
        </ns0:is>
      </ns0:c>
      <ns0:c r="O53" s="11" t="n"/>
      <ns0:c r="P53" s="31" t="n"/>
      <ns0:c r="Q53" s="11" t="n"/>
      <ns0:c r="R53"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3" s="11" t="n"/>
    </ns0:row>
    <ns0:row r="54" ht="105" customHeight="1">
      <ns0:c r="A54" s="4" t="n">
        <ns0:v>51</ns0:v>
      </ns0:c>
      <ns0:c r="B54" s="4" t="inlineStr">
        <ns0:is>
          <ns0:t xml:space="preserve">FB-050</ns0:t>
        </ns0:is>
      </ns0:c>
      <ns0:c r="C54" s="4" t="inlineStr">
        <ns0:is>
          <ns0:t xml:space="preserve">Receive</ns0:t>
        </ns0:is>
      </ns0:c>
      <ns0:c r="D54" s="4" t="inlineStr">
        <ns0:is>
          <ns0:t xml:space="preserve">Add reactive product rows and whole quantities</ns0:t>
        </ns0:is>
      </ns0:c>
      <ns0:c r="E54" s="4" t="inlineStr">
        <ns0:is>
          <ns0: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4" s="4" t="inlineStr">
        <ns0:is>
          <ns0:t xml:space="preserve">FB-049</ns0:t>
        </ns0:is>
      </ns0:c>
      <ns0:c r="G54" s="4" t="str">
        <ns0:f>IF(H54="Complete","Complete",IF(I54="Blocked","Blocked",IF(I54="In progress","Ready",IF(F54="","Ready",IF(COUNTIFS($B$4:$B$73,F54,$H$4:$H$73,"Complete")=1,"Ready","Waiting")))))</ns0:f>
        <ns0:v>Waiting</ns0:v>
      </ns0:c>
      <ns0:c r="H54" s="4" t="str">
        <ns0:f>IF(I54="Not started","Not started",IF(I54="Blocked","Blocked",IF(I54="In progress","In progress",IF(J54&lt;&gt;"Passed","Awaiting code review",IF(OR(K54="",NOT(ISNUMBER(L54))),"Awaiting review evidence",IF(N54&lt;&gt;"Passed","Awaiting test",IF(OR(M54="",O54="",NOT(ISNUMBER(P54))),"Awaiting test evidence","Complete")))))))</ns0:f>
        <ns0:v>Not started</ns0:v>
      </ns0:c>
      <ns0:c r="I54" s="10" t="inlineStr">
        <ns0:is>
          <ns0:t xml:space="preserve">Not started</ns0:t>
        </ns0:is>
      </ns0:c>
      <ns0:c r="J54" s="10" t="inlineStr">
        <ns0:is>
          <ns0:t xml:space="preserve">Not reviewed</ns0:t>
        </ns0:is>
      </ns0:c>
      <ns0:c r="K54" s="10" t="n"/>
      <ns0:c r="L54" s="30" t="n"/>
      <ns0:c r="M54" s="10" t="n"/>
      <ns0:c r="N54" s="10" t="inlineStr">
        <ns0:is>
          <ns0:t xml:space="preserve">Not tested</ns0:t>
        </ns0:is>
      </ns0:c>
      <ns0:c r="O54" s="10" t="n"/>
      <ns0:c r="P54" s="30" t="n"/>
      <ns0:c r="Q54" s="10" t="n"/>
      <ns0:c r="R54"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4" s="10" t="n"/>
    </ns0:row>
    <ns0:row r="55" ht="105" customHeight="1">
      <ns0:c r="A55" s="9" t="n">
        <ns0:v>52</ns0:v>
      </ns0:c>
      <ns0:c r="B55" s="9" t="inlineStr">
        <ns0:is>
          <ns0:t xml:space="preserve">FB-051</ns0:t>
        </ns0:is>
      </ns0:c>
      <ns0:c r="C55" s="9" t="inlineStr">
        <ns0:is>
          <ns0:t xml:space="preserve">Receive</ns0:t>
        </ns0:is>
      </ns0:c>
      <ns0:c r="D55" s="9" t="inlineStr">
        <ns0:is>
          <ns0:t xml:space="preserve">Save an entire receipt and record stock changes</ns0:t>
        </ns0:is>
      </ns0:c>
      <ns0:c r="E55" s="9" t="inlineStr">
        <ns0:is>
          <ns0: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5" s="9" t="inlineStr">
        <ns0:is>
          <ns0:t xml:space="preserve">FB-050</ns0:t>
        </ns0:is>
      </ns0:c>
      <ns0:c r="G55" s="9" t="str">
        <ns0:f>IF(H55="Complete","Complete",IF(I55="Blocked","Blocked",IF(I55="In progress","Ready",IF(F55="","Ready",IF(COUNTIFS($B$4:$B$73,F55,$H$4:$H$73,"Complete")=1,"Ready","Waiting")))))</ns0:f>
        <ns0:v>Waiting</ns0:v>
      </ns0:c>
      <ns0:c r="H55" s="9" t="str">
        <ns0:f>IF(I55="Not started","Not started",IF(I55="Blocked","Blocked",IF(I55="In progress","In progress",IF(J55&lt;&gt;"Passed","Awaiting code review",IF(OR(K55="",NOT(ISNUMBER(L55))),"Awaiting review evidence",IF(N55&lt;&gt;"Passed","Awaiting test",IF(OR(M55="",O55="",NOT(ISNUMBER(P55))),"Awaiting test evidence","Complete")))))))</ns0:f>
        <ns0:v>Not started</ns0:v>
      </ns0:c>
      <ns0:c r="I55" s="11" t="inlineStr">
        <ns0:is>
          <ns0:t xml:space="preserve">Not started</ns0:t>
        </ns0:is>
      </ns0:c>
      <ns0:c r="J55" s="11" t="inlineStr">
        <ns0:is>
          <ns0:t xml:space="preserve">Not reviewed</ns0:t>
        </ns0:is>
      </ns0:c>
      <ns0:c r="K55" s="11" t="n"/>
      <ns0:c r="L55" s="31" t="n"/>
      <ns0:c r="M55" s="11" t="n"/>
      <ns0:c r="N55" s="11" t="inlineStr">
        <ns0:is>
          <ns0:t xml:space="preserve">Not tested</ns0:t>
        </ns0:is>
      </ns0:c>
      <ns0:c r="O55" s="11" t="n"/>
      <ns0:c r="P55" s="31" t="n"/>
      <ns0:c r="Q55" s="11" t="n"/>
      <ns0:c r="R55"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5" s="11" t="n"/>
    </ns0:row>
    <ns0:row r="56" ht="105" customHeight="1">
      <ns0:c r="A56" s="4" t="n">
        <ns0:v>53</ns0:v>
      </ns0:c>
      <ns0:c r="B56" s="4" t="inlineStr">
        <ns0:is>
          <ns0:t xml:space="preserve">FB-052</ns0:t>
        </ns0:is>
      </ns0:c>
      <ns0:c r="C56" s="4" t="inlineStr">
        <ns0:is>
          <ns0:t xml:space="preserve">Receive</ns0:t>
        </ns0:is>
      </ns0:c>
      <ns0:c r="D56" s="4" t="inlineStr">
        <ns0:is>
          <ns0:t xml:space="preserve">Connect submission feedback and protect stock rules</ns0:t>
        </ns0:is>
      </ns0:c>
      <ns0:c r="E56" s="4" t="inlineStr">
        <ns0:is>
          <ns0: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56" s="4" t="inlineStr">
        <ns0:is>
          <ns0:t xml:space="preserve">FB-051</ns0:t>
        </ns0:is>
      </ns0:c>
      <ns0:c r="G56" s="4" t="str">
        <ns0:f>IF(H56="Complete","Complete",IF(I56="Blocked","Blocked",IF(I56="In progress","Ready",IF(F56="","Ready",IF(COUNTIFS($B$4:$B$73,F56,$H$4:$H$73,"Complete")=1,"Ready","Waiting")))))</ns0:f>
        <ns0:v>Waiting</ns0:v>
      </ns0:c>
      <ns0:c r="H56" s="4" t="str">
        <ns0:f>IF(I56="Not started","Not started",IF(I56="Blocked","Blocked",IF(I56="In progress","In progress",IF(J56&lt;&gt;"Passed","Awaiting code review",IF(OR(K56="",NOT(ISNUMBER(L56))),"Awaiting review evidence",IF(N56&lt;&gt;"Passed","Awaiting test",IF(OR(M56="",O56="",NOT(ISNUMBER(P56))),"Awaiting test evidence","Complete")))))))</ns0:f>
        <ns0:v>Not started</ns0:v>
      </ns0:c>
      <ns0:c r="I56" s="10" t="inlineStr">
        <ns0:is>
          <ns0:t xml:space="preserve">Not started</ns0:t>
        </ns0:is>
      </ns0:c>
      <ns0:c r="J56" s="10" t="inlineStr">
        <ns0:is>
          <ns0:t xml:space="preserve">Not reviewed</ns0:t>
        </ns0:is>
      </ns0:c>
      <ns0:c r="K56" s="10" t="n"/>
      <ns0:c r="L56" s="30" t="n"/>
      <ns0:c r="M56" s="10" t="n"/>
      <ns0:c r="N56" s="10" t="inlineStr">
        <ns0:is>
          <ns0:t xml:space="preserve">Not tested</ns0:t>
        </ns0:is>
      </ns0:c>
      <ns0:c r="O56" s="10" t="n"/>
      <ns0:c r="P56" s="30" t="n"/>
      <ns0:c r="Q56" s="10" t="n"/>
      <ns0:c r="R56"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6" s="10" t="n"/>
    </ns0:row>
    <ns0:row r="57" ht="105" customHeight="1">
      <ns0:c r="A57" s="9" t="n">
        <ns0:v>54</ns0:v>
      </ns0:c>
      <ns0:c r="B57" s="9" t="inlineStr">
        <ns0:is>
          <ns0:t xml:space="preserve">FB-053</ns0:t>
        </ns0:is>
      </ns0:c>
      <ns0:c r="C57" s="9" t="inlineStr">
        <ns0:is>
          <ns0:t xml:space="preserve">Receive</ns0:t>
        </ns0:is>
      </ns0:c>
      <ns0:c r="D57" s="9" t="inlineStr">
        <ns0:is>
          <ns0:t xml:space="preserve">Verify stock measurement locks and catalogue deactivation guard</ns0:t>
        </ns0:is>
      </ns0:c>
      <ns0:c r="E57" s="9" t="inlineStr">
        <ns0:is>
          <ns0: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ns0:t>
        </ns0:is>
      </ns0:c>
      <ns0:c r="F57" s="9" t="inlineStr">
        <ns0:is>
          <ns0:t xml:space="preserve">FB-052</ns0:t>
        </ns0:is>
      </ns0:c>
      <ns0:c r="G57" s="9" t="str">
        <ns0:f>IF(H57="Complete","Complete",IF(I57="Blocked","Blocked",IF(I57="In progress","Ready",IF(F57="","Ready",IF(COUNTIFS($B$4:$B$73,F57,$H$4:$H$73,"Complete")=1,"Ready","Waiting")))))</ns0:f>
        <ns0:v>Waiting</ns0:v>
      </ns0:c>
      <ns0:c r="H57" s="9" t="str">
        <ns0:f>IF(I57="Not started","Not started",IF(I57="Blocked","Blocked",IF(I57="In progress","In progress",IF(J57&lt;&gt;"Passed","Awaiting code review",IF(OR(K57="",NOT(ISNUMBER(L57))),"Awaiting review evidence",IF(N57&lt;&gt;"Passed","Awaiting test",IF(OR(M57="",O57="",NOT(ISNUMBER(P57))),"Awaiting test evidence","Complete")))))))</ns0:f>
        <ns0:v>Not started</ns0:v>
      </ns0:c>
      <ns0:c r="I57" s="11" t="inlineStr">
        <ns0:is>
          <ns0:t xml:space="preserve">Not started</ns0:t>
        </ns0:is>
      </ns0:c>
      <ns0:c r="J57" s="11" t="inlineStr">
        <ns0:is>
          <ns0:t xml:space="preserve">Not reviewed</ns0:t>
        </ns0:is>
      </ns0:c>
      <ns0:c r="K57" s="11" t="n"/>
      <ns0:c r="L57" s="31" t="n"/>
      <ns0:c r="M57" s="11" t="n"/>
      <ns0:c r="N57" s="11" t="inlineStr">
        <ns0:is>
          <ns0:t xml:space="preserve">Not tested</ns0:t>
        </ns0:is>
      </ns0:c>
      <ns0:c r="O57" s="11" t="n"/>
      <ns0:c r="P57" s="31" t="n"/>
      <ns0:c r="Q57" s="11" t="n"/>
      <ns0:c r="R57"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7" s="11" t="n"/>
    </ns0:row>
    <ns0:row r="58" ht="105" customHeight="1">
      <ns0:c r="A58" s="4" t="n">
        <ns0:v>55</ns0:v>
      </ns0:c>
      <ns0:c r="B58" s="4" t="inlineStr">
        <ns0:is>
          <ns0:t xml:space="preserve">FB-054</ns0:t>
        </ns0:is>
      </ns0:c>
      <ns0:c r="C58" s="4" t="inlineStr">
        <ns0:is>
          <ns0:t xml:space="preserve">History</ns0:t>
        </ns0:is>
      </ns0:c>
      <ns0:c r="D58" s="4" t="inlineStr">
        <ns0:is>
          <ns0:t xml:space="preserve">Show stock movement history within Stock Management</ns0:t>
        </ns0:is>
      </ns0:c>
      <ns0:c r="E58" s="4" t="inlineStr">
        <ns0:is>
          <ns0: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ns0:t>
        </ns0:is>
      </ns0:c>
      <ns0:c r="F58" s="4" t="inlineStr">
        <ns0:is>
          <ns0:t xml:space="preserve">FB-053</ns0:t>
        </ns0:is>
      </ns0:c>
      <ns0:c r="G58" s="4" t="str">
        <ns0:f>IF(H58="Complete","Complete",IF(I58="Blocked","Blocked",IF(I58="In progress","Ready",IF(F58="","Ready",IF(COUNTIFS($B$4:$B$73,F58,$H$4:$H$73,"Complete")=1,"Ready","Waiting")))))</ns0:f>
        <ns0:v>Waiting</ns0:v>
      </ns0:c>
      <ns0:c r="H58" s="4" t="str">
        <ns0:f>IF(I58="Not started","Not started",IF(I58="Blocked","Blocked",IF(I58="In progress","In progress",IF(J58&lt;&gt;"Passed","Awaiting code review",IF(OR(K58="",NOT(ISNUMBER(L58))),"Awaiting review evidence",IF(N58&lt;&gt;"Passed","Awaiting test",IF(OR(M58="",O58="",NOT(ISNUMBER(P58))),"Awaiting test evidence","Complete")))))))</ns0:f>
        <ns0:v>Not started</ns0:v>
      </ns0:c>
      <ns0:c r="I58" s="10" t="inlineStr">
        <ns0:is>
          <ns0:t xml:space="preserve">Not started</ns0:t>
        </ns0:is>
      </ns0:c>
      <ns0:c r="J58" s="10" t="inlineStr">
        <ns0:is>
          <ns0:t xml:space="preserve">Not reviewed</ns0:t>
        </ns0:is>
      </ns0:c>
      <ns0:c r="K58" s="10" t="n"/>
      <ns0:c r="L58" s="30" t="n"/>
      <ns0:c r="M58" s="10" t="n"/>
      <ns0:c r="N58" s="10" t="inlineStr">
        <ns0:is>
          <ns0:t xml:space="preserve">Not tested</ns0:t>
        </ns0:is>
      </ns0:c>
      <ns0:c r="O58" s="10" t="n"/>
      <ns0:c r="P58" s="30" t="n"/>
      <ns0:c r="Q58" s="10" t="n"/>
      <ns0:c r="R58"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8" s="10" t="n"/>
    </ns0:row>
    <ns0:row r="59" ht="105" customHeight="1">
      <ns0:c r="A59" s="9" t="n">
        <ns0:v>56</ns0:v>
      </ns0:c>
      <ns0:c r="B59" s="9" t="inlineStr">
        <ns0:is>
          <ns0:t xml:space="preserve">FB-065</ns0:t>
        </ns0:is>
      </ns0:c>
      <ns0:c r="C59" s="9" t="inlineStr">
        <ns0:is>
          <ns0:t xml:space="preserve">Totals</ns0:t>
        </ns0:is>
      </ns0:c>
      <ns0:c r="D59" s="9" t="inlineStr">
        <ns0:is>
          <ns0:t xml:space="preserve">Calculate stock summaries within Stock Management</ns0:t>
        </ns0:is>
      </ns0:c>
      <ns0:c r="E59" s="9" t="inlineStr">
        <ns0:is>
          <ns0: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ns0:t>
        </ns0:is>
      </ns0:c>
      <ns0:c r="F59" s="9" t="inlineStr">
        <ns0:is>
          <ns0:t xml:space="preserve">FB-054</ns0:t>
        </ns0:is>
      </ns0:c>
      <ns0:c r="G59" s="9" t="str">
        <ns0:f>IF(H59="Complete","Complete",IF(I59="Blocked","Blocked",IF(I59="In progress","Ready",IF(F59="","Ready",IF(COUNTIFS($B$4:$B$73,F59,$H$4:$H$73,"Complete")=1,"Ready","Waiting")))))</ns0:f>
        <ns0:v>Waiting</ns0:v>
      </ns0:c>
      <ns0:c r="H59" s="9" t="str">
        <ns0:f>IF(I59="Not started","Not started",IF(I59="Blocked","Blocked",IF(I59="In progress","In progress",IF(J59&lt;&gt;"Passed","Awaiting code review",IF(OR(K59="",NOT(ISNUMBER(L59))),"Awaiting review evidence",IF(N59&lt;&gt;"Passed","Awaiting test",IF(OR(M59="",O59="",NOT(ISNUMBER(P59))),"Awaiting test evidence","Complete")))))))</ns0:f>
        <ns0:v>Not started</ns0:v>
      </ns0:c>
      <ns0:c r="I59" s="11" t="inlineStr">
        <ns0:is>
          <ns0:t xml:space="preserve">Not started</ns0:t>
        </ns0:is>
      </ns0:c>
      <ns0:c r="J59" s="11" t="inlineStr">
        <ns0:is>
          <ns0:t xml:space="preserve">Not reviewed</ns0:t>
        </ns0:is>
      </ns0:c>
      <ns0:c r="K59" s="11" t="n"/>
      <ns0:c r="L59" s="31" t="n"/>
      <ns0:c r="M59" s="11" t="n"/>
      <ns0:c r="N59" s="11" t="inlineStr">
        <ns0:is>
          <ns0:t xml:space="preserve">Not tested</ns0:t>
        </ns0:is>
      </ns0:c>
      <ns0:c r="O59" s="11" t="n"/>
      <ns0:c r="P59" s="31" t="n"/>
      <ns0:c r="Q59" s="11" t="n"/>
      <ns0:c r="R59"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59" s="11" t="n"/>
    </ns0:row>
    <ns0:row r="60" ht="105" customHeight="1">
      <ns0:c r="A60" s="4" t="n">
        <ns0:v>57</ns0:v>
      </ns0:c>
      <ns0:c r="B60" s="4" t="inlineStr">
        <ns0:is>
          <ns0:t xml:space="preserve">FB-066</ns0:t>
        </ns0:is>
      </ns0:c>
      <ns0:c r="C60" s="4" t="inlineStr">
        <ns0:is>
          <ns0:t xml:space="preserve">Totals</ns0:t>
        </ns0:is>
      </ns0:c>
      <ns0:c r="D60" s="4" t="inlineStr">
        <ns0:is>
          <ns0:t xml:space="preserve">Display combined totals within Stock Management</ns0:t>
        </ns0:is>
      </ns0:c>
      <ns0:c r="E60" s="4" t="inlineStr">
        <ns0:is>
          <ns0: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ns0:t>
        </ns0:is>
      </ns0:c>
      <ns0:c r="F60" s="4" t="inlineStr">
        <ns0:is>
          <ns0:t xml:space="preserve">FB-065</ns0:t>
        </ns0:is>
      </ns0:c>
      <ns0:c r="G60" s="4" t="str">
        <ns0:f>IF(H60="Complete","Complete",IF(I60="Blocked","Blocked",IF(I60="In progress","Ready",IF(F60="","Ready",IF(COUNTIFS($B$4:$B$73,F60,$H$4:$H$73,"Complete")=1,"Ready","Waiting")))))</ns0:f>
        <ns0:v>Waiting</ns0:v>
      </ns0:c>
      <ns0:c r="H60" s="4" t="str">
        <ns0:f>IF(I60="Not started","Not started",IF(I60="Blocked","Blocked",IF(I60="In progress","In progress",IF(J60&lt;&gt;"Passed","Awaiting code review",IF(OR(K60="",NOT(ISNUMBER(L60))),"Awaiting review evidence",IF(N60&lt;&gt;"Passed","Awaiting test",IF(OR(M60="",O60="",NOT(ISNUMBER(P60))),"Awaiting test evidence","Complete")))))))</ns0:f>
        <ns0:v>Not started</ns0:v>
      </ns0:c>
      <ns0:c r="I60" s="10" t="inlineStr">
        <ns0:is>
          <ns0:t xml:space="preserve">Not started</ns0:t>
        </ns0:is>
      </ns0:c>
      <ns0:c r="J60" s="10" t="inlineStr">
        <ns0:is>
          <ns0:t xml:space="preserve">Not reviewed</ns0:t>
        </ns0:is>
      </ns0:c>
      <ns0:c r="K60" s="10" t="n"/>
      <ns0:c r="L60" s="30" t="n"/>
      <ns0:c r="M60" s="10" t="n"/>
      <ns0:c r="N60" s="10" t="inlineStr">
        <ns0:is>
          <ns0:t xml:space="preserve">Not tested</ns0:t>
        </ns0:is>
      </ns0:c>
      <ns0:c r="O60" s="10" t="n"/>
      <ns0:c r="P60" s="30" t="n"/>
      <ns0:c r="Q60" s="10" t="n"/>
      <ns0:c r="R60"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0" s="10" t="n"/>
    </ns0:row>
    <ns0:row r="61" ht="105" customHeight="1">
      <ns0:c r="A61" s="9" t="n">
        <ns0:v>58</ns0:v>
      </ns0:c>
      <ns0:c r="B61" s="9" t="inlineStr">
        <ns0:is>
          <ns0:t xml:space="preserve">FB-055</ns0:t>
        </ns0:is>
      </ns0:c>
      <ns0:c r="C61" s="9" t="inlineStr">
        <ns0:is>
          <ns0:t xml:space="preserve">Adjust</ns0:t>
        </ns0:is>
      </ns0:c>
      <ns0:c r="D61" s="9" t="inlineStr">
        <ns0:is>
          <ns0:t xml:space="preserve">Build and lay out the single-product adjustment form</ns0:t>
        </ns0:is>
      </ns0:c>
      <ns0:c r="E61" s="9" t="inlineStr">
        <ns0:is>
          <ns0: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1" s="9" t="inlineStr">
        <ns0:is>
          <ns0:t xml:space="preserve">FB-066</ns0:t>
        </ns0:is>
      </ns0:c>
      <ns0:c r="G61" s="9" t="str">
        <ns0:f>IF(H61="Complete","Complete",IF(I61="Blocked","Blocked",IF(I61="In progress","Ready",IF(F61="","Ready",IF(COUNTIFS($B$4:$B$73,F61,$H$4:$H$73,"Complete")=1,"Ready","Waiting")))))</ns0:f>
        <ns0:v>Waiting</ns0:v>
      </ns0:c>
      <ns0:c r="H61" s="9" t="str">
        <ns0:f>IF(I61="Not started","Not started",IF(I61="Blocked","Blocked",IF(I61="In progress","In progress",IF(J61&lt;&gt;"Passed","Awaiting code review",IF(OR(K61="",NOT(ISNUMBER(L61))),"Awaiting review evidence",IF(N61&lt;&gt;"Passed","Awaiting test",IF(OR(M61="",O61="",NOT(ISNUMBER(P61))),"Awaiting test evidence","Complete")))))))</ns0:f>
        <ns0:v>Not started</ns0:v>
      </ns0:c>
      <ns0:c r="I61" s="11" t="inlineStr">
        <ns0:is>
          <ns0:t xml:space="preserve">Not started</ns0:t>
        </ns0:is>
      </ns0:c>
      <ns0:c r="J61" s="11" t="inlineStr">
        <ns0:is>
          <ns0:t xml:space="preserve">Not reviewed</ns0:t>
        </ns0:is>
      </ns0:c>
      <ns0:c r="K61" s="11" t="n"/>
      <ns0:c r="L61" s="31" t="n"/>
      <ns0:c r="M61" s="11" t="n"/>
      <ns0:c r="N61" s="11" t="inlineStr">
        <ns0:is>
          <ns0:t xml:space="preserve">Not tested</ns0:t>
        </ns0:is>
      </ns0:c>
      <ns0:c r="O61" s="11" t="n"/>
      <ns0:c r="P61" s="31" t="n"/>
      <ns0:c r="Q61" s="11" t="n"/>
      <ns0:c r="R61"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1" s="11" t="n"/>
    </ns0:row>
    <ns0:row r="62" ht="105" customHeight="1">
      <ns0:c r="A62" s="4" t="n">
        <ns0:v>59</ns0:v>
      </ns0:c>
      <ns0:c r="B62" s="4" t="inlineStr">
        <ns0:is>
          <ns0:t xml:space="preserve">FB-056</ns0:t>
        </ns0:is>
      </ns0:c>
      <ns0:c r="C62" s="4" t="inlineStr">
        <ns0:is>
          <ns0:t xml:space="preserve">Adjust</ns0:t>
        </ns0:is>
      </ns0:c>
      <ns0:c r="D62" s="4" t="inlineStr">
        <ns0:is>
          <ns0:t xml:space="preserve">Save adjustments without negative balances</ns0:t>
        </ns0:is>
      </ns0:c>
      <ns0:c r="E62" s="4" t="inlineStr">
        <ns0:is>
          <ns0: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2" s="4" t="inlineStr">
        <ns0:is>
          <ns0:t xml:space="preserve">FB-055</ns0:t>
        </ns0:is>
      </ns0:c>
      <ns0:c r="G62" s="4" t="str">
        <ns0:f>IF(H62="Complete","Complete",IF(I62="Blocked","Blocked",IF(I62="In progress","Ready",IF(F62="","Ready",IF(COUNTIFS($B$4:$B$73,F62,$H$4:$H$73,"Complete")=1,"Ready","Waiting")))))</ns0:f>
        <ns0:v>Waiting</ns0:v>
      </ns0:c>
      <ns0:c r="H62" s="4" t="str">
        <ns0:f>IF(I62="Not started","Not started",IF(I62="Blocked","Blocked",IF(I62="In progress","In progress",IF(J62&lt;&gt;"Passed","Awaiting code review",IF(OR(K62="",NOT(ISNUMBER(L62))),"Awaiting review evidence",IF(N62&lt;&gt;"Passed","Awaiting test",IF(OR(M62="",O62="",NOT(ISNUMBER(P62))),"Awaiting test evidence","Complete")))))))</ns0:f>
        <ns0:v>Not started</ns0:v>
      </ns0:c>
      <ns0:c r="I62" s="10" t="inlineStr">
        <ns0:is>
          <ns0:t xml:space="preserve">Not started</ns0:t>
        </ns0:is>
      </ns0:c>
      <ns0:c r="J62" s="10" t="inlineStr">
        <ns0:is>
          <ns0:t xml:space="preserve">Not reviewed</ns0:t>
        </ns0:is>
      </ns0:c>
      <ns0:c r="K62" s="10" t="n"/>
      <ns0:c r="L62" s="30" t="n"/>
      <ns0:c r="M62" s="10" t="n"/>
      <ns0:c r="N62" s="10" t="inlineStr">
        <ns0:is>
          <ns0:t xml:space="preserve">Not tested</ns0:t>
        </ns0:is>
      </ns0:c>
      <ns0:c r="O62" s="10" t="n"/>
      <ns0:c r="P62" s="30" t="n"/>
      <ns0:c r="Q62" s="10" t="n"/>
      <ns0:c r="R62"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2" s="10" t="n"/>
    </ns0:row>
    <ns0:row r="63" ht="105" customHeight="1">
      <ns0:c r="A63" s="9" t="n">
        <ns0:v>60</ns0:v>
      </ns0:c>
      <ns0:c r="B63" s="9" t="inlineStr">
        <ns0:is>
          <ns0:t xml:space="preserve">FB-057</ns0:t>
        </ns0:is>
      </ns0:c>
      <ns0:c r="C63" s="9" t="inlineStr">
        <ns0:is>
          <ns0:t xml:space="preserve">Household samples</ns0:t>
        </ns0:is>
      </ns0:c>
      <ns0:c r="D63" s="9" t="inlineStr">
        <ns0:is>
          <ns0:t xml:space="preserve">Prepare and verify 20 fictional households</ns0:t>
        </ns0:is>
      </ns0:c>
      <ns0:c r="E63" s="9" t="inlineStr">
        <ns0:is>
          <ns0:t xml:space="preserve">Unique reference, contact first/last name, address, positive household size, required unique Canadian phone, optional unique supplied email; multiple blanks allowed. No household management screens or automatic allowances. Developer runs explained data-changing commands.</ns0:t>
        </ns0:is>
      </ns0:c>
      <ns0:c r="F63" s="9" t="inlineStr">
        <ns0:is>
          <ns0:t xml:space="preserve">FB-056</ns0:t>
        </ns0:is>
      </ns0:c>
      <ns0:c r="G63" s="9" t="str">
        <ns0:f>IF(H63="Complete","Complete",IF(I63="Blocked","Blocked",IF(I63="In progress","Ready",IF(F63="","Ready",IF(COUNTIFS($B$4:$B$73,F63,$H$4:$H$73,"Complete")=1,"Ready","Waiting")))))</ns0:f>
        <ns0:v>Waiting</ns0:v>
      </ns0:c>
      <ns0:c r="H63" s="9" t="str">
        <ns0:f>IF(I63="Not started","Not started",IF(I63="Blocked","Blocked",IF(I63="In progress","In progress",IF(J63&lt;&gt;"Passed","Awaiting code review",IF(OR(K63="",NOT(ISNUMBER(L63))),"Awaiting review evidence",IF(N63&lt;&gt;"Passed","Awaiting test",IF(OR(M63="",O63="",NOT(ISNUMBER(P63))),"Awaiting test evidence","Complete")))))))</ns0:f>
        <ns0:v>Not started</ns0:v>
      </ns0:c>
      <ns0:c r="I63" s="11" t="inlineStr">
        <ns0:is>
          <ns0:t xml:space="preserve">Not started</ns0:t>
        </ns0:is>
      </ns0:c>
      <ns0:c r="J63" s="11" t="inlineStr">
        <ns0:is>
          <ns0:t xml:space="preserve">Not reviewed</ns0:t>
        </ns0:is>
      </ns0:c>
      <ns0:c r="K63" s="11" t="n"/>
      <ns0:c r="L63" s="31" t="n"/>
      <ns0:c r="M63" s="11" t="n"/>
      <ns0:c r="N63" s="11" t="inlineStr">
        <ns0:is>
          <ns0:t xml:space="preserve">Not tested</ns0:t>
        </ns0:is>
      </ns0:c>
      <ns0:c r="O63" s="11" t="n"/>
      <ns0:c r="P63" s="31" t="n"/>
      <ns0:c r="Q63" s="11" t="n"/>
      <ns0:c r="R63" s="11" t="inlineStr">
        <ns0:is>
          <ns0:t xml:space="preserve">Before starting this item or feature: reread AGENTS.md from disk; apply its teaching and testing rules.
Next: Start this item after the previous item is complete.</ns0:t>
        </ns0:is>
      </ns0:c>
      <ns0:c r="S63" s="11" t="n"/>
    </ns0:row>
    <ns0:row r="64" ht="105" customHeight="1">
      <ns0:c r="A64" s="4" t="n">
        <ns0:v>61</ns0:v>
      </ns0:c>
      <ns0:c r="B64" s="4" t="inlineStr">
        <ns0:is>
          <ns0:t xml:space="preserve">FB-058</ns0:t>
        </ns0:is>
      </ns0:c>
      <ns0:c r="C64" s="4" t="inlineStr">
        <ns0:is>
          <ns0:t xml:space="preserve">Distribute</ns0:t>
        </ns0:is>
      </ns0:c>
      <ns0:c r="D64" s="4" t="inlineStr">
        <ns0:is>
          <ns0:t xml:space="preserve">Search and select one household</ns0:t>
        </ns0:is>
      </ns0:c>
      <ns0:c r="E64" s="4" t="inlineStr">
        <ns0:is>
          <ns0:t xml:space="preserve">All roles performing distribution can search by reference/contact name/phone. Show enough details to distinguish households. Appointments checked outside app; no scheduling/appointment records or account-management access.</ns0:t>
        </ns0:is>
      </ns0:c>
      <ns0:c r="F64" s="4" t="inlineStr">
        <ns0:is>
          <ns0:t xml:space="preserve">FB-057</ns0:t>
        </ns0:is>
      </ns0:c>
      <ns0:c r="G64" s="4" t="str">
        <ns0:f>IF(H64="Complete","Complete",IF(I64="Blocked","Blocked",IF(I64="In progress","Ready",IF(F64="","Ready",IF(COUNTIFS($B$4:$B$73,F64,$H$4:$H$73,"Complete")=1,"Ready","Waiting")))))</ns0:f>
        <ns0:v>Waiting</ns0:v>
      </ns0:c>
      <ns0:c r="H64" s="4" t="str">
        <ns0:f>IF(I64="Not started","Not started",IF(I64="Blocked","Blocked",IF(I64="In progress","In progress",IF(J64&lt;&gt;"Passed","Awaiting code review",IF(OR(K64="",NOT(ISNUMBER(L64))),"Awaiting review evidence",IF(N64&lt;&gt;"Passed","Awaiting test",IF(OR(M64="",O64="",NOT(ISNUMBER(P64))),"Awaiting test evidence","Complete")))))))</ns0:f>
        <ns0:v>Not started</ns0:v>
      </ns0:c>
      <ns0:c r="I64" s="10" t="inlineStr">
        <ns0:is>
          <ns0:t xml:space="preserve">Not started</ns0:t>
        </ns0:is>
      </ns0:c>
      <ns0:c r="J64" s="10" t="inlineStr">
        <ns0:is>
          <ns0:t xml:space="preserve">Not reviewed</ns0:t>
        </ns0:is>
      </ns0:c>
      <ns0:c r="K64" s="10" t="n"/>
      <ns0:c r="L64" s="30" t="n"/>
      <ns0:c r="M64" s="10" t="n"/>
      <ns0:c r="N64" s="10" t="inlineStr">
        <ns0:is>
          <ns0:t xml:space="preserve">Not tested</ns0:t>
        </ns0:is>
      </ns0:c>
      <ns0:c r="O64" s="10" t="n"/>
      <ns0:c r="P64" s="30" t="n"/>
      <ns0:c r="Q64" s="10" t="n"/>
      <ns0:c r="R64" s="10" t="inlineStr">
        <ns0:is>
          <ns0: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ns0:t>
        </ns0:is>
      </ns0:c>
      <ns0:c r="S64" s="10" t="n"/>
    </ns0:row>
    <ns0:row r="65" ht="105" customHeight="1">
      <ns0:c r="A65" s="9" t="n">
        <ns0:v>62</ns0:v>
      </ns0:c>
      <ns0:c r="B65" s="9" t="inlineStr">
        <ns0:is>
          <ns0:t xml:space="preserve">FB-059</ns0:t>
        </ns0:is>
      </ns0:c>
      <ns0:c r="C65" s="9" t="inlineStr">
        <ns0:is>
          <ns0:t xml:space="preserve">Distribute</ns0:t>
        </ns0:is>
      </ns0:c>
      <ns0:c r="D65" s="9" t="inlineStr">
        <ns0:is>
          <ns0:t xml:space="preserve">Choose a subcategory and available package sizes</ns0:t>
        </ns0:is>
      </ns0:c>
      <ns0:c r="E65" s="9" t="inlineStr">
        <ns0:is>
          <ns0: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5" s="9" t="inlineStr">
        <ns0:is>
          <ns0:t xml:space="preserve">FB-058</ns0:t>
        </ns0:is>
      </ns0:c>
      <ns0:c r="G65" s="9" t="str">
        <ns0:f>IF(H65="Complete","Complete",IF(I65="Blocked","Blocked",IF(I65="In progress","Ready",IF(F65="","Ready",IF(COUNTIFS($B$4:$B$73,F65,$H$4:$H$73,"Complete")=1,"Ready","Waiting")))))</ns0:f>
        <ns0:v>Waiting</ns0:v>
      </ns0:c>
      <ns0:c r="H65" s="9" t="str">
        <ns0:f>IF(I65="Not started","Not started",IF(I65="Blocked","Blocked",IF(I65="In progress","In progress",IF(J65&lt;&gt;"Passed","Awaiting code review",IF(OR(K65="",NOT(ISNUMBER(L65))),"Awaiting review evidence",IF(N65&lt;&gt;"Passed","Awaiting test",IF(OR(M65="",O65="",NOT(ISNUMBER(P65))),"Awaiting test evidence","Complete")))))))</ns0:f>
        <ns0:v>Not started</ns0:v>
      </ns0:c>
      <ns0:c r="I65" s="11" t="inlineStr">
        <ns0:is>
          <ns0:t xml:space="preserve">Not started</ns0:t>
        </ns0:is>
      </ns0:c>
      <ns0:c r="J65" s="11" t="inlineStr">
        <ns0:is>
          <ns0:t xml:space="preserve">Not reviewed</ns0:t>
        </ns0:is>
      </ns0:c>
      <ns0:c r="K65" s="11" t="n"/>
      <ns0:c r="L65" s="31" t="n"/>
      <ns0:c r="M65" s="11" t="n"/>
      <ns0:c r="N65" s="11" t="inlineStr">
        <ns0:is>
          <ns0:t xml:space="preserve">Not tested</ns0:t>
        </ns0:is>
      </ns0:c>
      <ns0:c r="O65" s="11" t="n"/>
      <ns0:c r="P65" s="31" t="n"/>
      <ns0:c r="Q65" s="11"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5" s="11" t="str">
        <ns0: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65" s="11" t="n"/>
    </ns0:row>
    <ns0:row r="66" ht="105" customHeight="1">
      <ns0:c r="A66" s="4" t="n">
        <ns0:v>63</ns0:v>
      </ns0:c>
      <ns0:c r="B66" s="4" t="inlineStr">
        <ns0:is>
          <ns0:t xml:space="preserve">FB-060</ns0:t>
        </ns0:is>
      </ns0:c>
      <ns0:c r="C66" s="4" t="inlineStr">
        <ns0:is>
          <ns0:t xml:space="preserve">Distribute</ns0:t>
        </ns0:is>
      </ns0:c>
      <ns0:c r="D66" s="4" t="inlineStr">
        <ns0:is>
          <ns0:t xml:space="preserve">Add product search within selection</ns0:t>
        </ns0:is>
      </ns0:c>
      <ns0:c r="E66" s="4" t="inlineStr">
        <ns0:is>
          <ns0: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6" s="4" t="inlineStr">
        <ns0:is>
          <ns0:t xml:space="preserve">FB-059</ns0:t>
        </ns0:is>
      </ns0:c>
      <ns0:c r="G66" s="4" t="str">
        <ns0:f>IF(H66="Complete","Complete",IF(I66="Blocked","Blocked",IF(I66="In progress","Ready",IF(F66="","Ready",IF(COUNTIFS($B$4:$B$73,F66,$H$4:$H$73,"Complete")=1,"Ready","Waiting")))))</ns0:f>
        <ns0:v>Waiting</ns0:v>
      </ns0:c>
      <ns0:c r="H66" s="4" t="str">
        <ns0:f>IF(I66="Not started","Not started",IF(I66="Blocked","Blocked",IF(I66="In progress","In progress",IF(J66&lt;&gt;"Passed","Awaiting code review",IF(OR(K66="",NOT(ISNUMBER(L66))),"Awaiting review evidence",IF(N66&lt;&gt;"Passed","Awaiting test",IF(OR(M66="",O66="",NOT(ISNUMBER(P66))),"Awaiting test evidence","Complete")))))))</ns0:f>
        <ns0:v>Not started</ns0:v>
      </ns0:c>
      <ns0:c r="I66" s="10" t="inlineStr">
        <ns0:is>
          <ns0:t xml:space="preserve">Not started</ns0:t>
        </ns0:is>
      </ns0:c>
      <ns0:c r="J66" s="10" t="inlineStr">
        <ns0:is>
          <ns0:t xml:space="preserve">Not reviewed</ns0:t>
        </ns0:is>
      </ns0:c>
      <ns0:c r="K66" s="10" t="n"/>
      <ns0:c r="L66" s="30" t="n"/>
      <ns0:c r="M66" s="10" t="n"/>
      <ns0:c r="N66" s="10" t="inlineStr">
        <ns0:is>
          <ns0:t xml:space="preserve">Not tested</ns0:t>
        </ns0:is>
      </ns0:c>
      <ns0:c r="O66" s="10" t="n"/>
      <ns0:c r="P66" s="30" t="n"/>
      <ns0:c r="Q66" s="10"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6" s="10" t="str">
        <ns0: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S66" s="10" t="n"/>
    </ns0:row>
    <ns0:row r="67" ht="105" customHeight="1">
      <ns0:c r="A67" s="9" t="n">
        <ns0:v>64</ns0:v>
      </ns0:c>
      <ns0:c r="B67" s="9" t="inlineStr">
        <ns0:is>
          <ns0:t xml:space="preserve">FB-061</ns0:t>
        </ns0:is>
      </ns0:c>
      <ns0:c r="C67" s="9" t="inlineStr">
        <ns0:is>
          <ns0:t xml:space="preserve">Distribute</ns0:t>
        </ns0:is>
      </ns0:c>
      <ns0:c r="D67" s="9" t="inlineStr">
        <ns0:is>
          <ns0:t xml:space="preserve">Build a multi-product distribution selection</ns0:t>
        </ns0:is>
      </ns0:c>
      <ns0:c r="E67" s="9" t="inlineStr">
        <ns0:is>
          <ns0: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7" s="9" t="inlineStr">
        <ns0:is>
          <ns0:t xml:space="preserve">FB-060</ns0:t>
        </ns0:is>
      </ns0:c>
      <ns0:c r="G67" s="9" t="str">
        <ns0:f>IF(H67="Complete","Complete",IF(I67="Blocked","Blocked",IF(I67="In progress","Ready",IF(F67="","Ready",IF(COUNTIFS($B$4:$B$73,F67,$H$4:$H$73,"Complete")=1,"Ready","Waiting")))))</ns0:f>
        <ns0:v>Waiting</ns0:v>
      </ns0:c>
      <ns0:c r="H67" s="9" t="str">
        <ns0:f>IF(I67="Not started","Not started",IF(I67="Blocked","Blocked",IF(I67="In progress","In progress",IF(J67&lt;&gt;"Passed","Awaiting code review",IF(OR(K67="",NOT(ISNUMBER(L67))),"Awaiting review evidence",IF(N67&lt;&gt;"Passed","Awaiting test",IF(OR(M67="",O67="",NOT(ISNUMBER(P67))),"Awaiting test evidence","Complete")))))))</ns0:f>
        <ns0:v>Not started</ns0:v>
      </ns0:c>
      <ns0:c r="I67" s="11" t="inlineStr">
        <ns0:is>
          <ns0:t xml:space="preserve">Not started</ns0:t>
        </ns0:is>
      </ns0:c>
      <ns0:c r="J67" s="11" t="inlineStr">
        <ns0:is>
          <ns0:t xml:space="preserve">Not reviewed</ns0:t>
        </ns0:is>
      </ns0:c>
      <ns0:c r="K67" s="11" t="n"/>
      <ns0:c r="L67" s="31" t="n"/>
      <ns0:c r="M67" s="11" t="n"/>
      <ns0:c r="N67" s="11" t="inlineStr">
        <ns0:is>
          <ns0:t xml:space="preserve">Not tested</ns0:t>
        </ns0:is>
      </ns0:c>
      <ns0:c r="O67" s="11" t="n"/>
      <ns0:c r="P67" s="31" t="n"/>
      <ns0:c r="Q67" s="11" t="n"/>
      <ns0:c r="R67"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7" s="11" t="n"/>
    </ns0:row>
    <ns0:row r="68" ht="105" customHeight="1">
      <ns0:c r="A68" s="4" t="n">
        <ns0:v>65</ns0:v>
      </ns0:c>
      <ns0:c r="B68" s="4" t="inlineStr">
        <ns0:is>
          <ns0:t xml:space="preserve">FB-062</ns0:t>
        </ns0:is>
      </ns0:c>
      <ns0:c r="C68" s="4" t="inlineStr">
        <ns0:is>
          <ns0:t xml:space="preserve">Distribute</ns0:t>
        </ns0:is>
      </ns0:c>
      <ns0:c r="D68" s="4" t="inlineStr">
        <ns0:is>
          <ns0:t xml:space="preserve">Review and confirm the distribution</ns0:t>
        </ns0:is>
      </ns0:c>
      <ns0:c r="E68" s="4" t="inlineStr">
        <ns0:is>
          <ns0: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8" s="4" t="inlineStr">
        <ns0:is>
          <ns0:t xml:space="preserve">FB-061</ns0:t>
        </ns0:is>
      </ns0:c>
      <ns0:c r="G68" s="4" t="str">
        <ns0:f>IF(H68="Complete","Complete",IF(I68="Blocked","Blocked",IF(I68="In progress","Ready",IF(F68="","Ready",IF(COUNTIFS($B$4:$B$73,F68,$H$4:$H$73,"Complete")=1,"Ready","Waiting")))))</ns0:f>
        <ns0:v>Waiting</ns0:v>
      </ns0:c>
      <ns0:c r="H68" s="4" t="str">
        <ns0:f>IF(I68="Not started","Not started",IF(I68="Blocked","Blocked",IF(I68="In progress","In progress",IF(J68&lt;&gt;"Passed","Awaiting code review",IF(OR(K68="",NOT(ISNUMBER(L68))),"Awaiting review evidence",IF(N68&lt;&gt;"Passed","Awaiting test",IF(OR(M68="",O68="",NOT(ISNUMBER(P68))),"Awaiting test evidence","Complete")))))))</ns0:f>
        <ns0:v>Not started</ns0:v>
      </ns0:c>
      <ns0:c r="I68" s="10" t="inlineStr">
        <ns0:is>
          <ns0:t xml:space="preserve">Not started</ns0:t>
        </ns0:is>
      </ns0:c>
      <ns0:c r="J68" s="10" t="inlineStr">
        <ns0:is>
          <ns0:t xml:space="preserve">Not reviewed</ns0:t>
        </ns0:is>
      </ns0:c>
      <ns0:c r="K68" s="10" t="n"/>
      <ns0:c r="L68" s="30" t="n"/>
      <ns0:c r="M68" s="10" t="n"/>
      <ns0:c r="N68" s="10" t="inlineStr">
        <ns0:is>
          <ns0:t xml:space="preserve">Not tested</ns0:t>
        </ns0:is>
      </ns0:c>
      <ns0:c r="O68" s="10" t="n"/>
      <ns0:c r="P68" s="30" t="n"/>
      <ns0:c r="Q68" s="10" t="n"/>
      <ns0:c r="R68"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8" s="10" t="n"/>
    </ns0:row>
    <ns0:row r="69" ht="105" customHeight="1">
      <ns0:c r="A69" s="9" t="n">
        <ns0:v>66</ns0:v>
      </ns0:c>
      <ns0:c r="B69" s="9" t="inlineStr">
        <ns0:is>
          <ns0:t xml:space="preserve">FB-063</ns0:t>
        </ns0:is>
      </ns0:c>
      <ns0:c r="C69" s="9" t="inlineStr">
        <ns0:is>
          <ns0:t xml:space="preserve">Distribute</ns0:t>
        </ns0:is>
      </ns0:c>
      <ns0:c r="D69" s="9" t="inlineStr">
        <ns0:is>
          <ns0:t xml:space="preserve">Save distribution with a final stock recheck</ns0:t>
        </ns0:is>
      </ns0:c>
      <ns0:c r="E69" s="9" t="inlineStr">
        <ns0:is>
          <ns0: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69" s="9" t="inlineStr">
        <ns0:is>
          <ns0:t xml:space="preserve">FB-062</ns0:t>
        </ns0:is>
      </ns0:c>
      <ns0:c r="G69" s="9" t="str">
        <ns0:f>IF(H69="Complete","Complete",IF(I69="Blocked","Blocked",IF(I69="In progress","Ready",IF(F69="","Ready",IF(COUNTIFS($B$4:$B$73,F69,$H$4:$H$73,"Complete")=1,"Ready","Waiting")))))</ns0:f>
        <ns0:v>Waiting</ns0:v>
      </ns0:c>
      <ns0:c r="H69" s="9" t="str">
        <ns0:f>IF(I69="Not started","Not started",IF(I69="Blocked","Blocked",IF(I69="In progress","In progress",IF(J69&lt;&gt;"Passed","Awaiting code review",IF(OR(K69="",NOT(ISNUMBER(L69))),"Awaiting review evidence",IF(N69&lt;&gt;"Passed","Awaiting test",IF(OR(M69="",O69="",NOT(ISNUMBER(P69))),"Awaiting test evidence","Complete")))))))</ns0:f>
        <ns0:v>Not started</ns0:v>
      </ns0:c>
      <ns0:c r="I69" s="11" t="inlineStr">
        <ns0:is>
          <ns0:t xml:space="preserve">Not started</ns0:t>
        </ns0:is>
      </ns0:c>
      <ns0:c r="J69" s="11" t="inlineStr">
        <ns0:is>
          <ns0:t xml:space="preserve">Not reviewed</ns0:t>
        </ns0:is>
      </ns0:c>
      <ns0:c r="K69" s="11" t="n"/>
      <ns0:c r="L69" s="31" t="n"/>
      <ns0:c r="M69" s="11" t="n"/>
      <ns0:c r="N69" s="11" t="inlineStr">
        <ns0:is>
          <ns0:t xml:space="preserve">Not tested</ns0:t>
        </ns0:is>
      </ns0:c>
      <ns0:c r="O69" s="11" t="n"/>
      <ns0:c r="P69" s="31" t="n"/>
      <ns0:c r="Q69" s="11" t="n"/>
      <ns0:c r="R69"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69" s="11" t="n"/>
    </ns0:row>
    <ns0:row r="70" ht="105" customHeight="1">
      <ns0:c r="A70" s="4" t="n">
        <ns0:v>67</ns0:v>
      </ns0:c>
      <ns0:c r="B70" s="4" t="inlineStr">
        <ns0:is>
          <ns0:t xml:space="preserve">FB-064</ns0:t>
        </ns0:is>
      </ns0:c>
      <ns0:c r="C70" s="4" t="inlineStr">
        <ns0:is>
          <ns0:t xml:space="preserve">Distribute</ns0:t>
        </ns0:is>
      </ns0:c>
      <ns0:c r="D70" s="4" t="inlineStr">
        <ns0:is>
          <ns0:t xml:space="preserve">Show result, preserve errors and verify access</ns0:t>
        </ns0:is>
      </ns0:c>
      <ns0:c r="E70" s="4" t="inlineStr">
        <ns0:is>
          <ns0: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70" s="4" t="inlineStr">
        <ns0:is>
          <ns0:t xml:space="preserve">FB-063</ns0:t>
        </ns0:is>
      </ns0:c>
      <ns0:c r="G70" s="4" t="str">
        <ns0:f>IF(H70="Complete","Complete",IF(I70="Blocked","Blocked",IF(I70="In progress","Ready",IF(F70="","Ready",IF(COUNTIFS($B$4:$B$73,F70,$H$4:$H$73,"Complete")=1,"Ready","Waiting")))))</ns0:f>
        <ns0:v>Waiting</ns0:v>
      </ns0:c>
      <ns0:c r="H70" s="4" t="str">
        <ns0:f>IF(I70="Not started","Not started",IF(I70="Blocked","Blocked",IF(I70="In progress","In progress",IF(J70&lt;&gt;"Passed","Awaiting code review",IF(OR(K70="",NOT(ISNUMBER(L70))),"Awaiting review evidence",IF(N70&lt;&gt;"Passed","Awaiting test",IF(OR(M70="",O70="",NOT(ISNUMBER(P70))),"Awaiting test evidence","Complete")))))))</ns0:f>
        <ns0:v>Not started</ns0:v>
      </ns0:c>
      <ns0:c r="I70" s="10" t="inlineStr">
        <ns0:is>
          <ns0:t xml:space="preserve">Not started</ns0:t>
        </ns0:is>
      </ns0:c>
      <ns0:c r="J70" s="10" t="inlineStr">
        <ns0:is>
          <ns0:t xml:space="preserve">Not reviewed</ns0:t>
        </ns0:is>
      </ns0:c>
      <ns0:c r="K70" s="10" t="n"/>
      <ns0:c r="L70" s="30" t="n"/>
      <ns0:c r="M70" s="10" t="n"/>
      <ns0:c r="N70" s="10" t="inlineStr">
        <ns0:is>
          <ns0:t xml:space="preserve">Not tested</ns0:t>
        </ns0:is>
      </ns0:c>
      <ns0:c r="O70" s="10" t="n"/>
      <ns0:c r="P70" s="30" t="n"/>
      <ns0:c r="Q70" s="10" t="n"/>
      <ns0:c r="R70" s="10"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70" s="10" t="n"/>
    </ns0:row>
    <ns0:row r="71" ht="105" customHeight="1">
      <ns0:c r="A71" s="9" t="n">
        <ns0:v>68</ns0:v>
      </ns0:c>
      <ns0:c r="B71" s="9" t="inlineStr">
        <ns0:is>
          <ns0:t xml:space="preserve">FB-068</ns0:t>
        </ns0:is>
      </ns0:c>
      <ns0:c r="C71" s="9" t="inlineStr">
        <ns0:is>
          <ns0:t xml:space="preserve">Verification</ns0:t>
        </ns0:is>
      </ns0:c>
      <ns0:c r="D71" s="9" t="inlineStr">
        <ns0:is>
          <ns0:t xml:space="preserve">Verify movement integrity and complete journeys</ns0:t>
        </ns0:is>
      </ns0:c>
      <ns0:c r="E71" s="9" t="inlineStr">
        <ns0:is>
          <ns0: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ns0:t>
        </ns0:is>
      </ns0:c>
      <ns0:c r="F71" s="9" t="inlineStr">
        <ns0:is>
          <ns0:t xml:space="preserve">FB-064</ns0:t>
        </ns0:is>
      </ns0:c>
      <ns0:c r="G71" s="9" t="str">
        <ns0:f>IF(H71="Complete","Complete",IF(I71="Blocked","Blocked",IF(I71="In progress","Ready",IF(F71="","Ready",IF(COUNTIFS($B$4:$B$73,F71,$H$4:$H$73,"Complete")=1,"Ready","Waiting")))))</ns0:f>
        <ns0:v>Waiting</ns0:v>
      </ns0:c>
      <ns0:c r="H71" s="9" t="str">
        <ns0:f>IF(I71="Not started","Not started",IF(I71="Blocked","Blocked",IF(I71="In progress","In progress",IF(J71&lt;&gt;"Passed","Awaiting code review",IF(OR(K71="",NOT(ISNUMBER(L71))),"Awaiting review evidence",IF(N71&lt;&gt;"Passed","Awaiting test",IF(OR(M71="",O71="",NOT(ISNUMBER(P71))),"Awaiting test evidence","Complete")))))))</ns0:f>
        <ns0:v>Not started</ns0:v>
      </ns0:c>
      <ns0:c r="I71" s="11" t="inlineStr">
        <ns0:is>
          <ns0:t xml:space="preserve">Not started</ns0:t>
        </ns0:is>
      </ns0:c>
      <ns0:c r="J71" s="11" t="inlineStr">
        <ns0:is>
          <ns0:t xml:space="preserve">Not reviewed</ns0:t>
        </ns0:is>
      </ns0:c>
      <ns0:c r="K71" s="11" t="n"/>
      <ns0:c r="L71" s="31" t="n"/>
      <ns0:c r="M71" s="11" t="n"/>
      <ns0:c r="N71" s="11" t="inlineStr">
        <ns0:is>
          <ns0:t xml:space="preserve">Not tested</ns0:t>
        </ns0:is>
      </ns0:c>
      <ns0:c r="O71" s="11" t="n"/>
      <ns0:c r="P71" s="31" t="n"/>
      <ns0:c r="Q71" s="11" t="n"/>
      <ns0:c r="R71" s="11" t="inlineStr">
        <ns0:is>
          <ns0: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ns0:t>
        </ns0:is>
      </ns0:c>
      <ns0:c r="S71" s="11" t="n"/>
    </ns0:row>
    <ns0:row r="72" ht="105" customHeight="1">
      <ns0:c r="A72" s="4" t="n">
        <ns0:v>69</ns0:v>
      </ns0:c>
      <ns0:c r="B72" s="4" t="inlineStr">
        <ns0:is>
          <ns0:t xml:space="preserve">FB-069</ns0:t>
        </ns0:is>
      </ns0:c>
      <ns0:c r="C72" s="4" t="inlineStr">
        <ns0:is>
          <ns0:t xml:space="preserve">Verification</ns0:t>
        </ns0:is>
      </ns0:c>
      <ns0:c r="D72" s="4" t="inlineStr">
        <ns0:is>
          <ns0:t xml:space="preserve">Verify the combined first-version experience</ns0:t>
        </ns0:is>
      </ns0:c>
      <ns0:c r="E72" s="4" t="inlineStr">
        <ns0:is>
          <ns0: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ns0:t>
        </ns0:is>
      </ns0:c>
      <ns0:c r="F72" s="4" t="inlineStr">
        <ns0:is>
          <ns0:t xml:space="preserve">FB-023</ns0:t>
        </ns0:is>
      </ns0:c>
      <ns0:c r="G72" s="4" t="str">
        <ns0:f>IF(H72="Complete","Complete",IF(I72="Blocked","Blocked",IF(I72="In progress","Ready",IF(F72="","Ready",IF(COUNTIFS($B$4:$B$73,F72,$H$4:$H$73,"Complete")=1,"Ready","Waiting")))))</ns0:f>
        <ns0:v>Waiting</ns0:v>
      </ns0:c>
      <ns0:c r="H72" s="4" t="str">
        <ns0:f>IF(I72="Not started","Not started",IF(I72="Blocked","Blocked",IF(I72="In progress","In progress",IF(J72&lt;&gt;"Passed","Awaiting code review",IF(OR(K72="",NOT(ISNUMBER(L72))),"Awaiting review evidence",IF(N72&lt;&gt;"Passed","Awaiting test",IF(OR(M72="",O72="",NOT(ISNUMBER(P72))),"Awaiting test evidence","Complete")))))))</ns0:f>
        <ns0:v>Not started</ns0:v>
      </ns0:c>
      <ns0:c r="I72" s="10" t="inlineStr">
        <ns0:is>
          <ns0:t xml:space="preserve">Not started</ns0:t>
        </ns0:is>
      </ns0:c>
      <ns0:c r="J72" s="10" t="inlineStr">
        <ns0:is>
          <ns0:t xml:space="preserve">Not reviewed</ns0:t>
        </ns0:is>
      </ns0:c>
      <ns0:c r="K72" s="10" t="n"/>
      <ns0:c r="L72" s="30" t="n"/>
      <ns0:c r="M72" s="10" t="n"/>
      <ns0:c r="N72" s="10" t="inlineStr">
        <ns0:is>
          <ns0:t xml:space="preserve">Not tested</ns0:t>
        </ns0:is>
      </ns0:c>
      <ns0:c r="O72" s="10" t="n"/>
      <ns0:c r="P72" s="30" t="n"/>
      <ns0:c r="Q72" s="10" t="inlineStr">
        <ns0:is>
          <ns0: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ns0:t>
        </ns0:is>
      </ns0:c>
      <ns0:c r="R72" s="10" t="inlineStr">
        <ns0:is>
          <ns0: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72" s="10" t="n"/>
    </ns0:row>
    <ns0:row r="73" ht="105" customHeight="1">
      <ns0:c r="A73" s="9" t="n">
        <ns0:v>70</ns0:v>
      </ns0:c>
      <ns0:c r="B73" s="9" t="inlineStr">
        <ns0:is>
          <ns0:t xml:space="preserve">FB-070</ns0:t>
        </ns0:is>
      </ns0:c>
      <ns0:c r="C73" s="9" t="inlineStr">
        <ns0:is>
          <ns0:t xml:space="preserve">Super Admin recovery — LAST</ns0:t>
        </ns0:is>
      </ns0:c>
      <ns0:c r="D73" s="9" t="inlineStr">
        <ns0:is>
          <ns0:t xml:space="preserve">Implement server-only recovery after all other work</ns0:t>
        </ns0:is>
      </ns0:c>
      <ns0:c r="E73" s="9" t="inlineStr">
        <ns0:is>
          <ns0: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ns0:t>
        </ns0:is>
      </ns0:c>
      <ns0:c r="F73" s="9" t="inlineStr">
        <ns0:is>
          <ns0:t xml:space="preserve">FB-069</ns0:t>
        </ns0:is>
      </ns0:c>
      <ns0:c r="G73" s="9" t="str">
        <ns0:f>IF(H73="Complete","Complete",IF(I73="Blocked","Blocked",IF(I73="In progress","Ready",IF(F73="","Ready",IF(COUNTIFS($B$4:$B$73,F73,$H$4:$H$73,"Complete")=1,"Ready","Waiting")))))</ns0:f>
        <ns0:v>Waiting</ns0:v>
      </ns0:c>
      <ns0:c r="H73" s="9" t="str">
        <ns0:f>IF(I73="Not started","Not started",IF(I73="Blocked","Blocked",IF(I73="In progress","In progress",IF(J73&lt;&gt;"Passed","Awaiting code review",IF(OR(K73="",NOT(ISNUMBER(L73))),"Awaiting review evidence",IF(N73&lt;&gt;"Passed","Awaiting test",IF(OR(M73="",O73="",NOT(ISNUMBER(P73))),"Awaiting test evidence","Complete")))))))</ns0:f>
        <ns0:v>Not started</ns0:v>
      </ns0:c>
      <ns0:c r="I73" s="11" t="inlineStr">
        <ns0:is>
          <ns0:t xml:space="preserve">Not started</ns0:t>
        </ns0:is>
      </ns0:c>
      <ns0:c r="J73" s="11" t="inlineStr">
        <ns0:is>
          <ns0:t xml:space="preserve">Not reviewed</ns0:t>
        </ns0:is>
      </ns0:c>
      <ns0:c r="K73" s="11" t="n"/>
      <ns0:c r="L73" s="31" t="n"/>
      <ns0:c r="M73" s="11" t="n"/>
      <ns0:c r="N73" s="11" t="inlineStr">
        <ns0:is>
          <ns0:t xml:space="preserve">Not tested</ns0:t>
        </ns0:is>
      </ns0:c>
      <ns0:c r="O73" s="11" t="n"/>
      <ns0:c r="P73" s="31" t="n"/>
      <ns0:c r="Q73" s="11" t="n"/>
      <ns0:c r="R73" s="11" t="inlineStr">
        <ns0:is>
          <ns0:t xml:space="preserve">Before starting this item or feature: reread AGENTS.md from disk; apply its teaching and testing rules.
Next: Start this item after the previous item is complete.</ns0:t>
        </ns0:is>
      </ns0:c>
      <ns0:c r="S73" s="11" t="n"/>
    </ns0:row>
  </ns0:sheetData>
  <ns0:mergeCells>
    <ns0:mergeCell ref="A1:H1"/>
  </ns0:mergeCells>
  <ns0:conditionalFormatting sqref="H4:H73">
    <ns0:cfRule type="containsText" dxfId="0" priority="1" operator="containsText" text="Complete"/>
    <ns0:cfRule type="containsText" dxfId="2" priority="3" operator="containsText" text="Blocked"/>
  </ns0:conditionalFormatting>
  <ns0:conditionalFormatting sqref="G4:G73">
    <ns0:cfRule type="containsText" dxfId="1" priority="2" operator="containsText" text="Ready"/>
  </ns0:conditionalFormatting>
  <ns0:dataValidations count="4">
    <ns0:dataValidation type="list" allowBlank="0" showDropDown="0" showInputMessage="0" showErrorMessage="0" sqref="I4:I73">
      <ns0:formula1>"Not started,In progress,Ready for review,Blocked"</ns0:formula1>
    </ns0:dataValidation>
    <ns0:dataValidation type="list" allowBlank="0" showDropDown="0" showInputMessage="0" showErrorMessage="0" sqref="J4:J73">
      <ns0:formula1>"Not reviewed,Changes needed,Passed"</ns0:formula1>
    </ns0:dataValidation>
    <ns0:dataValidation type="list" allowBlank="0" showDropDown="0" showInputMessage="0" showErrorMessage="0" sqref="M4:M73">
      <ns0:formula1>"Developer,Assistant (delegated)"</ns0:formula1>
    </ns0:dataValidation>
    <ns0:dataValidation type="list" allowBlank="0" showDropDown="0" showInputMessage="0" showErrorMessage="0" sqref="N4:N73">
      <ns0:formula1>"Not tested,Failed,Passed"</ns0:formula1>
    </ns0:dataValidation>
  </ns0:dataValidations>
  <ns0:pageMargins left="0.7" right="0.7" top="0.75" bottom="0.75" header="0.3" footer="0.3"/>
  <ns0:tableParts count="1">
    <ns0:tablePart ns1:id="R1d9b8b46002643f8"/>
  </ns0:tableParts>
</ns0:worksheet>
</file>

<file path=xl/worksheets/sheet3.xml><?xml version="1.0" encoding="utf-8"?>
<ns0:worksheet xmlns:ns0="http://schemas.openxmlformats.org/spreadsheetml/2006/main" xmlns:ns1="http://schemas.openxmlformats.org/officeDocument/2006/relationships">
  <ns0:sheetPr>
    <ns0:tabColor rgb="FF187E80"/>
  </ns0:sheetPr>
  <ns0:sheetViews>
    <ns0:sheetView showGridLines="0" workbookViewId="0">
      <ns0:pane xSplit="1" ySplit="3" topLeftCell="B4" activePane="bottomRight" state="frozen"/>
    </ns0:sheetView>
  </ns0:sheetViews>
  <ns0:sheetFormatPr baseColWidth="8" defaultRowHeight="15"/>
  <ns0:cols>
    <ns0:col min="1" max="1" width="13" customWidth="1"/>
    <ns0:col min="2" max="2" width="29" customWidth="1"/>
    <ns0:col min="3" max="3" width="20" customWidth="1"/>
    <ns0:col min="4" max="4" width="110" customWidth="1"/>
    <ns0:col min="5" max="5" width="28" customWidth="1"/>
    <ns0:col min="6" max="6" width="17" customWidth="1"/>
  </ns0:cols>
  <ns0:sheetData>
    <ns0:row r="1" ht="28" customHeight="1">
      <ns0:c r="A1" s="2" t="inlineStr">
        <ns0:is>
          <ns0:t xml:space="preserve">FoodBank requirements and scope</ns0:t>
        </ns0:is>
      </ns0:c>
    </ns0:row>
    <ns0:row r="2" ht="28" customHeight="1">
      <ns0:c r="A2" s="23" t="inlineStr">
        <ns0:is>
          <ns0:t xml:space="preserve">Full agreed rules. Filter by area or scope; related FB IDs refer to Stories. ##FUTURE is deferred, not approved implementation.</ns0:t>
        </ns0:is>
      </ns0:c>
    </ns0:row>
    <ns0:row r="3" ht="28" customHeight="1">
      <ns0:c r="A3" s="27" t="inlineStr">
        <ns0:is>
          <ns0:t xml:space="preserve">Rule ID</ns0:t>
        </ns0:is>
      </ns0:c>
      <ns0:c r="B3" s="27" t="inlineStr">
        <ns0:is>
          <ns0:t xml:space="preserve">Area</ns0:t>
        </ns0:is>
      </ns0:c>
      <ns0:c r="C3" s="27" t="inlineStr">
        <ns0:is>
          <ns0:t xml:space="preserve">Scope</ns0:t>
        </ns0:is>
      </ns0:c>
      <ns0:c r="D3" s="27" t="inlineStr">
        <ns0:is>
          <ns0:t xml:space="preserve">Detailed rule</ns0:t>
        </ns0:is>
      </ns0:c>
      <ns0:c r="E3" s="27" t="inlineStr">
        <ns0:is>
          <ns0:t xml:space="preserve">Related learning items</ns0:t>
        </ns0:is>
      </ns0:c>
      <ns0:c r="F3" s="27" t="inlineStr">
        <ns0:is>
          <ns0:t xml:space="preserve">First item location</ns0:t>
        </ns0:is>
      </ns0:c>
    </ns0:row>
    <ns0:row r="4" ht="52" customHeight="1">
      <ns0:c r="A4" s="4" t="inlineStr">
        <ns0:is>
          <ns0:t xml:space="preserve">REQ-001</ns0:t>
        </ns0:is>
      </ns0:c>
      <ns0:c r="B4" s="4" t="inlineStr">
        <ns0:is>
          <ns0:t xml:space="preserve">Planning status</ns0:t>
        </ns0:is>
      </ns0:c>
      <ns0:c r="C4" s="4" t="inlineStr">
        <ns0:is>
          <ns0:t xml:space="preserve">Project context</ns0:t>
        </ns0:is>
      </ns0:c>
      <ns0:c r="D4" s="4" t="inlineStr">
        <ns0:is>
          <ns0:t xml:space="preserve">Inventory planning is complete, including its verification checklist.</ns0:t>
        </ns0:is>
      </ns0:c>
      <ns0:c r="E4" s="4" t="inlineStr">
        <ns0:is>
          <ns0:t xml:space="preserve">All current items</ns0:t>
        </ns0:is>
      </ns0:c>
      <ns0:c r="F4" s="4" t="inlineStr">
        <ns0:is>
          <ns0:t xml:space="preserve">Stories!B4</ns0:t>
        </ns0:is>
      </ns0:c>
    </ns0:row>
    <ns0:row r="5" ht="52" customHeight="1">
      <ns0:c r="A5" s="28" t="inlineStr">
        <ns0:is>
          <ns0:t xml:space="preserve">REQ-002</ns0:t>
        </ns0:is>
      </ns0:c>
      <ns0:c r="B5" s="28" t="inlineStr">
        <ns0:is>
          <ns0:t xml:space="preserve">Planning status</ns0:t>
        </ns0:is>
      </ns0:c>
      <ns0:c r="C5" s="28" t="inlineStr">
        <ns0:is>
          <ns0:t xml:space="preserve">Project context</ns0:t>
        </ns0:is>
      </ns0:c>
      <ns0:c r="D5" s="28" t="inlineStr">
        <ns0:is>
          <ns0:t xml:space="preserve">Account-management planning questions are complete. Implementation is underway; the connected account-creation feature is not yet fully reviewed or verified.</ns0:t>
        </ns0:is>
      </ns0:c>
      <ns0:c r="E5" s="28" t="inlineStr">
        <ns0:is>
          <ns0:t xml:space="preserve">All current items</ns0:t>
        </ns0:is>
      </ns0:c>
      <ns0:c r="F5" s="28" t="inlineStr">
        <ns0:is>
          <ns0:t xml:space="preserve">Stories!B4</ns0:t>
        </ns0:is>
      </ns0:c>
    </ns0:row>
    <ns0:row r="6" ht="52" customHeight="1">
      <ns0:c r="A6" s="4" t="inlineStr">
        <ns0:is>
          <ns0:t xml:space="preserve">REQ-003</ns0:t>
        </ns0:is>
      </ns0:c>
      <ns0:c r="B6" s="4" t="inlineStr">
        <ns0:is>
          <ns0:t xml:space="preserve">Planning status</ns0:t>
        </ns0:is>
      </ns0:c>
      <ns0:c r="C6" s="4" t="inlineStr">
        <ns0:is>
          <ns0:t xml:space="preserve">Project context</ns0:t>
        </ns0:is>
      </ns0:c>
      <ns0:c r="D6" s="4" t="inlineStr">
        <ns0:is>
          <ns0: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ns0:t>
        </ns0:is>
      </ns0:c>
      <ns0:c r="E6" s="4" t="inlineStr">
        <ns0:is>
          <ns0:t xml:space="preserve">All current items</ns0:t>
        </ns0:is>
      </ns0:c>
      <ns0:c r="F6" s="4" t="inlineStr">
        <ns0:is>
          <ns0:t xml:space="preserve">Stories!B4</ns0:t>
        </ns0:is>
      </ns0:c>
    </ns0:row>
    <ns0:row r="7" ht="52" customHeight="1">
      <ns0:c r="A7" s="28" t="inlineStr">
        <ns0:is>
          <ns0:t xml:space="preserve">REQ-004</ns0:t>
        </ns0:is>
      </ns0:c>
      <ns0:c r="B7" s="28" t="inlineStr">
        <ns0:is>
          <ns0:t xml:space="preserve">Planning status</ns0:t>
        </ns0:is>
      </ns0:c>
      <ns0:c r="C7" s="28" t="inlineStr">
        <ns0:is>
          <ns0:t xml:space="preserve">Project context</ns0:t>
        </ns0:is>
      </ns0:c>
      <ns0:c r="D7" s="28" t="inlineStr">
        <ns0:is>
          <ns0:t xml:space="preserve">Learning is the immediate priority, especially Vue, Inertia, and Tailwind.</ns0:t>
        </ns0:is>
      </ns0:c>
      <ns0:c r="E7" s="28" t="inlineStr">
        <ns0:is>
          <ns0:t xml:space="preserve">All current items</ns0:t>
        </ns0:is>
      </ns0:c>
      <ns0:c r="F7" s="28" t="inlineStr">
        <ns0:is>
          <ns0:t xml:space="preserve">Stories!B4</ns0:t>
        </ns0:is>
      </ns0:c>
    </ns0:row>
    <ns0:row r="8" ht="52" customHeight="1">
      <ns0:c r="A8" s="4" t="inlineStr">
        <ns0:is>
          <ns0:t xml:space="preserve">REQ-005</ns0:t>
        </ns0:is>
      </ns0:c>
      <ns0:c r="B8" s="4" t="inlineStr">
        <ns0:is>
          <ns0:t xml:space="preserve">Planning status</ns0:t>
        </ns0:is>
      </ns0:c>
      <ns0:c r="C8" s="4" t="inlineStr">
        <ns0:is>
          <ns0:t xml:space="preserve">Project context</ns0:t>
        </ns0:is>
      </ns0:c>
      <ns0:c r="D8" s="4" t="inlineStr">
        <ns0:is>
          <ns0:t xml:space="preserve">The long-term goal is a fully functional foodbank management system.</ns0:t>
        </ns0:is>
      </ns0:c>
      <ns0:c r="E8" s="4" t="inlineStr">
        <ns0:is>
          <ns0:t xml:space="preserve">All current items</ns0:t>
        </ns0:is>
      </ns0:c>
      <ns0:c r="F8" s="4" t="inlineStr">
        <ns0:is>
          <ns0:t xml:space="preserve">Stories!B4</ns0:t>
        </ns0:is>
      </ns0:c>
    </ns0:row>
    <ns0:row r="9" ht="52" customHeight="1">
      <ns0:c r="A9" s="28" t="inlineStr">
        <ns0:is>
          <ns0:t xml:space="preserve">REQ-006</ns0:t>
        </ns0:is>
      </ns0:c>
      <ns0:c r="B9" s="28" t="inlineStr">
        <ns0:is>
          <ns0:t xml:space="preserve">Planning status</ns0:t>
        </ns0:is>
      </ns0:c>
      <ns0:c r="C9" s="28" t="inlineStr">
        <ns0:is>
          <ns0:t xml:space="preserve">Project context</ns0:t>
        </ns0:is>
      </ns0:c>
      <ns0:c r="D9" s="28" t="inlineStr">
        <ns0:is>
          <ns0:t xml:space="preserve">Record further features as agreed; suggestions are not approved scope.</ns0:t>
        </ns0:is>
      </ns0:c>
      <ns0:c r="E9" s="28" t="inlineStr">
        <ns0:is>
          <ns0:t xml:space="preserve">All current items</ns0:t>
        </ns0:is>
      </ns0:c>
      <ns0:c r="F9" s="28" t="inlineStr">
        <ns0:is>
          <ns0:t xml:space="preserve">Stories!B4</ns0:t>
        </ns0:is>
      </ns0:c>
    </ns0:row>
    <ns0:row r="10" ht="61" customHeight="1">
      <ns0:c r="A10" s="4" t="inlineStr">
        <ns0:is>
          <ns0:t xml:space="preserve">REQ-007</ns0:t>
        </ns0:is>
      </ns0:c>
      <ns0:c r="B10" s="4" t="inlineStr">
        <ns0:is>
          <ns0:t xml:space="preserve">First-version boundary</ns0:t>
        </ns0:is>
      </ns0:c>
      <ns0:c r="C10" s="4" t="inlineStr">
        <ns0:is>
          <ns0:t xml:space="preserve">Current scope</ns0:t>
        </ns0:is>
      </ns0:c>
      <ns0:c r="D10" s="4" t="inlineStr">
        <ns0:is>
          <ns0:t xml:space="preserve">The first version includes the agreed account-management features: shared login and permissions, manager and volunteer records, search, filters, pagination, and password setup, changes, and assisted resets.</ns0:t>
        </ns0:is>
      </ns0:c>
      <ns0:c r="E10" s="4" t="inlineStr">
        <ns0:is>
          <ns0:t xml:space="preserve">All current items</ns0:t>
        </ns0:is>
      </ns0:c>
      <ns0:c r="F10" s="4" t="inlineStr">
        <ns0:is>
          <ns0:t xml:space="preserve">Stories!B4</ns0:t>
        </ns0:is>
      </ns0:c>
    </ns0:row>
    <ns0:row r="11" ht="52" customHeight="1">
      <ns0:c r="A11" s="28" t="inlineStr">
        <ns0:is>
          <ns0:t xml:space="preserve">REQ-008</ns0:t>
        </ns0:is>
      </ns0:c>
      <ns0:c r="B11" s="28" t="inlineStr">
        <ns0:is>
          <ns0:t xml:space="preserve">First-version boundary</ns0:t>
        </ns0:is>
      </ns0:c>
      <ns0:c r="C11" s="28" t="inlineStr">
        <ns0:is>
          <ns0:t xml:space="preserve">Current scope</ns0:t>
        </ns0:is>
      </ns0:c>
      <ns0:c r="D11" s="28" t="inlineStr">
        <ns0:is>
          <ns0:t xml:space="preserve">Inventory management is included in the first version; its scope and verification checklist are agreed.</ns0:t>
        </ns0:is>
      </ns0:c>
      <ns0:c r="E11" s="28" t="inlineStr">
        <ns0:is>
          <ns0:t xml:space="preserve">All current items</ns0:t>
        </ns0:is>
      </ns0:c>
      <ns0:c r="F11" s="28" t="inlineStr">
        <ns0:is>
          <ns0:t xml:space="preserve">Stories!B4</ns0:t>
        </ns0:is>
      </ns0:c>
    </ns0:row>
    <ns0:row r="12" ht="52" customHeight="1">
      <ns0:c r="A12" s="4" t="inlineStr">
        <ns0:is>
          <ns0:t xml:space="preserve">REQ-009</ns0:t>
        </ns0:is>
      </ns0:c>
      <ns0:c r="B12" s="4" t="inlineStr">
        <ns0:is>
          <ns0:t xml:space="preserve">First-version boundary</ns0:t>
        </ns0:is>
      </ns0:c>
      <ns0:c r="C12" s="4" t="inlineStr">
        <ns0:is>
          <ns0:t xml:space="preserve">##FUTURE</ns0:t>
        </ns0:is>
      </ns0:c>
      <ns0:c r="D12" s="4" t="inlineStr">
        <ns0:is>
          <ns0:t xml:space="preserve">Household management and appointment management remain future modules.</ns0:t>
        </ns0:is>
      </ns0:c>
      <ns0:c r="E12" s="4" t="inlineStr">
        <ns0:is>
          <ns0:t xml:space="preserve">Deferred — no current item</ns0:t>
        </ns0:is>
      </ns0:c>
      <ns0:c r="F12" s="4" t="inlineStr">
        <ns0:is>
          <ns0:t xml:space="preserve">Deferred</ns0:t>
        </ns0:is>
      </ns0:c>
    </ns0:row>
    <ns0:row r="13" ht="106" customHeight="1">
      <ns0:c r="A13" s="28" t="inlineStr">
        <ns0:is>
          <ns0:t xml:space="preserve">REQ-010</ns0:t>
        </ns0:is>
      </ns0:c>
      <ns0:c r="B13" s="28" t="inlineStr">
        <ns0:is>
          <ns0:t xml:space="preserve">First-version boundary</ns0:t>
        </ns0:is>
      </ns0:c>
      <ns0:c r="C13" s="28" t="inlineStr">
        <ns0:is>
          <ns0:t xml:space="preserve">Current scope</ns0:t>
        </ns0:is>
      </ns0:c>
      <ns0:c r="D13" s="28" t="inlineStr">
        <ns0:is>
          <ns0: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ns0:t>
        </ns0:is>
      </ns0:c>
      <ns0:c r="E13" s="28" t="inlineStr">
        <ns0:is>
          <ns0:t xml:space="preserve">FB-057–FB-064</ns0:t>
        </ns0:is>
      </ns0:c>
      <ns0:c r="F13" s="28" t="inlineStr">
        <ns0:is>
          <ns0:t xml:space="preserve">Stories!B63</ns0:t>
        </ns0:is>
      </ns0:c>
    </ns0:row>
    <ns0:row r="14" ht="52" customHeight="1">
      <ns0:c r="A14" s="4" t="inlineStr">
        <ns0:is>
          <ns0:t xml:space="preserve">REQ-011</ns0:t>
        </ns0:is>
      </ns0:c>
      <ns0:c r="B14" s="4" t="inlineStr">
        <ns0:is>
          <ns0:t xml:space="preserve">First-version boundary</ns0:t>
        </ns0:is>
      </ns0:c>
      <ns0:c r="C14" s="4" t="inlineStr">
        <ns0:is>
          <ns0:t xml:space="preserve">Current scope</ns0:t>
        </ns0:is>
      </ns0:c>
      <ns0:c r="D14" s="4" t="inlineStr">
        <ns0:is>
          <ns0:t xml:space="preserve">Feature decisions are agreed. Review the complete scope, then choose the build order. Technical implementation details will be explained in lessons.</ns0:t>
        </ns0:is>
      </ns0:c>
      <ns0:c r="E14" s="4" t="inlineStr">
        <ns0:is>
          <ns0:t xml:space="preserve">All current items</ns0:t>
        </ns0:is>
      </ns0:c>
      <ns0:c r="F14" s="4" t="inlineStr">
        <ns0:is>
          <ns0:t xml:space="preserve">Stories!B4</ns0:t>
        </ns0:is>
      </ns0:c>
    </ns0:row>
    <ns0:row r="15" ht="52" customHeight="1">
      <ns0:c r="A15" s="28" t="inlineStr">
        <ns0:is>
          <ns0:t xml:space="preserve">REQ-012</ns0:t>
        </ns0:is>
      </ns0:c>
      <ns0:c r="B15" s="28" t="inlineStr">
        <ns0:is>
          <ns0:t xml:space="preserve">Design and teaching approach</ns0:t>
        </ns0:is>
      </ns0:c>
      <ns0:c r="C15" s="28" t="inlineStr">
        <ns0:is>
          <ns0:t xml:space="preserve">Project context</ns0:t>
        </ns0:is>
      </ns0:c>
      <ns0:c r="D15" s="28" t="inlineStr">
        <ns0:is>
          <ns0:t xml:space="preserve">Plan toward a fully functional foodbank management system while implementing only the agreed current learning scope.</ns0:t>
        </ns0:is>
      </ns0:c>
      <ns0:c r="E15" s="28" t="inlineStr">
        <ns0:is>
          <ns0:t xml:space="preserve">All current items</ns0:t>
        </ns0:is>
      </ns0:c>
      <ns0:c r="F15" s="28" t="inlineStr">
        <ns0:is>
          <ns0:t xml:space="preserve">Stories!B4</ns0:t>
        </ns0:is>
      </ns0:c>
    </ns0:row>
    <ns0:row r="16" ht="52" customHeight="1">
      <ns0:c r="A16" s="4" t="inlineStr">
        <ns0:is>
          <ns0:t xml:space="preserve">REQ-013</ns0:t>
        </ns0:is>
      </ns0:c>
      <ns0:c r="B16" s="4" t="inlineStr">
        <ns0:is>
          <ns0:t xml:space="preserve">Design and teaching approach</ns0:t>
        </ns0:is>
      </ns0:c>
      <ns0:c r="C16" s="4" t="inlineStr">
        <ns0:is>
          <ns0:t xml:space="preserve">Project context</ns0:t>
        </ns0:is>
      </ns0:c>
      <ns0:c r="D16" s="4" t="inlineStr">
        <ns0:is>
          <ns0:t xml:space="preserve">Discuss the complete system's responsibilities and connections as feature discovery progresses. The full design is not finalized yet.</ns0:t>
        </ns0:is>
      </ns0:c>
      <ns0:c r="E16" s="4" t="inlineStr">
        <ns0:is>
          <ns0:t xml:space="preserve">All current items</ns0:t>
        </ns0:is>
      </ns0:c>
      <ns0:c r="F16" s="4" t="inlineStr">
        <ns0:is>
          <ns0:t xml:space="preserve">Stories!B4</ns0:t>
        </ns0:is>
      </ns0:c>
    </ns0:row>
    <ns0:row r="17" ht="52" customHeight="1">
      <ns0:c r="A17" s="28" t="inlineStr">
        <ns0:is>
          <ns0:t xml:space="preserve">REQ-014</ns0:t>
        </ns0:is>
      </ns0:c>
      <ns0:c r="B17" s="28" t="inlineStr">
        <ns0:is>
          <ns0:t xml:space="preserve">Design and teaching approach</ns0:t>
        </ns0:is>
      </ns0:c>
      <ns0:c r="C17" s="28" t="inlineStr">
        <ns0:is>
          <ns0:t xml:space="preserve">Project context</ns0:t>
        </ns0:is>
      </ns0:c>
      <ns0:c r="D17" s="28" t="inlineStr">
        <ns0:is>
          <ns0:t xml:space="preserve">Keep current features able to connect to future household, appointment, and volunteer workflows without building those workflows prematurely.</ns0:t>
        </ns0:is>
      </ns0:c>
      <ns0:c r="E17" s="28" t="inlineStr">
        <ns0:is>
          <ns0:t xml:space="preserve">All current items</ns0:t>
        </ns0:is>
      </ns0:c>
      <ns0:c r="F17" s="28" t="inlineStr">
        <ns0:is>
          <ns0:t xml:space="preserve">Stories!B4</ns0:t>
        </ns0:is>
      </ns0:c>
    </ns0:row>
    <ns0:row r="18" ht="52" customHeight="1">
      <ns0:c r="A18" s="4" t="inlineStr">
        <ns0:is>
          <ns0:t xml:space="preserve">REQ-015</ns0:t>
        </ns0:is>
      </ns0:c>
      <ns0:c r="B18" s="4" t="inlineStr">
        <ns0:is>
          <ns0:t xml:space="preserve">Design and teaching approach</ns0:t>
        </ns0:is>
      </ns0:c>
      <ns0:c r="C18" s="4" t="inlineStr">
        <ns0:is>
          <ns0:t xml:space="preserve">Project context</ns0:t>
        </ns0:is>
      </ns0:c>
      <ns0:c r="D18" s="4" t="inlineStr">
        <ns0:is>
          <ns0:t xml:space="preserve">Choose simple structures with clear responsibilities. Do not add speculative tables, complex abstractions, or unused functionality solely for possible future requirements.</ns0:t>
        </ns0:is>
      </ns0:c>
      <ns0:c r="E18" s="4" t="inlineStr">
        <ns0:is>
          <ns0:t xml:space="preserve">All current items</ns0:t>
        </ns0:is>
      </ns0:c>
      <ns0:c r="F18" s="4" t="inlineStr">
        <ns0:is>
          <ns0:t xml:space="preserve">Stories!B4</ns0:t>
        </ns0:is>
      </ns0:c>
    </ns0:row>
    <ns0:row r="19" ht="52" customHeight="1">
      <ns0:c r="A19" s="28" t="inlineStr">
        <ns0:is>
          <ns0:t xml:space="preserve">REQ-016</ns0:t>
        </ns0:is>
      </ns0:c>
      <ns0:c r="B19" s="28" t="inlineStr">
        <ns0:is>
          <ns0:t xml:space="preserve">Design and teaching approach</ns0:t>
        </ns0:is>
      </ns0:c>
      <ns0:c r="C19" s="28" t="inlineStr">
        <ns0:is>
          <ns0:t xml:space="preserve">Project context</ns0:t>
        </ns0:is>
      </ns0:c>
      <ns0:c r="D19" s="28" t="inlineStr">
        <ns0:is>
          <ns0:t xml:space="preserve">Revisit data relationships, permissions, and record-retention needs when agreeing each feature, especially where future records may depend on today's data.</ns0:t>
        </ns0:is>
      </ns0:c>
      <ns0:c r="E19" s="28" t="inlineStr">
        <ns0:is>
          <ns0:t xml:space="preserve">All current items</ns0:t>
        </ns0:is>
      </ns0:c>
      <ns0:c r="F19" s="28" t="inlineStr">
        <ns0:is>
          <ns0:t xml:space="preserve">Stories!B4</ns0:t>
        </ns0:is>
      </ns0:c>
    </ns0:row>
    <ns0:row r="20" ht="52" customHeight="1">
      <ns0:c r="A20" s="4" t="inlineStr">
        <ns0:is>
          <ns0:t xml:space="preserve">REQ-017</ns0:t>
        </ns0:is>
      </ns0:c>
      <ns0:c r="B20" s="4" t="inlineStr">
        <ns0:is>
          <ns0:t xml:space="preserve">Design and teaching approach</ns0:t>
        </ns0:is>
      </ns0:c>
      <ns0:c r="C20" s="4" t="inlineStr">
        <ns0:is>
          <ns0:t xml:space="preserve">Project context</ns0:t>
        </ns0:is>
      </ns0:c>
      <ns0:c r="D20" s="4" t="inlineStr">
        <ns0:is>
          <ns0:t xml:space="preserve">Teach one small step at a time, emphasizing Vue, Inertia, and Tailwind.</ns0:t>
        </ns0:is>
      </ns0:c>
      <ns0:c r="E20" s="4" t="inlineStr">
        <ns0:is>
          <ns0:t xml:space="preserve">All current items</ns0:t>
        </ns0:is>
      </ns0:c>
      <ns0:c r="F20" s="4" t="inlineStr">
        <ns0:is>
          <ns0:t xml:space="preserve">Stories!B4</ns0:t>
        </ns0:is>
      </ns0:c>
    </ns0:row>
    <ns0:row r="21" ht="52" customHeight="1">
      <ns0:c r="A21" s="28" t="inlineStr">
        <ns0:is>
          <ns0:t xml:space="preserve">REQ-018</ns0:t>
        </ns0:is>
      </ns0:c>
      <ns0:c r="B21" s="28" t="inlineStr">
        <ns0:is>
          <ns0:t xml:space="preserve">Design and teaching approach</ns0:t>
        </ns0:is>
      </ns0:c>
      <ns0:c r="C21" s="28" t="inlineStr">
        <ns0:is>
          <ns0:t xml:space="preserve">Project context</ns0:t>
        </ns0:is>
      </ns0:c>
      <ns0:c r="D21" s="28" t="inlineStr">
        <ns0:is>
          <ns0:t xml:space="preserve">Mark deferred work with ##FUTURE. A future entry records direction; it does not authorize implementation or approve unspecified details.</ns0:t>
        </ns0:is>
      </ns0:c>
      <ns0:c r="E21" s="28" t="inlineStr">
        <ns0:is>
          <ns0:t xml:space="preserve">All current items</ns0:t>
        </ns0:is>
      </ns0:c>
      <ns0:c r="F21" s="28" t="inlineStr">
        <ns0:is>
          <ns0:t xml:space="preserve">Stories!B4</ns0:t>
        </ns0:is>
      </ns0:c>
    </ns0:row>
    <ns0:row r="22" ht="52" customHeight="1">
      <ns0:c r="A22" s="4" t="inlineStr">
        <ns0:is>
          <ns0:t xml:space="preserve">REQ-019</ns0:t>
        </ns0:is>
      </ns0:c>
      <ns0:c r="B22" s="4" t="inlineStr">
        <ns0:is>
          <ns0:t xml:space="preserve">1. Roles and account creation</ns0:t>
        </ns0:is>
      </ns0:c>
      <ns0:c r="C22" s="4" t="inlineStr">
        <ns0:is>
          <ns0:t xml:space="preserve">Current scope</ns0:t>
        </ns0:is>
      </ns0:c>
      <ns0:c r="D22" s="4" t="inlineStr">
        <ns0:is>
          <ns0: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ns0:t>
        </ns0:is>
      </ns0:c>
      <ns0:c r="E22" s="4" t="inlineStr">
        <ns0:is>
          <ns0:t xml:space="preserve">FB-004, FB-016, FB-018, FB-019</ns0:t>
        </ns0:is>
      </ns0:c>
      <ns0:c r="F22" s="4" t="inlineStr">
        <ns0:is>
          <ns0:t xml:space="preserve">Stories!B7</ns0:t>
        </ns0:is>
      </ns0:c>
    </ns0:row>
    <ns0:row r="23" ht="52" customHeight="1">
      <ns0:c r="A23" s="28" t="inlineStr">
        <ns0:is>
          <ns0:t xml:space="preserve">REQ-020</ns0:t>
        </ns0:is>
      </ns0:c>
      <ns0:c r="B23" s="28" t="inlineStr">
        <ns0:is>
          <ns0:t xml:space="preserve">1. Roles and account creation</ns0:t>
        </ns0:is>
      </ns0:c>
      <ns0:c r="C23" s="28" t="inlineStr">
        <ns0:is>
          <ns0:t xml:space="preserve">Current scope</ns0:t>
        </ns0:is>
      </ns0:c>
      <ns0:c r="D23" s="28" t="inlineStr">
        <ns0:is>
          <ns0: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ns0:t>
        </ns0:is>
      </ns0:c>
      <ns0:c r="E23" s="28" t="inlineStr">
        <ns0:is>
          <ns0:t xml:space="preserve">FB-004, FB-019, FB-021</ns0:t>
        </ns0:is>
      </ns0:c>
      <ns0:c r="F23" s="28" t="inlineStr">
        <ns0:is>
          <ns0:t xml:space="preserve">Stories!B7</ns0:t>
        </ns0:is>
      </ns0:c>
    </ns0:row>
    <ns0:row r="24" ht="52" customHeight="1">
      <ns0:c r="A24" s="4" t="inlineStr">
        <ns0:is>
          <ns0:t xml:space="preserve">REQ-021</ns0:t>
        </ns0:is>
      </ns0:c>
      <ns0:c r="B24" s="4" t="inlineStr">
        <ns0:is>
          <ns0:t xml:space="preserve">1. Roles and account creation</ns0:t>
        </ns0:is>
      </ns0:c>
      <ns0:c r="C24" s="4" t="inlineStr">
        <ns0:is>
          <ns0:t xml:space="preserve">Current scope</ns0:t>
        </ns0:is>
      </ns0:c>
      <ns0:c r="D24" s="4"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24" s="4" t="inlineStr">
        <ns0:is>
          <ns0:t xml:space="preserve">FB-021</ns0:t>
        </ns0:is>
      </ns0:c>
      <ns0:c r="F24" s="4" t="inlineStr">
        <ns0:is>
          <ns0:t xml:space="preserve">Stories!B25</ns0:t>
        </ns0:is>
      </ns0:c>
    </ns0:row>
    <ns0:row r="25" ht="52" customHeight="1">
      <ns0:c r="A25" s="28" t="inlineStr">
        <ns0:is>
          <ns0:t xml:space="preserve">REQ-022</ns0:t>
        </ns0:is>
      </ns0:c>
      <ns0:c r="B25" s="28" t="inlineStr">
        <ns0:is>
          <ns0:t xml:space="preserve">1. Roles and account creation</ns0:t>
        </ns0:is>
      </ns0:c>
      <ns0:c r="C25" s="28" t="inlineStr">
        <ns0:is>
          <ns0:t xml:space="preserve">Current scope</ns0:t>
        </ns0:is>
      </ns0:c>
      <ns0:c r="D25" s="28" t="inlineStr">
        <ns0:is>
          <ns0: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E25" s="28" t="inlineStr">
        <ns0:is>
          <ns0:t xml:space="preserve">FB-004, FB-019</ns0:t>
        </ns0:is>
      </ns0:c>
      <ns0:c r="F25" s="28" t="inlineStr">
        <ns0:is>
          <ns0:t xml:space="preserve">Stories!B7</ns0:t>
        </ns0:is>
      </ns0:c>
    </ns0:row>
    <ns0:row r="26" ht="52" customHeight="1">
      <ns0:c r="A26" s="4" t="inlineStr">
        <ns0:is>
          <ns0:t xml:space="preserve">REQ-023</ns0:t>
        </ns0:is>
      </ns0:c>
      <ns0:c r="B26" s="4" t="inlineStr">
        <ns0:is>
          <ns0:t xml:space="preserve">1. Roles and account creation</ns0:t>
        </ns0:is>
      </ns0:c>
      <ns0:c r="C26" s="4" t="inlineStr">
        <ns0:is>
          <ns0:t xml:space="preserve">Current scope</ns0:t>
        </ns0:is>
      </ns0:c>
      <ns0:c r="D26" s="4" t="inlineStr">
        <ns0:is>
          <ns0: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ns0:t>
        </ns0:is>
      </ns0:c>
      <ns0:c r="E26" s="4" t="inlineStr">
        <ns0:is>
          <ns0:t xml:space="preserve">FB-004, FB-006–FB-007, FB-019</ns0:t>
        </ns0:is>
      </ns0:c>
      <ns0:c r="F26" s="4" t="inlineStr">
        <ns0:is>
          <ns0:t xml:space="preserve">Stories!B7</ns0:t>
        </ns0:is>
      </ns0:c>
    </ns0:row>
    <ns0:row r="27" ht="52" customHeight="1">
      <ns0:c r="A27" s="28" t="inlineStr">
        <ns0:is>
          <ns0:t xml:space="preserve">REQ-024</ns0:t>
        </ns0:is>
      </ns0:c>
      <ns0:c r="B27" s="28" t="inlineStr">
        <ns0:is>
          <ns0:t xml:space="preserve">1. Roles and account creation</ns0:t>
        </ns0:is>
      </ns0:c>
      <ns0:c r="C27" s="28" t="inlineStr">
        <ns0:is>
          <ns0:t xml:space="preserve">Current scope</ns0:t>
        </ns0:is>
      </ns0:c>
      <ns0:c r="D27" s="28" t="inlineStr">
        <ns0:is>
          <ns0: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7" s="28" t="inlineStr">
        <ns0:is>
          <ns0:t xml:space="preserve">FB-016–FB-023, FB-025</ns0:t>
        </ns0:is>
      </ns0:c>
      <ns0:c r="F27" s="28" t="inlineStr">
        <ns0:is>
          <ns0:t xml:space="preserve">Stories!B9</ns0:t>
        </ns0:is>
      </ns0:c>
    </ns0:row>
    <ns0:row r="28" ht="52" customHeight="1">
      <ns0:c r="A28" s="4" t="inlineStr">
        <ns0:is>
          <ns0:t xml:space="preserve">REQ-025</ns0:t>
        </ns0:is>
      </ns0:c>
      <ns0:c r="B28" s="4" t="inlineStr">
        <ns0:is>
          <ns0:t xml:space="preserve">1. Roles and account creation</ns0:t>
        </ns0:is>
      </ns0:c>
      <ns0:c r="C28" s="4" t="inlineStr">
        <ns0:is>
          <ns0:t xml:space="preserve">Current scope</ns0:t>
        </ns0:is>
      </ns0:c>
      <ns0:c r="D28" s="4" t="inlineStr">
        <ns0:is>
          <ns0: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8" s="4" t="inlineStr">
        <ns0:is>
          <ns0:t xml:space="preserve">FB-016–FB-023, FB-025</ns0:t>
        </ns0:is>
      </ns0:c>
      <ns0:c r="F28" s="4" t="inlineStr">
        <ns0:is>
          <ns0:t xml:space="preserve">Stories!B9</ns0:t>
        </ns0:is>
      </ns0:c>
    </ns0:row>
    <ns0:row r="29" ht="52" customHeight="1">
      <ns0:c r="A29" s="28" t="inlineStr">
        <ns0:is>
          <ns0:t xml:space="preserve">REQ-026</ns0:t>
        </ns0:is>
      </ns0:c>
      <ns0:c r="B29" s="28" t="inlineStr">
        <ns0:is>
          <ns0:t xml:space="preserve">1. Roles and account creation</ns0:t>
        </ns0:is>
      </ns0:c>
      <ns0:c r="C29" s="28" t="inlineStr">
        <ns0:is>
          <ns0:t xml:space="preserve">Current scope</ns0:t>
        </ns0:is>
      </ns0:c>
      <ns0:c r="D29" s="28" t="inlineStr">
        <ns0:is>
          <ns0:t xml:space="preserve">Public self-registration is unavailable. Only the Super Admin and managers can create accounts, within the permissions above.</ns0:t>
        </ns0:is>
      </ns0:c>
      <ns0:c r="E29" s="28" t="inlineStr">
        <ns0:is>
          <ns0:t xml:space="preserve">FB-004, FB-019</ns0:t>
        </ns0:is>
      </ns0:c>
      <ns0:c r="F29" s="28" t="inlineStr">
        <ns0:is>
          <ns0:t xml:space="preserve">Stories!B7</ns0:t>
        </ns0:is>
      </ns0:c>
    </ns0:row>
    <ns0:row r="30" ht="52" customHeight="1">
      <ns0:c r="A30" s="4" t="inlineStr">
        <ns0:is>
          <ns0:t xml:space="preserve">REQ-027</ns0:t>
        </ns0:is>
      </ns0:c>
      <ns0:c r="B30" s="4" t="inlineStr">
        <ns0:is>
          <ns0:t xml:space="preserve">1. Roles and account creation</ns0:t>
        </ns0:is>
      </ns0:c>
      <ns0:c r="C30" s="4" t="inlineStr">
        <ns0:is>
          <ns0:t xml:space="preserve">Current scope</ns0:t>
        </ns0:is>
      </ns0:c>
      <ns0:c r="D30" s="4" t="inlineStr">
        <ns0:is>
          <ns0:t xml:space="preserve">Self-service editing of one's own name, email, or phone is excluded from the current scope. Users can still change their own password.</ns0:t>
        </ns0:is>
      </ns0:c>
      <ns0:c r="E30" s="4" t="inlineStr">
        <ns0:is>
          <ns0:t xml:space="preserve">FB-017, FB-019, FB-021</ns0:t>
        </ns0:is>
      </ns0:c>
      <ns0:c r="F30" s="4" t="inlineStr">
        <ns0:is>
          <ns0:t xml:space="preserve">Stories!B10</ns0:t>
        </ns0:is>
      </ns0:c>
    </ns0:row>
    <ns0:row r="31" ht="52" customHeight="1">
      <ns0:c r="A31" s="28" t="inlineStr">
        <ns0:is>
          <ns0:t xml:space="preserve">REQ-028</ns0:t>
        </ns0:is>
      </ns0:c>
      <ns0:c r="B31" s="28" t="inlineStr">
        <ns0:is>
          <ns0:t xml:space="preserve">1. Roles and account creation</ns0:t>
        </ns0:is>
      </ns0:c>
      <ns0:c r="C31" s="28" t="inlineStr">
        <ns0:is>
          <ns0:t xml:space="preserve">Current scope</ns0:t>
        </ns0:is>
      </ns0:c>
      <ns0:c r="D31" s="28" t="inlineStr">
        <ns0:is>
          <ns0:t xml:space="preserve">User creation and editing each have their own page, rather than pop-up forms.
2026-10-26 approved create-form design: wrap fields in a named card; two columns on wider screens and one on narrow screens.</ns0:t>
        </ns0:is>
      </ns0:c>
      <ns0:c r="E31" s="28" t="inlineStr">
        <ns0:is>
          <ns0:t xml:space="preserve">FB-016–FB-023, FB-025</ns0:t>
        </ns0:is>
      </ns0:c>
      <ns0:c r="F31" s="28" t="inlineStr">
        <ns0:is>
          <ns0:t xml:space="preserve">Stories!B9</ns0:t>
        </ns0:is>
      </ns0:c>
    </ns0:row>
    <ns0:row r="32" ht="52" customHeight="1">
      <ns0:c r="A32" s="4" t="inlineStr">
        <ns0:is>
          <ns0:t xml:space="preserve">REQ-029</ns0:t>
        </ns0:is>
      </ns0:c>
      <ns0:c r="B32" s="4" t="inlineStr">
        <ns0:is>
          <ns0:t xml:space="preserve">1. Roles and account creation</ns0:t>
        </ns0:is>
      </ns0:c>
      <ns0:c r="C32" s="4" t="inlineStr">
        <ns0:is>
          <ns0:t xml:space="preserve">Current scope</ns0:t>
        </ns0:is>
      </ns0:c>
      <ns0:c r="D32" s="4" t="inlineStr">
        <ns0:is>
          <ns0: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ns0:t>
        </ns0:is>
      </ns0:c>
      <ns0:c r="E32" s="4" t="inlineStr">
        <ns0:is>
          <ns0:t xml:space="preserve">FB-019, FB-020, FB-021, FB-025</ns0:t>
        </ns0:is>
      </ns0:c>
      <ns0:c r="F32" s="4" t="inlineStr">
        <ns0:is>
          <ns0:t xml:space="preserve">Stories!B13</ns0:t>
        </ns0:is>
      </ns0:c>
    </ns0:row>
    <ns0:row r="33" ht="61" customHeight="1">
      <ns0:c r="A33" s="28" t="inlineStr">
        <ns0:is>
          <ns0:t xml:space="preserve">REQ-030</ns0:t>
        </ns0:is>
      </ns0:c>
      <ns0:c r="B33" s="28" t="inlineStr">
        <ns0:is>
          <ns0:t xml:space="preserve">1. Roles and account creation</ns0:t>
        </ns0:is>
      </ns0:c>
      <ns0:c r="C33" s="28" t="inlineStr">
        <ns0:is>
          <ns0:t xml:space="preserve">Current scope</ns0:t>
        </ns0:is>
      </ns0:c>
      <ns0:c r="D33" s="28" t="inlineStr">
        <ns0:is>
          <ns0: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ns0:t>
        </ns0:is>
      </ns0:c>
      <ns0:c r="E33" s="28" t="inlineStr">
        <ns0:is>
          <ns0:t xml:space="preserve">FB-016–FB-023, FB-025</ns0:t>
        </ns0:is>
      </ns0:c>
      <ns0:c r="F33" s="28" t="inlineStr">
        <ns0:is>
          <ns0:t xml:space="preserve">Stories!B9</ns0:t>
        </ns0:is>
      </ns0:c>
    </ns0:row>
    <ns0:row r="34" ht="52" customHeight="1">
      <ns0:c r="A34" s="4" t="inlineStr">
        <ns0:is>
          <ns0:t xml:space="preserve">REQ-031</ns0:t>
        </ns0:is>
      </ns0:c>
      <ns0:c r="B34" s="4" t="inlineStr">
        <ns0:is>
          <ns0:t xml:space="preserve">1. Roles and account creation</ns0:t>
        </ns0:is>
      </ns0:c>
      <ns0:c r="C34" s="4" t="inlineStr">
        <ns0:is>
          <ns0:t xml:space="preserve">##FUTURE</ns0:t>
        </ns0:is>
      </ns0:c>
      <ns0:c r="D34" s="4" t="inlineStr">
        <ns0:is>
          <ns0:t xml:space="preserve">##FUTURE Self-service profile editing.</ns0:t>
        </ns0:is>
      </ns0:c>
      <ns0:c r="E34" s="4" t="inlineStr">
        <ns0:is>
          <ns0:t xml:space="preserve">Deferred — no current item</ns0:t>
        </ns0:is>
      </ns0:c>
      <ns0:c r="F34" s="4" t="inlineStr">
        <ns0:is>
          <ns0:t xml:space="preserve">Deferred</ns0:t>
        </ns0:is>
      </ns0:c>
    </ns0:row>
    <ns0:row r="35" ht="52" customHeight="1">
      <ns0:c r="A35" s="28" t="inlineStr">
        <ns0:is>
          <ns0:t xml:space="preserve">REQ-032</ns0:t>
        </ns0:is>
      </ns0:c>
      <ns0:c r="B35" s="28" t="inlineStr">
        <ns0:is>
          <ns0:t xml:space="preserve">1. Roles and account creation</ns0:t>
        </ns0:is>
      </ns0:c>
      <ns0:c r="C35" s="28" t="inlineStr">
        <ns0:is>
          <ns0:t xml:space="preserve">Current scope</ns0:t>
        </ns0:is>
      </ns0:c>
      <ns0:c r="D35" s="28" t="inlineStr">
        <ns0:is>
          <ns0:t xml:space="preserve">Manager accounts use the same mandatory fields and username rules as volunteers, including username regeneration after name changes.</ns0:t>
        </ns0:is>
      </ns0:c>
      <ns0:c r="E35" s="28" t="inlineStr">
        <ns0:is>
          <ns0:t xml:space="preserve">FB-016–FB-023, FB-025</ns0:t>
        </ns0:is>
      </ns0:c>
      <ns0:c r="F35" s="28" t="inlineStr">
        <ns0:is>
          <ns0:t xml:space="preserve">Stories!B9</ns0:t>
        </ns0:is>
      </ns0:c>
    </ns0:row>
    <ns0:row r="36" ht="52" customHeight="1">
      <ns0:c r="A36" s="4" t="inlineStr">
        <ns0:is>
          <ns0:t xml:space="preserve">REQ-033</ns0:t>
        </ns0:is>
      </ns0:c>
      <ns0:c r="B36" s="4" t="inlineStr">
        <ns0:is>
          <ns0:t xml:space="preserve">1. Roles and account creation</ns0:t>
        </ns0:is>
      </ns0:c>
      <ns0:c r="C36" s="4" t="inlineStr">
        <ns0:is>
          <ns0:t xml:space="preserve">Current scope</ns0:t>
        </ns0:is>
      </ns0:c>
      <ns0:c r="D36" s="4" t="inlineStr">
        <ns0:is>
          <ns0:t xml:space="preserve">New managers follow the same initial password-change process as volunteers.</ns0:t>
        </ns0:is>
      </ns0:c>
      <ns0:c r="E36" s="4" t="inlineStr">
        <ns0:is>
          <ns0:t xml:space="preserve">FB-006–FB-007, FB-019</ns0:t>
        </ns0:is>
      </ns0:c>
      <ns0:c r="F36" s="4" t="inlineStr">
        <ns0:is>
          <ns0:t xml:space="preserve">Stories!B14</ns0:t>
        </ns0:is>
      </ns0:c>
    </ns0:row>
    <ns0:row r="37" ht="52" customHeight="1">
      <ns0:c r="A37" s="28" t="inlineStr">
        <ns0:is>
          <ns0:t xml:space="preserve">REQ-034</ns0:t>
        </ns0:is>
      </ns0:c>
      <ns0:c r="B37" s="28" t="inlineStr">
        <ns0:is>
          <ns0:t xml:space="preserve">1. Roles and account creation</ns0:t>
        </ns0:is>
      </ns0:c>
      <ns0:c r="C37" s="28" t="inlineStr">
        <ns0:is>
          <ns0:t xml:space="preserve">Current scope</ns0:t>
        </ns0:is>
      </ns0:c>
      <ns0:c r="D37" s="28" t="inlineStr">
        <ns0:is>
          <ns0: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37" s="28" t="inlineStr">
        <ns0:is>
          <ns0:t xml:space="preserve">FB-016–FB-023, FB-025</ns0:t>
        </ns0:is>
      </ns0:c>
      <ns0:c r="F37" s="28" t="inlineStr">
        <ns0:is>
          <ns0:t xml:space="preserve">Stories!B9</ns0:t>
        </ns0:is>
      </ns0:c>
    </ns0:row>
    <ns0:row r="38" ht="52" customHeight="1">
      <ns0:c r="A38" s="4" t="inlineStr">
        <ns0:is>
          <ns0:t xml:space="preserve">REQ-035</ns0:t>
        </ns0:is>
      </ns0:c>
      <ns0:c r="B38" s="4" t="inlineStr">
        <ns0:is>
          <ns0:t xml:space="preserve">1. Roles and account creation</ns0:t>
        </ns0:is>
      </ns0:c>
      <ns0:c r="C38" s="4" t="inlineStr">
        <ns0:is>
          <ns0:t xml:space="preserve">Current scope</ns0:t>
        </ns0:is>
      </ns0:c>
      <ns0:c r="D38" s="4" t="inlineStr">
        <ns0:is>
          <ns0:t xml:space="preserve">Email addresses must be unique across all users and roles. Creating or updating an account cannot use another account's email address.</ns0:t>
        </ns0:is>
      </ns0:c>
      <ns0:c r="E38" s="4" t="inlineStr">
        <ns0:is>
          <ns0:t xml:space="preserve">FB-016–FB-023, FB-025</ns0:t>
        </ns0:is>
      </ns0:c>
      <ns0:c r="F38" s="4" t="inlineStr">
        <ns0:is>
          <ns0:t xml:space="preserve">Stories!B9</ns0:t>
        </ns0:is>
      </ns0:c>
    </ns0:row>
    <ns0:row r="39" ht="52" customHeight="1">
      <ns0:c r="A39" s="28" t="inlineStr">
        <ns0:is>
          <ns0:t xml:space="preserve">REQ-036</ns0:t>
        </ns0:is>
      </ns0:c>
      <ns0:c r="B39" s="28" t="inlineStr">
        <ns0:is>
          <ns0:t xml:space="preserve">1. Roles and account creation</ns0:t>
        </ns0:is>
      </ns0:c>
      <ns0:c r="C39" s="28" t="inlineStr">
        <ns0:is>
          <ns0:t xml:space="preserve">Current scope</ns0:t>
        </ns0:is>
      </ns0:c>
      <ns0:c r="D39" s="28" t="inlineStr">
        <ns0:is>
          <ns0:t xml:space="preserve">Phone numbers are mandatory and may be shared by multiple users; they are not unique. Use Canadian phone-number formatting.</ns0:t>
        </ns0:is>
      </ns0:c>
      <ns0:c r="E39" s="28" t="inlineStr">
        <ns0:is>
          <ns0:t xml:space="preserve">FB-017, FB-019, FB-021</ns0:t>
        </ns0:is>
      </ns0:c>
      <ns0:c r="F39" s="28" t="inlineStr">
        <ns0:is>
          <ns0:t xml:space="preserve">Stories!B10</ns0:t>
        </ns0:is>
      </ns0:c>
    </ns0:row>
    <ns0:row r="40" ht="52" customHeight="1">
      <ns0:c r="A40" s="4" t="inlineStr">
        <ns0:is>
          <ns0:t xml:space="preserve">REQ-037</ns0:t>
        </ns0:is>
      </ns0:c>
      <ns0:c r="B40" s="4" t="inlineStr">
        <ns0:is>
          <ns0:t xml:space="preserve">1. Roles and account creation</ns0:t>
        </ns0:is>
      </ns0:c>
      <ns0:c r="C40" s="4" t="inlineStr">
        <ns0:is>
          <ns0:t xml:space="preserve">Current scope</ns0:t>
        </ns0:is>
      </ns0:c>
      <ns0:c r="D40" s="4" t="inlineStr">
        <ns0:is>
          <ns0:t xml:space="preserve">Phone input and display must use the format +1 506-555-0123: +1, a space, and the remaining digits grouped with hyphens.</ns0:t>
        </ns0:is>
      </ns0:c>
      <ns0:c r="E40" s="4" t="inlineStr">
        <ns0:is>
          <ns0:t xml:space="preserve">FB-017, FB-019, FB-021</ns0:t>
        </ns0:is>
      </ns0:c>
      <ns0:c r="F40" s="4" t="inlineStr">
        <ns0:is>
          <ns0:t xml:space="preserve">Stories!B10</ns0:t>
        </ns0:is>
      </ns0:c>
    </ns0:row>
    <ns0:row r="41" ht="52" customHeight="1">
      <ns0:c r="A41" s="28" t="inlineStr">
        <ns0:is>
          <ns0:t xml:space="preserve">REQ-038</ns0:t>
        </ns0:is>
      </ns0:c>
      <ns0:c r="B41" s="28" t="inlineStr">
        <ns0:is>
          <ns0:t xml:space="preserve">1. Roles and account creation</ns0:t>
        </ns0:is>
      </ns0:c>
      <ns0:c r="C41" s="28" t="inlineStr">
        <ns0:is>
          <ns0:t xml:space="preserve">Current scope</ns0:t>
        </ns0:is>
      </ns0:c>
      <ns0:c r="D41" s="28" t="inlineStr">
        <ns0:is>
          <ns0: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ns0:t>
        </ns0:is>
      </ns0:c>
      <ns0:c r="E41" s="28" t="inlineStr">
        <ns0:is>
          <ns0:t xml:space="preserve">FB-017, FB-019, FB-021</ns0:t>
        </ns0:is>
      </ns0:c>
      <ns0:c r="F41" s="28" t="inlineStr">
        <ns0:is>
          <ns0:t xml:space="preserve">Stories!B10</ns0:t>
        </ns0:is>
      </ns0:c>
    </ns0:row>
    <ns0:row r="42" ht="52" customHeight="1">
      <ns0:c r="A42" s="4" t="inlineStr">
        <ns0:is>
          <ns0:t xml:space="preserve">REQ-039</ns0:t>
        </ns0:is>
      </ns0:c>
      <ns0:c r="B42" s="4" t="inlineStr">
        <ns0:is>
          <ns0:t xml:space="preserve">1. Roles and account creation</ns0:t>
        </ns0:is>
      </ns0:c>
      <ns0:c r="C42" s="4" t="inlineStr">
        <ns0:is>
          <ns0:t xml:space="preserve">##FUTURE</ns0:t>
        </ns0:is>
      </ns0:c>
      <ns0:c r="D42" s="4" t="inlineStr">
        <ns0:is>
          <ns0:t xml:space="preserve">##FUTURE Additional roles.</ns0:t>
        </ns0:is>
      </ns0:c>
      <ns0:c r="E42" s="4" t="inlineStr">
        <ns0:is>
          <ns0:t xml:space="preserve">Deferred — no current item</ns0:t>
        </ns0:is>
      </ns0:c>
      <ns0:c r="F42" s="4" t="inlineStr">
        <ns0:is>
          <ns0:t xml:space="preserve">Deferred</ns0:t>
        </ns0:is>
      </ns0:c>
    </ns0:row>
    <ns0:row r="43" ht="52" customHeight="1">
      <ns0:c r="A43" s="28" t="inlineStr">
        <ns0:is>
          <ns0:t xml:space="preserve">REQ-040</ns0:t>
        </ns0:is>
      </ns0:c>
      <ns0:c r="B43" s="28" t="inlineStr">
        <ns0:is>
          <ns0:t xml:space="preserve">1. Roles and account creation</ns0:t>
        </ns0:is>
      </ns0:c>
      <ns0:c r="C43" s="28" t="inlineStr">
        <ns0:is>
          <ns0:t xml:space="preserve">Current scope</ns0:t>
        </ns0:is>
      </ns0:c>
      <ns0:c r="D43" s="28" t="inlineStr">
        <ns0:is>
          <ns0: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ns0:t>
        </ns0:is>
      </ns0:c>
      <ns0:c r="E43" s="28" t="inlineStr">
        <ns0:is>
          <ns0:t xml:space="preserve">FB-016–FB-023, FB-025</ns0:t>
        </ns0:is>
      </ns0:c>
      <ns0:c r="F43" s="28" t="inlineStr">
        <ns0:is>
          <ns0:t xml:space="preserve">Stories!B9</ns0:t>
        </ns0:is>
      </ns0:c>
    </ns0:row>
    <ns0:row r="44" ht="52" customHeight="1">
      <ns0:c r="A44" s="4" t="inlineStr">
        <ns0:is>
          <ns0:t xml:space="preserve">REQ-041</ns0:t>
        </ns0:is>
      </ns0:c>
      <ns0:c r="B44" s="4" t="inlineStr">
        <ns0:is>
          <ns0:t xml:space="preserve">1. Roles and account creation</ns0:t>
        </ns0:is>
      </ns0:c>
      <ns0:c r="C44" s="4" t="inlineStr">
        <ns0:is>
          <ns0:t xml:space="preserve">Current scope</ns0:t>
        </ns0:is>
      </ns0:c>
      <ns0:c r="D44" s="4" t="inlineStr">
        <ns0:is>
          <ns0: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ns0:t>
        </ns0:is>
      </ns0:c>
      <ns0:c r="E44" s="4" t="inlineStr">
        <ns0:is>
          <ns0:t xml:space="preserve">FB-009–FB-015</ns0:t>
        </ns0:is>
      </ns0:c>
      <ns0:c r="F44" s="4" t="inlineStr">
        <ns0:is>
          <ns0:t xml:space="preserve">Stories!B17</ns0:t>
        </ns0:is>
      </ns0:c>
    </ns0:row>
    <ns0:row r="45" ht="52" customHeight="1">
      <ns0:c r="A45" s="28" t="inlineStr">
        <ns0:is>
          <ns0:t xml:space="preserve">REQ-042</ns0:t>
        </ns0:is>
      </ns0:c>
      <ns0:c r="B45" s="28" t="inlineStr">
        <ns0:is>
          <ns0:t xml:space="preserve">1. Roles and account creation</ns0:t>
        </ns0:is>
      </ns0:c>
      <ns0:c r="C45" s="28" t="inlineStr">
        <ns0:is>
          <ns0:t xml:space="preserve">Current scope</ns0:t>
        </ns0:is>
      </ns0:c>
      <ns0:c r="D45" s="28" t="inlineStr">
        <ns0:is>
          <ns0: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ns0:t>
        </ns0:is>
      </ns0:c>
      <ns0:c r="E45" s="28" t="inlineStr">
        <ns0:is>
          <ns0:t xml:space="preserve">FB-009–FB-015</ns0:t>
        </ns0:is>
      </ns0:c>
      <ns0:c r="F45" s="28" t="inlineStr">
        <ns0:is>
          <ns0:t xml:space="preserve">Stories!B17</ns0:t>
        </ns0:is>
      </ns0:c>
    </ns0:row>
    <ns0:row r="46" ht="52" customHeight="1">
      <ns0:c r="A46" s="4" t="inlineStr">
        <ns0:is>
          <ns0:t xml:space="preserve">REQ-043</ns0:t>
        </ns0:is>
      </ns0:c>
      <ns0:c r="B46" s="4" t="inlineStr">
        <ns0:is>
          <ns0:t xml:space="preserve">1. Roles and account creation</ns0:t>
        </ns0:is>
      </ns0:c>
      <ns0:c r="C46" s="4" t="inlineStr">
        <ns0:is>
          <ns0:t xml:space="preserve">Current scope</ns0:t>
        </ns0:is>
      </ns0:c>
      <ns0:c r="D46" s="4" t="inlineStr">
        <ns0:is>
          <ns0: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46" s="4" t="inlineStr">
        <ns0:is>
          <ns0:t xml:space="preserve">FB-005, FB-022</ns0:t>
        </ns0:is>
      </ns0:c>
      <ns0:c r="F46" s="4" t="inlineStr">
        <ns0:is>
          <ns0:t xml:space="preserve">Stories!B8</ns0:t>
        </ns0:is>
      </ns0:c>
    </ns0:row>
    <ns0:row r="47" ht="52" customHeight="1">
      <ns0:c r="A47" s="28" t="inlineStr">
        <ns0:is>
          <ns0:t xml:space="preserve">REQ-044</ns0:t>
        </ns0:is>
      </ns0:c>
      <ns0:c r="B47" s="28" t="inlineStr">
        <ns0:is>
          <ns0:t xml:space="preserve">1. Roles and account creation</ns0:t>
        </ns0:is>
      </ns0:c>
      <ns0:c r="C47" s="28" t="inlineStr">
        <ns0:is>
          <ns0:t xml:space="preserve">Current scope</ns0:t>
        </ns0:is>
      </ns0:c>
      <ns0:c r="D47" s="28" t="inlineStr">
        <ns0:is>
          <ns0: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ns0:t>
        </ns0:is>
      </ns0:c>
      <ns0:c r="E47" s="28" t="inlineStr">
        <ns0:is>
          <ns0:t xml:space="preserve">FB-005, FB-022</ns0:t>
        </ns0:is>
      </ns0:c>
      <ns0:c r="F47" s="28" t="inlineStr">
        <ns0:is>
          <ns0:t xml:space="preserve">Stories!B8</ns0:t>
        </ns0:is>
      </ns0:c>
    </ns0:row>
    <ns0:row r="48" ht="52" customHeight="1">
      <ns0:c r="A48" s="4" t="inlineStr">
        <ns0:is>
          <ns0:t xml:space="preserve">REQ-045</ns0:t>
        </ns0:is>
      </ns0:c>
      <ns0:c r="B48" s="4" t="inlineStr">
        <ns0:is>
          <ns0:t xml:space="preserve">2. Shared login for all roles</ns0:t>
        </ns0:is>
      </ns0:c>
      <ns0:c r="C48" s="4" t="inlineStr">
        <ns0:is>
          <ns0:t xml:space="preserve">Current scope</ns0:t>
        </ns0:is>
      </ns0:c>
      <ns0:c r="D48" s="4" t="inlineStr">
        <ns0:is>
          <ns0:t xml:space="preserve">Super Admin, managers, and volunteers use the same login screen.</ns0:t>
        </ns0:is>
      </ns0:c>
      <ns0:c r="E48" s="4" t="inlineStr">
        <ns0:is>
          <ns0:t xml:space="preserve">FB-002–FB-008</ns0:t>
        </ns0:is>
      </ns0:c>
      <ns0:c r="F48" s="4" t="inlineStr">
        <ns0:is>
          <ns0:t xml:space="preserve">Stories!B5</ns0:t>
        </ns0:is>
      </ns0:c>
    </ns0:row>
    <ns0:row r="49" ht="52" customHeight="1">
      <ns0:c r="A49" s="28" t="inlineStr">
        <ns0:is>
          <ns0:t xml:space="preserve">REQ-046</ns0:t>
        </ns0:is>
      </ns0:c>
      <ns0:c r="B49" s="28" t="inlineStr">
        <ns0:is>
          <ns0:t xml:space="preserve">2. Shared login for all roles</ns0:t>
        </ns0:is>
      </ns0:c>
      <ns0:c r="C49" s="28" t="inlineStr">
        <ns0:is>
          <ns0:t xml:space="preserve">Current scope</ns0:t>
        </ns0:is>
      </ns0:c>
      <ns0:c r="D49" s="28" t="inlineStr">
        <ns0:is>
          <ns0:t xml:space="preserve">The system identifies the account and uses its stored role.</ns0:t>
        </ns0:is>
      </ns0:c>
      <ns0:c r="E49" s="28" t="inlineStr">
        <ns0:is>
          <ns0:t xml:space="preserve">FB-002–FB-008</ns0:t>
        </ns0:is>
      </ns0:c>
      <ns0:c r="F49" s="28" t="inlineStr">
        <ns0:is>
          <ns0:t xml:space="preserve">Stories!B5</ns0:t>
        </ns0:is>
      </ns0:c>
    </ns0:row>
    <ns0:row r="50" ht="52" customHeight="1">
      <ns0:c r="A50" s="4" t="inlineStr">
        <ns0:is>
          <ns0:t xml:space="preserve">REQ-047</ns0:t>
        </ns0:is>
      </ns0:c>
      <ns0:c r="B50" s="4" t="inlineStr">
        <ns0:is>
          <ns0:t xml:space="preserve">2. Shared login for all roles</ns0:t>
        </ns0:is>
      </ns0:c>
      <ns0:c r="C50" s="4" t="inlineStr">
        <ns0:is>
          <ns0:t xml:space="preserve">Current scope</ns0:t>
        </ns0:is>
      </ns0:c>
      <ns0:c r="D50" s="4" t="inlineStr">
        <ns0:is>
          <ns0:t xml:space="preserve">All three roles can log in using either their username or email in the same login field.</ns0:t>
        </ns0:is>
      </ns0:c>
      <ns0:c r="E50" s="4" t="inlineStr">
        <ns0:is>
          <ns0:t xml:space="preserve">FB-002–FB-008</ns0:t>
        </ns0:is>
      </ns0:c>
      <ns0:c r="F50" s="4" t="inlineStr">
        <ns0:is>
          <ns0:t xml:space="preserve">Stories!B5</ns0:t>
        </ns0:is>
      </ns0:c>
    </ns0:row>
    <ns0:row r="51" ht="52" customHeight="1">
      <ns0:c r="A51" s="28" t="inlineStr">
        <ns0:is>
          <ns0:t xml:space="preserve">REQ-048</ns0:t>
        </ns0:is>
      </ns0:c>
      <ns0:c r="B51" s="28" t="inlineStr">
        <ns0:is>
          <ns0:t xml:space="preserve">2. Shared login for all roles</ns0:t>
        </ns0:is>
      </ns0:c>
      <ns0:c r="C51" s="28" t="inlineStr">
        <ns0:is>
          <ns0:t xml:space="preserve">##FUTURE</ns0:t>
        </ns0:is>
      </ns0:c>
      <ns0:c r="D51" s="28"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51" s="28" t="inlineStr">
        <ns0:is>
          <ns0:t xml:space="preserve">Deferred — no current item</ns0:t>
        </ns0:is>
      </ns0:c>
      <ns0:c r="F51" s="28" t="inlineStr">
        <ns0:is>
          <ns0:t xml:space="preserve">Deferred</ns0:t>
        </ns0:is>
      </ns0:c>
    </ns0:row>
    <ns0:row r="52" ht="61" customHeight="1">
      <ns0:c r="A52" s="4" t="inlineStr">
        <ns0:is>
          <ns0:t xml:space="preserve">REQ-049</ns0:t>
        </ns0:is>
      </ns0:c>
      <ns0:c r="B52" s="4" t="inlineStr">
        <ns0:is>
          <ns0:t xml:space="preserve">2. Shared login for all roles</ns0:t>
        </ns0:is>
      </ns0:c>
      <ns0:c r="C52" s="4" t="inlineStr">
        <ns0:is>
          <ns0:t xml:space="preserve">Current scope</ns0:t>
        </ns0:is>
      </ns0:c>
      <ns0:c r="D52" s="4" t="inlineStr">
        <ns0:is>
          <ns0:t xml:space="preserve">After normal login, managers land on the volunteer list, the Super Admin on the combined user list, and volunteers on their welcome page. Required initial password setup takes priority over these landing pages.</ns0:t>
        </ns0:is>
      </ns0:c>
      <ns0:c r="E52" s="4" t="inlineStr">
        <ns0:is>
          <ns0:t xml:space="preserve">FB-002–FB-008</ns0:t>
        </ns0:is>
      </ns0:c>
      <ns0:c r="F52" s="4" t="inlineStr">
        <ns0:is>
          <ns0:t xml:space="preserve">Stories!B5</ns0:t>
        </ns0:is>
      </ns0:c>
    </ns0:row>
    <ns0:row r="53" ht="52" customHeight="1">
      <ns0:c r="A53" s="28" t="inlineStr">
        <ns0:is>
          <ns0:t xml:space="preserve">REQ-050</ns0:t>
        </ns0:is>
      </ns0:c>
      <ns0:c r="B53" s="28" t="inlineStr">
        <ns0:is>
          <ns0:t xml:space="preserve">3. Basic volunteer data management (initial scope)</ns0:t>
        </ns0:is>
      </ns0:c>
      <ns0:c r="C53" s="28" t="inlineStr">
        <ns0:is>
          <ns0:t xml:space="preserve">Current scope</ns0:t>
        </ns0:is>
      </ns0:c>
      <ns0:c r="D53" s="28" t="inlineStr">
        <ns0:is>
          <ns0:t xml:space="preserve">All managers can manage all volunteers, regardless of which manager created the record.</ns0:t>
        </ns0:is>
      </ns0:c>
      <ns0:c r="E53" s="28" t="inlineStr">
        <ns0:is>
          <ns0:t xml:space="preserve">FB-016–FB-025</ns0:t>
        </ns0:is>
      </ns0:c>
      <ns0:c r="F53" s="28" t="inlineStr">
        <ns0:is>
          <ns0:t xml:space="preserve">Stories!B9</ns0:t>
        </ns0:is>
      </ns0:c>
    </ns0:row>
    <ns0:row r="54" ht="52" customHeight="1">
      <ns0:c r="A54" s="4" t="inlineStr">
        <ns0:is>
          <ns0:t xml:space="preserve">REQ-051</ns0:t>
        </ns0:is>
      </ns0:c>
      <ns0:c r="B54" s="4" t="inlineStr">
        <ns0:is>
          <ns0:t xml:space="preserve">3. Basic volunteer data management (initial scope)</ns0:t>
        </ns0:is>
      </ns0:c>
      <ns0:c r="C54" s="4" t="inlineStr">
        <ns0:is>
          <ns0:t xml:space="preserve">Current scope</ns0:t>
        </ns0:is>
      </ns0:c>
      <ns0:c r="D54" s="4" t="inlineStr">
        <ns0:is>
          <ns0:t xml:space="preserve">Managers can create, view, and update volunteer records, and mark volunteers active or inactive. Deletion is excluded from current scope.</ns0:t>
        </ns0:is>
      </ns0:c>
      <ns0:c r="E54" s="4" t="inlineStr">
        <ns0:is>
          <ns0:t xml:space="preserve">FB-016–FB-025</ns0:t>
        </ns0:is>
      </ns0:c>
      <ns0:c r="F54" s="4" t="inlineStr">
        <ns0:is>
          <ns0:t xml:space="preserve">Stories!B9</ns0:t>
        </ns0:is>
      </ns0:c>
    </ns0:row>
    <ns0:row r="55" ht="52" customHeight="1">
      <ns0:c r="A55" s="28" t="inlineStr">
        <ns0:is>
          <ns0:t xml:space="preserve">REQ-052</ns0:t>
        </ns0:is>
      </ns0:c>
      <ns0:c r="B55" s="28" t="inlineStr">
        <ns0:is>
          <ns0:t xml:space="preserve">3. Basic volunteer data management (initial scope)</ns0:t>
        </ns0:is>
      </ns0:c>
      <ns0:c r="C55" s="28" t="inlineStr">
        <ns0:is>
          <ns0:t xml:space="preserve">Current scope</ns0:t>
        </ns0:is>
      </ns0:c>
      <ns0:c r="D55" s="28" t="inlineStr">
        <ns0:is>
          <ns0: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55" s="28" t="inlineStr">
        <ns0:is>
          <ns0:t xml:space="preserve">FB-005, FB-022</ns0:t>
        </ns0:is>
      </ns0:c>
      <ns0:c r="F55" s="28" t="inlineStr">
        <ns0:is>
          <ns0:t xml:space="preserve">Stories!B8</ns0:t>
        </ns0:is>
      </ns0:c>
    </ns0:row>
    <ns0:row r="56" ht="52" customHeight="1">
      <ns0:c r="A56" s="4" t="inlineStr">
        <ns0:is>
          <ns0:t xml:space="preserve">REQ-053</ns0:t>
        </ns0:is>
      </ns0:c>
      <ns0:c r="B56" s="4" t="inlineStr">
        <ns0:is>
          <ns0:t xml:space="preserve">3. Basic volunteer data management (initial scope)</ns0:t>
        </ns0:is>
      </ns0:c>
      <ns0:c r="C56" s="4" t="inlineStr">
        <ns0:is>
          <ns0:t xml:space="preserve">##FUTURE</ns0:t>
        </ns0:is>
      </ns0:c>
      <ns0:c r="D56" s="4" t="inlineStr">
        <ns0:is>
          <ns0:t xml:space="preserve">##FUTURE Volunteer deletion. Its behaviour, including whether records are preserved or permanently removed, has not been decided.</ns0:t>
        </ns0:is>
      </ns0:c>
      <ns0:c r="E56" s="4" t="inlineStr">
        <ns0:is>
          <ns0:t xml:space="preserve">Deferred — no current item</ns0:t>
        </ns0:is>
      </ns0:c>
      <ns0:c r="F56" s="4" t="inlineStr">
        <ns0:is>
          <ns0:t xml:space="preserve">Deferred</ns0:t>
        </ns0:is>
      </ns0:c>
    </ns0:row>
    <ns0:row r="57" ht="52" customHeight="1">
      <ns0:c r="A57" s="28" t="inlineStr">
        <ns0:is>
          <ns0:t xml:space="preserve">REQ-054</ns0:t>
        </ns0:is>
      </ns0:c>
      <ns0:c r="B57" s="28" t="inlineStr">
        <ns0:is>
          <ns0:t xml:space="preserve">3. Basic volunteer data management (initial scope)</ns0:t>
        </ns0:is>
      </ns0:c>
      <ns0:c r="C57" s="28" t="inlineStr">
        <ns0:is>
          <ns0:t xml:space="preserve">Current scope</ns0:t>
        </ns0:is>
      </ns0:c>
      <ns0:c r="D57" s="28" t="inlineStr">
        <ns0:is>
          <ns0:t xml:space="preserve">Required volunteer fields: first name, last name, username, email, phone, and status. All six fields are mandatory.</ns0:t>
        </ns0:is>
      </ns0:c>
      <ns0:c r="E57" s="28" t="inlineStr">
        <ns0:is>
          <ns0:t xml:space="preserve">FB-018–FB-021</ns0:t>
        </ns0:is>
      </ns0:c>
      <ns0:c r="F57" s="28" t="inlineStr">
        <ns0:is>
          <ns0:t xml:space="preserve">Stories!B11</ns0:t>
        </ns0:is>
      </ns0:c>
    </ns0:row>
    <ns0:row r="58" ht="52" customHeight="1">
      <ns0:c r="A58" s="4" t="inlineStr">
        <ns0:is>
          <ns0:t xml:space="preserve">REQ-055</ns0:t>
        </ns0:is>
      </ns0:c>
      <ns0:c r="B58" s="4" t="inlineStr">
        <ns0:is>
          <ns0:t xml:space="preserve">3. Basic volunteer data management (initial scope)</ns0:t>
        </ns0:is>
      </ns0:c>
      <ns0:c r="C58" s="4" t="inlineStr">
        <ns0:is>
          <ns0:t xml:space="preserve">Current scope</ns0:t>
        </ns0:is>
      </ns0:c>
      <ns0:c r="D58" s="4" t="inlineStr">
        <ns0:is>
          <ns0:t xml:space="preserve">The system generates the username; the manager does not need to enter it when creating a volunteer.</ns0:t>
        </ns0:is>
      </ns0:c>
      <ns0:c r="E58" s="4" t="inlineStr">
        <ns0:is>
          <ns0:t xml:space="preserve">FB-018–FB-021</ns0:t>
        </ns0:is>
      </ns0:c>
      <ns0:c r="F58" s="4" t="inlineStr">
        <ns0:is>
          <ns0:t xml:space="preserve">Stories!B11</ns0:t>
        </ns0:is>
      </ns0:c>
    </ns0:row>
    <ns0:row r="59" ht="76" customHeight="1">
      <ns0:c r="A59" s="28" t="inlineStr">
        <ns0:is>
          <ns0:t xml:space="preserve">REQ-056</ns0:t>
        </ns0:is>
      </ns0:c>
      <ns0:c r="B59" s="28" t="inlineStr">
        <ns0:is>
          <ns0:t xml:space="preserve">3. Basic volunteer data management (initial scope)</ns0:t>
        </ns0:is>
      </ns0:c>
      <ns0:c r="C59" s="28" t="inlineStr">
        <ns0:is>
          <ns0:t xml:space="preserve">Current scope</ns0:t>
        </ns0:is>
      </ns0:c>
      <ns0:c r="D59" s="28" t="inlineStr">
        <ns0:is>
          <ns0: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ns0:t>
        </ns0:is>
      </ns0:c>
      <ns0:c r="E59" s="28" t="inlineStr">
        <ns0:is>
          <ns0:t xml:space="preserve">FB-018–FB-021</ns0:t>
        </ns0:is>
      </ns0:c>
      <ns0:c r="F59" s="28" t="inlineStr">
        <ns0:is>
          <ns0:t xml:space="preserve">Stories!B11</ns0:t>
        </ns0:is>
      </ns0:c>
    </ns0:row>
    <ns0:row r="60" ht="52" customHeight="1">
      <ns0:c r="A60" s="4" t="inlineStr">
        <ns0:is>
          <ns0:t xml:space="preserve">REQ-057</ns0:t>
        </ns0:is>
      </ns0:c>
      <ns0:c r="B60" s="4" t="inlineStr">
        <ns0:is>
          <ns0:t xml:space="preserve">3. Basic volunteer data management (initial scope)</ns0:t>
        </ns0:is>
      </ns0:c>
      <ns0:c r="C60" s="4" t="inlineStr">
        <ns0:is>
          <ns0:t xml:space="preserve">Current scope</ns0:t>
        </ns0:is>
      </ns0:c>
      <ns0:c r="D60" s="4" t="inlineStr">
        <ns0:is>
          <ns0:t xml:space="preserve">Updating a volunteer's first or last name also regenerates their username from the updated name, applying the same uniqueness and numbered-suffix rules. This includes correcting a mistyped name.</ns0:t>
        </ns0:is>
      </ns0:c>
      <ns0:c r="E60" s="4" t="inlineStr">
        <ns0:is>
          <ns0:t xml:space="preserve">FB-018–FB-021</ns0:t>
        </ns0:is>
      </ns0:c>
      <ns0:c r="F60" s="4" t="inlineStr">
        <ns0:is>
          <ns0:t xml:space="preserve">Stories!B11</ns0:t>
        </ns0:is>
      </ns0:c>
    </ns0:row>
    <ns0:row r="61" ht="52" customHeight="1">
      <ns0:c r="A61" s="28" t="inlineStr">
        <ns0:is>
          <ns0:t xml:space="preserve">REQ-058</ns0:t>
        </ns0:is>
      </ns0:c>
      <ns0:c r="B61" s="28" t="inlineStr">
        <ns0:is>
          <ns0:t xml:space="preserve">3. Basic volunteer data management (initial scope)</ns0:t>
        </ns0:is>
      </ns0:c>
      <ns0:c r="C61" s="28" t="inlineStr">
        <ns0:is>
          <ns0:t xml:space="preserve">Current scope</ns0:t>
        </ns0:is>
      </ns0:c>
      <ns0:c r="D61" s="28" t="inlineStr">
        <ns0:is>
          <ns0:t xml:space="preserve">After saving a name change, show the resulting username in the confirmation message to the manager or Super Admin making the change.</ns0:t>
        </ns0:is>
      </ns0:c>
      <ns0:c r="E61" s="28" t="inlineStr">
        <ns0:is>
          <ns0:t xml:space="preserve">FB-018–FB-021</ns0:t>
        </ns0:is>
      </ns0:c>
      <ns0:c r="F61" s="28" t="inlineStr">
        <ns0:is>
          <ns0:t xml:space="preserve">Stories!B11</ns0:t>
        </ns0:is>
      </ns0:c>
    </ns0:row>
    <ns0:row r="62" ht="52" customHeight="1">
      <ns0:c r="A62" s="4" t="inlineStr">
        <ns0:is>
          <ns0:t xml:space="preserve">REQ-059</ns0:t>
        </ns0:is>
      </ns0:c>
      <ns0:c r="B62" s="4" t="inlineStr">
        <ns0:is>
          <ns0:t xml:space="preserve">3. Basic volunteer data management (initial scope)</ns0:t>
        </ns0:is>
      </ns0:c>
      <ns0:c r="C62" s="4" t="inlineStr">
        <ns0:is>
          <ns0:t xml:space="preserve">Current scope</ns0:t>
        </ns0:is>
      </ns0:c>
      <ns0:c r="D62" s="4" t="inlineStr">
        <ns0:is>
          <ns0: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62" s="4" t="inlineStr">
        <ns0:is>
          <ns0:t xml:space="preserve">FB-016–FB-025</ns0:t>
        </ns0:is>
      </ns0:c>
      <ns0:c r="F62" s="4" t="inlineStr">
        <ns0:is>
          <ns0:t xml:space="preserve">Stories!B9</ns0:t>
        </ns0:is>
      </ns0:c>
    </ns0:row>
    <ns0:row r="63" ht="52" customHeight="1">
      <ns0:c r="A63" s="28" t="inlineStr">
        <ns0:is>
          <ns0:t xml:space="preserve">REQ-060</ns0:t>
        </ns0:is>
      </ns0:c>
      <ns0:c r="B63" s="28" t="inlineStr">
        <ns0:is>
          <ns0:t xml:space="preserve">3. Basic volunteer data management (initial scope)</ns0:t>
        </ns0:is>
      </ns0:c>
      <ns0:c r="C63" s="28" t="inlineStr">
        <ns0:is>
          <ns0:t xml:space="preserve">Current scope</ns0:t>
        </ns0:is>
      </ns0:c>
      <ns0:c r="D63" s="28" t="inlineStr">
        <ns0:is>
          <ns0: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ns0:t>
        </ns0:is>
      </ns0:c>
      <ns0:c r="E63" s="28" t="inlineStr">
        <ns0:is>
          <ns0:t xml:space="preserve">FB-018–FB-021</ns0:t>
        </ns0:is>
      </ns0:c>
      <ns0:c r="F63" s="28" t="inlineStr">
        <ns0:is>
          <ns0:t xml:space="preserve">Stories!B11</ns0:t>
        </ns0:is>
      </ns0:c>
    </ns0:row>
    <ns0:row r="64" ht="52" customHeight="1">
      <ns0:c r="A64" s="4" t="inlineStr">
        <ns0:is>
          <ns0:t xml:space="preserve">REQ-061</ns0:t>
        </ns0:is>
      </ns0:c>
      <ns0:c r="B64" s="4" t="inlineStr">
        <ns0:is>
          <ns0:t xml:space="preserve">3. Basic volunteer data management (initial scope)</ns0:t>
        </ns0:is>
      </ns0:c>
      <ns0:c r="C64" s="4" t="inlineStr">
        <ns0:is>
          <ns0:t xml:space="preserve">Current scope</ns0:t>
        </ns0:is>
      </ns0:c>
      <ns0:c r="D64" s="4" t="inlineStr">
        <ns0:is>
          <ns0:t xml:space="preserve">Include pagination with 10 volunteers per page and Previous / Next controls. Search and status filters apply to the full list before it is divided into pages.</ns0:t>
        </ns0:is>
      </ns0:c>
      <ns0:c r="E64" s="4" t="inlineStr">
        <ns0:is>
          <ns0:t xml:space="preserve">FB-009–FB-015</ns0:t>
        </ns0:is>
      </ns0:c>
      <ns0:c r="F64" s="4" t="inlineStr">
        <ns0:is>
          <ns0:t xml:space="preserve">Stories!B17</ns0:t>
        </ns0:is>
      </ns0:c>
    </ns0:row>
    <ns0:row r="65" ht="61" customHeight="1">
      <ns0:c r="A65" s="28" t="inlineStr">
        <ns0:is>
          <ns0:t xml:space="preserve">REQ-062</ns0:t>
        </ns0:is>
      </ns0:c>
      <ns0:c r="B65" s="28" t="inlineStr">
        <ns0:is>
          <ns0:t xml:space="preserve">3. Basic volunteer data management (initial scope)</ns0:t>
        </ns0:is>
      </ns0:c>
      <ns0:c r="C65" s="28" t="inlineStr">
        <ns0:is>
          <ns0:t xml:space="preserve">Current scope</ns0:t>
        </ns0:is>
      </ns0:c>
      <ns0:c r="D65" s="28" t="inlineStr">
        <ns0:is>
          <ns0:t xml:space="preserve">Preserve actual first and last names as entered. When generating usernames only, remove spaces, hyphens, and apostrophes from each name part before joining them with a dot. For example, Mary Jane O'Connor becomes maryjane.oconnor, subject to uniqueness suffixes.</ns0:t>
        </ns0:is>
      </ns0:c>
      <ns0:c r="E65" s="28" t="inlineStr">
        <ns0:is>
          <ns0:t xml:space="preserve">FB-018–FB-021</ns0:t>
        </ns0:is>
      </ns0:c>
      <ns0:c r="F65" s="28" t="inlineStr">
        <ns0:is>
          <ns0:t xml:space="preserve">Stories!B11</ns0:t>
        </ns0:is>
      </ns0:c>
    </ns0:row>
    <ns0:row r="66" ht="52" customHeight="1">
      <ns0:c r="A66" s="4" t="inlineStr">
        <ns0:is>
          <ns0:t xml:space="preserve">REQ-063</ns0:t>
        </ns0:is>
      </ns0:c>
      <ns0:c r="B66" s="4" t="inlineStr">
        <ns0:is>
          <ns0:t xml:space="preserve">3. Basic volunteer data management (initial scope)</ns0:t>
        </ns0:is>
      </ns0:c>
      <ns0:c r="C66" s="4" t="inlineStr">
        <ns0:is>
          <ns0:t xml:space="preserve">Current scope</ns0:t>
        </ns0:is>
      </ns0:c>
      <ns0:c r="D66" s="4" t="inlineStr">
        <ns0:is>
          <ns0:t xml:space="preserve">Convert accented letters to plain letters in generated usernames only. Preserve accents in actual names. For example, Émilie Côté becomes emilie.cote, subject to uniqueness suffixes.</ns0:t>
        </ns0:is>
      </ns0:c>
      <ns0:c r="E66" s="4" t="inlineStr">
        <ns0:is>
          <ns0:t xml:space="preserve">FB-018–FB-021</ns0:t>
        </ns0:is>
      </ns0:c>
      <ns0:c r="F66" s="4" t="inlineStr">
        <ns0:is>
          <ns0:t xml:space="preserve">Stories!B11</ns0:t>
        </ns0:is>
      </ns0:c>
    </ns0:row>
    <ns0:row r="67" ht="91" customHeight="1">
      <ns0:c r="A67" s="28" t="inlineStr">
        <ns0:is>
          <ns0:t xml:space="preserve">REQ-064</ns0:t>
        </ns0:is>
      </ns0:c>
      <ns0:c r="B67" s="28" t="inlineStr">
        <ns0:is>
          <ns0:t xml:space="preserve">3. Basic volunteer data management (initial scope)</ns0:t>
        </ns0:is>
      </ns0:c>
      <ns0:c r="C67" s="28" t="inlineStr">
        <ns0:is>
          <ns0:t xml:space="preserve">Current scope</ns0:t>
        </ns0:is>
      </ns0:c>
      <ns0:c r="D67" s="28" t="inlineStr">
        <ns0:is>
          <ns0: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ns0:t>
        </ns0:is>
      </ns0:c>
      <ns0:c r="E67" s="28" t="inlineStr">
        <ns0:is>
          <ns0:t xml:space="preserve">FB-018–FB-021</ns0:t>
        </ns0:is>
      </ns0:c>
      <ns0:c r="F67" s="28" t="inlineStr">
        <ns0:is>
          <ns0:t xml:space="preserve">Stories!B11</ns0:t>
        </ns0:is>
      </ns0:c>
    </ns0:row>
    <ns0:row r="68" ht="52" customHeight="1">
      <ns0:c r="A68" s="4" t="inlineStr">
        <ns0:is>
          <ns0:t xml:space="preserve">REQ-065</ns0:t>
        </ns0:is>
      </ns0:c>
      <ns0:c r="B68" s="4" t="inlineStr">
        <ns0:is>
          <ns0:t xml:space="preserve">3. Basic volunteer data management (initial scope)</ns0:t>
        </ns0:is>
      </ns0:c>
      <ns0:c r="C68" s="4" t="inlineStr">
        <ns0:is>
          <ns0:t xml:space="preserve">Current scope</ns0:t>
        </ns0:is>
      </ns0:c>
      <ns0:c r="D68" s="4" t="inlineStr">
        <ns0:is>
          <ns0:t xml:space="preserve">Manager and volunteer first/last names are required, each 1–100 characters after trimming leading/trailing spaces. Preserve internal spaces, supported punctuation, and accents in actual stored names.</ns0:t>
        </ns0:is>
      </ns0:c>
      <ns0:c r="E68" s="4" t="inlineStr">
        <ns0:is>
          <ns0:t xml:space="preserve">FB-018–FB-021</ns0:t>
        </ns0:is>
      </ns0:c>
      <ns0:c r="F68" s="4" t="inlineStr">
        <ns0:is>
          <ns0:t xml:space="preserve">Stories!B11</ns0:t>
        </ns0:is>
      </ns0:c>
    </ns0:row>
    <ns0:row r="69" ht="52" customHeight="1">
      <ns0:c r="A69" s="28" t="inlineStr">
        <ns0:is>
          <ns0:t xml:space="preserve">REQ-066</ns0:t>
        </ns0:is>
      </ns0:c>
      <ns0:c r="B69" s="28" t="inlineStr">
        <ns0:is>
          <ns0:t xml:space="preserve">3. Basic volunteer data management (initial scope)</ns0:t>
        </ns0:is>
      </ns0:c>
      <ns0:c r="C69" s="28" t="inlineStr">
        <ns0:is>
          <ns0:t xml:space="preserve">Current scope</ns0:t>
        </ns0:is>
      </ns0:c>
      <ns0:c r="D69" s="28" t="inlineStr">
        <ns0:is>
          <ns0:t xml:space="preserve">Account email is required, must have a valid email format, and may contain at most 254 characters. Email uniqueness ignores capitalization across all users and roles.</ns0:t>
        </ns0:is>
      </ns0:c>
      <ns0:c r="E69" s="28" t="inlineStr">
        <ns0:is>
          <ns0:t xml:space="preserve">FB-016–FB-025</ns0:t>
        </ns0:is>
      </ns0:c>
      <ns0:c r="F69" s="28" t="inlineStr">
        <ns0:is>
          <ns0:t xml:space="preserve">Stories!B9</ns0:t>
        </ns0:is>
      </ns0:c>
    </ns0:row>
    <ns0:row r="70" ht="52" customHeight="1">
      <ns0:c r="A70" s="4" t="inlineStr">
        <ns0:is>
          <ns0:t xml:space="preserve">REQ-067</ns0:t>
        </ns0:is>
      </ns0:c>
      <ns0:c r="B70" s="4" t="inlineStr">
        <ns0:is>
          <ns0:t xml:space="preserve">3. Basic volunteer data management (initial scope)</ns0:t>
        </ns0:is>
      </ns0:c>
      <ns0:c r="C70" s="4" t="inlineStr">
        <ns0:is>
          <ns0:t xml:space="preserve">Current scope</ns0:t>
        </ns0:is>
      </ns0:c>
      <ns0:c r="D70" s="4" t="inlineStr">
        <ns0:is>
          <ns0:t xml:space="preserve">Account phone is required: 10 digits after +1, formatted +1 506-555-0123. Account phone numbers may be shared, unlike household phone numbers.</ns0:t>
        </ns0:is>
      </ns0:c>
      <ns0:c r="E70" s="4" t="inlineStr">
        <ns0:is>
          <ns0:t xml:space="preserve">FB-016–FB-025</ns0:t>
        </ns0:is>
      </ns0:c>
      <ns0:c r="F70" s="4" t="inlineStr">
        <ns0:is>
          <ns0:t xml:space="preserve">Stories!B9</ns0:t>
        </ns0:is>
      </ns0:c>
    </ns0:row>
    <ns0:row r="71" ht="52" customHeight="1">
      <ns0:c r="A71" s="28" t="inlineStr">
        <ns0:is>
          <ns0:t xml:space="preserve">REQ-068</ns0:t>
        </ns0:is>
      </ns0:c>
      <ns0:c r="B71" s="28" t="inlineStr">
        <ns0:is>
          <ns0:t xml:space="preserve">3. Basic volunteer data management (initial scope)</ns0:t>
        </ns0:is>
      </ns0:c>
      <ns0:c r="C71" s="28" t="inlineStr">
        <ns0:is>
          <ns0:t xml:space="preserve">Current scope</ns0:t>
        </ns0:is>
      </ns0:c>
      <ns0:c r="D71" s="28" t="inlineStr">
        <ns0:is>
          <ns0:t xml:space="preserve">Invalid account input shows a field-specific error and retains other entered values so the user can correct the form.</ns0:t>
        </ns0:is>
      </ns0:c>
      <ns0:c r="E71" s="28" t="inlineStr">
        <ns0:is>
          <ns0:t xml:space="preserve">FB-016–FB-025</ns0:t>
        </ns0:is>
      </ns0:c>
      <ns0:c r="F71" s="28" t="inlineStr">
        <ns0:is>
          <ns0:t xml:space="preserve">Stories!B9</ns0:t>
        </ns0:is>
      </ns0:c>
    </ns0:row>
    <ns0:row r="72" ht="52" customHeight="1">
      <ns0:c r="A72" s="4" t="inlineStr">
        <ns0:is>
          <ns0:t xml:space="preserve">REQ-069</ns0:t>
        </ns0:is>
      </ns0:c>
      <ns0:c r="B72" s="4" t="inlineStr">
        <ns0:is>
          <ns0:t xml:space="preserve">3. Basic volunteer data management (initial scope)</ns0:t>
        </ns0:is>
      </ns0:c>
      <ns0:c r="C72" s="4" t="inlineStr">
        <ns0:is>
          <ns0:t xml:space="preserve">##FUTURE</ns0:t>
        </ns0:is>
      </ns0:c>
      <ns0:c r="D72" s="4" t="inlineStr">
        <ns0:is>
          <ns0:t xml:space="preserve">##FUTURE The broader volunteer module; its additional features have not yet been defined.</ns0:t>
        </ns0:is>
      </ns0:c>
      <ns0:c r="E72" s="4" t="inlineStr">
        <ns0:is>
          <ns0:t xml:space="preserve">Deferred — no current item</ns0:t>
        </ns0:is>
      </ns0:c>
      <ns0:c r="F72" s="4" t="inlineStr">
        <ns0:is>
          <ns0:t xml:space="preserve">Deferred</ns0:t>
        </ns0:is>
      </ns0:c>
    </ns0:row>
    <ns0:row r="73" ht="52" customHeight="1">
      <ns0:c r="A73" s="28" t="inlineStr">
        <ns0:is>
          <ns0:t xml:space="preserve">REQ-070</ns0:t>
        </ns0:is>
      </ns0:c>
      <ns0:c r="B73" s="28" t="inlineStr">
        <ns0:is>
          <ns0:t xml:space="preserve">4. Volunteer access in the current version</ns0:t>
        </ns0:is>
      </ns0:c>
      <ns0:c r="C73" s="28" t="inlineStr">
        <ns0:is>
          <ns0:t xml:space="preserve">Current scope</ns0:t>
        </ns0:is>
      </ns0:c>
      <ns0:c r="D73" s="28" t="inlineStr">
        <ns0:is>
          <ns0: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ns0:t>
        </ns0:is>
      </ns0:c>
      <ns0:c r="E73" s="28" t="inlineStr">
        <ns0:is>
          <ns0:t xml:space="preserve">FB-008, FB-024</ns0:t>
        </ns0:is>
      </ns0:c>
      <ns0:c r="F73" s="28" t="inlineStr">
        <ns0:is>
          <ns0:t xml:space="preserve">Stories!B24</ns0:t>
        </ns0:is>
      </ns0:c>
    </ns0:row>
    <ns0:row r="74" ht="52" customHeight="1">
      <ns0:c r="A74" s="4" t="inlineStr">
        <ns0:is>
          <ns0:t xml:space="preserve">REQ-071</ns0:t>
        </ns0:is>
      </ns0:c>
      <ns0:c r="B74" s="4" t="inlineStr">
        <ns0:is>
          <ns0:t xml:space="preserve">4. Volunteer access in the current version</ns0:t>
        </ns0:is>
      </ns0:c>
      <ns0:c r="C74" s="4" t="inlineStr">
        <ns0:is>
          <ns0:t xml:space="preserve">Current scope</ns0:t>
        </ns0:is>
      </ns0:c>
      <ns0:c r="D74" s="4" t="inlineStr">
        <ns0:is>
          <ns0:t xml:space="preserve">Volunteers cannot access other users' records.</ns0:t>
        </ns0:is>
      </ns0:c>
      <ns0:c r="E74" s="4" t="inlineStr">
        <ns0:is>
          <ns0:t xml:space="preserve">FB-008, FB-015, FB-037–FB-066</ns0:t>
        </ns0:is>
      </ns0:c>
      <ns0:c r="F74" s="4" t="inlineStr">
        <ns0:is>
          <ns0:t xml:space="preserve">Stories!B24</ns0:t>
        </ns0:is>
      </ns0:c>
    </ns0:row>
    <ns0:row r="75" ht="76" customHeight="1">
      <ns0:c r="A75" s="28" t="inlineStr">
        <ns0:is>
          <ns0:t xml:space="preserve">REQ-072</ns0:t>
        </ns0:is>
      </ns0:c>
      <ns0:c r="B75" s="28" t="inlineStr">
        <ns0:is>
          <ns0:t xml:space="preserve">4. Volunteer access in the current version</ns0:t>
        </ns0:is>
      </ns0:c>
      <ns0:c r="C75" s="28" t="inlineStr">
        <ns0:is>
          <ns0:t xml:space="preserve">Current scope</ns0:t>
        </ns0:is>
      </ns0:c>
      <ns0:c r="D75" s="28" t="inlineStr">
        <ns0:is>
          <ns0: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ns0:t>
        </ns0:is>
      </ns0:c>
      <ns0:c r="E75" s="28" t="inlineStr">
        <ns0:is>
          <ns0:t xml:space="preserve">FB-008, FB-015, FB-037–FB-066</ns0:t>
        </ns0:is>
      </ns0:c>
      <ns0:c r="F75" s="28" t="inlineStr">
        <ns0:is>
          <ns0:t xml:space="preserve">Stories!B24</ns0:t>
        </ns0:is>
      </ns0:c>
    </ns0:row>
    <ns0:row r="76" ht="52" customHeight="1">
      <ns0:c r="A76" s="4" t="inlineStr">
        <ns0:is>
          <ns0:t xml:space="preserve">REQ-073</ns0:t>
        </ns0:is>
      </ns0:c>
      <ns0:c r="B76" s="4" t="inlineStr">
        <ns0:is>
          <ns0:t xml:space="preserve">4. Volunteer access in the current version</ns0:t>
        </ns0:is>
      </ns0:c>
      <ns0:c r="C76" s="4" t="inlineStr">
        <ns0:is>
          <ns0:t xml:space="preserve">##FUTURE</ns0:t>
        </ns0:is>
      </ns0:c>
      <ns0:c r="D76" s="4" t="inlineStr">
        <ns0:is>
          <ns0:t xml:space="preserve">Broader volunteer functionality remains ##FUTURE.</ns0:t>
        </ns0:is>
      </ns0:c>
      <ns0:c r="E76" s="4" t="inlineStr">
        <ns0:is>
          <ns0:t xml:space="preserve">Deferred — no current item</ns0:t>
        </ns0:is>
      </ns0:c>
      <ns0:c r="F76" s="4" t="inlineStr">
        <ns0:is>
          <ns0:t xml:space="preserve">Deferred</ns0:t>
        </ns0:is>
      </ns0:c>
    </ns0:row>
    <ns0:row r="77" ht="52" customHeight="1">
      <ns0:c r="A77" s="28" t="inlineStr">
        <ns0:is>
          <ns0:t xml:space="preserve">REQ-074</ns0:t>
        </ns0:is>
      </ns0:c>
      <ns0:c r="B77" s="28" t="inlineStr">
        <ns0:is>
          <ns0:t xml:space="preserve">5. Initial password setup and later password changes</ns0:t>
        </ns0:is>
      </ns0:c>
      <ns0:c r="C77" s="28" t="inlineStr">
        <ns0:is>
          <ns0:t xml:space="preserve">Current scope</ns0:t>
        </ns0:is>
      </ns0:c>
      <ns0:c r="D77" s="28" t="inlineStr">
        <ns0:is>
          <ns0:t xml:space="preserve">A common initial password is supplied through application configuration.</ns0:t>
        </ns0:is>
      </ns0:c>
      <ns0:c r="E77" s="28" t="inlineStr">
        <ns0:is>
          <ns0:t xml:space="preserve">FB-004–FB-007, FB-019, FB-023</ns0:t>
        </ns0:is>
      </ns0:c>
      <ns0:c r="F77" s="28" t="inlineStr">
        <ns0:is>
          <ns0:t xml:space="preserve">Stories!B7</ns0:t>
        </ns0:is>
      </ns0:c>
    </ns0:row>
    <ns0:row r="78" ht="52" customHeight="1">
      <ns0:c r="A78" s="4" t="inlineStr">
        <ns0:is>
          <ns0:t xml:space="preserve">REQ-075</ns0:t>
        </ns0:is>
      </ns0:c>
      <ns0:c r="B78" s="4" t="inlineStr">
        <ns0:is>
          <ns0:t xml:space="preserve">5. Initial password setup and later password changes</ns0:t>
        </ns0:is>
      </ns0:c>
      <ns0:c r="C78" s="4" t="inlineStr">
        <ns0:is>
          <ns0:t xml:space="preserve">Current scope</ns0:t>
        </ns0:is>
      </ns0:c>
      <ns0:c r="D78" s="4" t="inlineStr">
        <ns0:is>
          <ns0: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E78" s="4" t="inlineStr">
        <ns0:is>
          <ns0:t xml:space="preserve">FB-004–FB-007, FB-019, FB-023</ns0:t>
        </ns0:is>
      </ns0:c>
      <ns0:c r="F78" s="4" t="inlineStr">
        <ns0:is>
          <ns0:t xml:space="preserve">Stories!B7</ns0:t>
        </ns0:is>
      </ns0:c>
    </ns0:row>
    <ns0:row r="79" ht="52" customHeight="1">
      <ns0:c r="A79" s="28" t="inlineStr">
        <ns0:is>
          <ns0:t xml:space="preserve">REQ-076</ns0:t>
        </ns0:is>
      </ns0:c>
      <ns0:c r="B79" s="28" t="inlineStr">
        <ns0:is>
          <ns0:t xml:space="preserve">5. Initial password setup and later password changes</ns0:t>
        </ns0:is>
      </ns0:c>
      <ns0:c r="C79" s="28" t="inlineStr">
        <ns0:is>
          <ns0:t xml:space="preserve">Current scope</ns0:t>
        </ns0:is>
      </ns0:c>
      <ns0:c r="D79" s="28" t="inlineStr">
        <ns0:is>
          <ns0: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ns0:t>
        </ns0:is>
      </ns0:c>
      <ns0:c r="E79" s="28" t="inlineStr">
        <ns0:is>
          <ns0:t xml:space="preserve">FB-004–FB-007, FB-019, FB-023</ns0:t>
        </ns0:is>
      </ns0:c>
      <ns0:c r="F79" s="28" t="inlineStr">
        <ns0:is>
          <ns0:t xml:space="preserve">Stories!B7</ns0:t>
        </ns0:is>
      </ns0:c>
    </ns0:row>
    <ns0:row r="80" ht="52" customHeight="1">
      <ns0:c r="A80" s="4" t="inlineStr">
        <ns0:is>
          <ns0:t xml:space="preserve">REQ-077</ns0:t>
        </ns0:is>
      </ns0:c>
      <ns0:c r="B80" s="4" t="inlineStr">
        <ns0:is>
          <ns0:t xml:space="preserve">5. Initial password setup and later password changes</ns0:t>
        </ns0:is>
      </ns0:c>
      <ns0:c r="C80" s="4" t="inlineStr">
        <ns0:is>
          <ns0:t xml:space="preserve">Current scope</ns0:t>
        </ns0:is>
      </ns0:c>
      <ns0:c r="D80" s="4" t="inlineStr">
        <ns0:is>
          <ns0: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0" s="4" t="inlineStr">
        <ns0:is>
          <ns0:t xml:space="preserve">FB-004–FB-007, FB-019, FB-023</ns0:t>
        </ns0:is>
      </ns0:c>
      <ns0:c r="F80" s="4" t="inlineStr">
        <ns0:is>
          <ns0:t xml:space="preserve">Stories!B7</ns0:t>
        </ns0:is>
      </ns0:c>
    </ns0:row>
    <ns0:row r="81" ht="52" customHeight="1">
      <ns0:c r="A81" s="28" t="inlineStr">
        <ns0:is>
          <ns0:t xml:space="preserve">REQ-078</ns0:t>
        </ns0:is>
      </ns0:c>
      <ns0:c r="B81" s="28" t="inlineStr">
        <ns0:is>
          <ns0:t xml:space="preserve">5. Initial password setup and later password changes</ns0:t>
        </ns0:is>
      </ns0:c>
      <ns0:c r="C81" s="28" t="inlineStr">
        <ns0:is>
          <ns0:t xml:space="preserve">Current scope</ns0:t>
        </ns0:is>
      </ns0:c>
      <ns0:c r="D81" s="28" t="inlineStr">
        <ns0:is>
          <ns0: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1" s="28" t="inlineStr">
        <ns0:is>
          <ns0:t xml:space="preserve">FB-004–FB-007, FB-019, FB-023</ns0:t>
        </ns0:is>
      </ns0:c>
      <ns0:c r="F81" s="28" t="inlineStr">
        <ns0:is>
          <ns0:t xml:space="preserve">Stories!B7</ns0:t>
        </ns0:is>
      </ns0:c>
    </ns0:row>
    <ns0:row r="82" ht="52" customHeight="1">
      <ns0:c r="A82" s="4" t="inlineStr">
        <ns0:is>
          <ns0:t xml:space="preserve">REQ-079</ns0:t>
        </ns0:is>
      </ns0:c>
      <ns0:c r="B82" s="4" t="inlineStr">
        <ns0:is>
          <ns0:t xml:space="preserve">5. Initial password setup and later password changes</ns0:t>
        </ns0:is>
      </ns0:c>
      <ns0:c r="C82" s="4" t="inlineStr">
        <ns0:is>
          <ns0:t xml:space="preserve">Current scope</ns0:t>
        </ns0:is>
      </ns0:c>
      <ns0:c r="D82" s="4" t="inlineStr">
        <ns0:is>
          <ns0: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ns0:t>
        </ns0:is>
      </ns0:c>
      <ns0:c r="E82" s="4" t="inlineStr">
        <ns0:is>
          <ns0:t xml:space="preserve">FB-004–FB-007, FB-019, FB-023</ns0:t>
        </ns0:is>
      </ns0:c>
      <ns0:c r="F82" s="4" t="inlineStr">
        <ns0:is>
          <ns0:t xml:space="preserve">Stories!B7</ns0:t>
        </ns0:is>
      </ns0:c>
    </ns0:row>
    <ns0:row r="83" ht="61" customHeight="1">
      <ns0:c r="A83" s="28" t="inlineStr">
        <ns0:is>
          <ns0:t xml:space="preserve">REQ-080</ns0:t>
        </ns0:is>
      </ns0:c>
      <ns0:c r="B83" s="28" t="inlineStr">
        <ns0:is>
          <ns0:t xml:space="preserve">5. Initial password setup and later password changes</ns0:t>
        </ns0:is>
      </ns0:c>
      <ns0:c r="C83" s="28" t="inlineStr">
        <ns0:is>
          <ns0:t xml:space="preserve">Current scope</ns0:t>
        </ns0:is>
      </ns0:c>
      <ns0:c r="D83" s="28" t="inlineStr">
        <ns0:is>
          <ns0: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ns0:t>
        </ns0:is>
      </ns0:c>
      <ns0:c r="E83" s="28" t="inlineStr">
        <ns0:is>
          <ns0:t xml:space="preserve">FB-023</ns0:t>
        </ns0:is>
      </ns0:c>
      <ns0:c r="F83" s="28" t="inlineStr">
        <ns0:is>
          <ns0:t xml:space="preserve">Stories!B27</ns0:t>
        </ns0:is>
      </ns0:c>
    </ns0:row>
    <ns0:row r="84" ht="52" customHeight="1">
      <ns0:c r="A84" s="4" t="inlineStr">
        <ns0:is>
          <ns0:t xml:space="preserve">REQ-081</ns0:t>
        </ns0:is>
      </ns0:c>
      <ns0:c r="B84" s="4" t="inlineStr">
        <ns0:is>
          <ns0:t xml:space="preserve">5. Initial password setup and later password changes</ns0:t>
        </ns0:is>
      </ns0:c>
      <ns0:c r="C84" s="4" t="inlineStr">
        <ns0:is>
          <ns0:t xml:space="preserve">Current scope</ns0:t>
        </ns0:is>
      </ns0:c>
      <ns0:c r="D84" s="4" t="inlineStr">
        <ns0:is>
          <ns0:t xml:space="preserve">The common password becomes valid again only through this explicit reset, not as an automatic fallback. The volunteer's old personal password stops working when the reset occurs.</ns0:t>
        </ns0:is>
      </ns0:c>
      <ns0:c r="E84" s="4" t="inlineStr">
        <ns0:is>
          <ns0:t xml:space="preserve">FB-023</ns0:t>
        </ns0:is>
      </ns0:c>
      <ns0:c r="F84" s="4" t="inlineStr">
        <ns0:is>
          <ns0:t xml:space="preserve">Stories!B27</ns0:t>
        </ns0:is>
      </ns0:c>
    </ns0:row>
    <ns0:row r="85" ht="52" customHeight="1">
      <ns0:c r="A85" s="28" t="inlineStr">
        <ns0:is>
          <ns0:t xml:space="preserve">REQ-082</ns0:t>
        </ns0:is>
      </ns0:c>
      <ns0:c r="B85" s="28" t="inlineStr">
        <ns0:is>
          <ns0:t xml:space="preserve">5. Initial password setup and later password changes</ns0:t>
        </ns0:is>
      </ns0:c>
      <ns0:c r="C85" s="28" t="inlineStr">
        <ns0:is>
          <ns0:t xml:space="preserve">Current scope</ns0:t>
        </ns0:is>
      </ns0:c>
      <ns0:c r="D85" s="28" t="inlineStr">
        <ns0:is>
          <ns0:t xml:space="preserve">Managers who forget their password ask the Super Admin to reset it. The reset uses the same configured common password and required password-setup cycle as volunteer resets.</ns0:t>
        </ns0:is>
      </ns0:c>
      <ns0:c r="E85" s="28" t="inlineStr">
        <ns0:is>
          <ns0:t xml:space="preserve">FB-023</ns0:t>
        </ns0:is>
      </ns0:c>
      <ns0:c r="F85" s="28" t="inlineStr">
        <ns0:is>
          <ns0:t xml:space="preserve">Stories!B27</ns0:t>
        </ns0:is>
      </ns0:c>
    </ns0:row>
    <ns0:row r="86" ht="52" customHeight="1">
      <ns0:c r="A86" s="4" t="inlineStr">
        <ns0:is>
          <ns0:t xml:space="preserve">REQ-083</ns0:t>
        </ns0:is>
      </ns0:c>
      <ns0:c r="B86" s="4" t="inlineStr">
        <ns0:is>
          <ns0:t xml:space="preserve">5. Initial password setup and later password changes</ns0:t>
        </ns0:is>
      </ns0:c>
      <ns0:c r="C86" s="4" t="inlineStr">
        <ns0:is>
          <ns0:t xml:space="preserve">Current scope</ns0:t>
        </ns0:is>
      </ns0:c>
      <ns0:c r="D86" s="4" t="inlineStr">
        <ns0:is>
          <ns0:t xml:space="preserve">Administrative password resets immediately end all existing sessions for the affected account, including both volunteers and managers.</ns0:t>
        </ns0:is>
      </ns0:c>
      <ns0:c r="E86" s="4" t="inlineStr">
        <ns0:is>
          <ns0:t xml:space="preserve">FB-023</ns0:t>
        </ns0:is>
      </ns0:c>
      <ns0:c r="F86" s="4" t="inlineStr">
        <ns0:is>
          <ns0:t xml:space="preserve">Stories!B27</ns0:t>
        </ns0:is>
      </ns0:c>
    </ns0:row>
    <ns0:row r="87" ht="52" customHeight="1">
      <ns0:c r="A87" s="28" t="inlineStr">
        <ns0:is>
          <ns0:t xml:space="preserve">REQ-084</ns0:t>
        </ns0:is>
      </ns0:c>
      <ns0:c r="B87" s="28" t="inlineStr">
        <ns0:is>
          <ns0:t xml:space="preserve">5. Initial password setup and later password changes</ns0:t>
        </ns0:is>
      </ns0:c>
      <ns0:c r="C87" s="28" t="inlineStr">
        <ns0:is>
          <ns0:t xml:space="preserve">Current scope</ns0:t>
        </ns0:is>
      </ns0:c>
      <ns0:c r="D87" s="28" t="inlineStr">
        <ns0:is>
          <ns0:t xml:space="preserve">The Super Admin can reset passwords for both managers and volunteers, using the same reset and required setup process.</ns0:t>
        </ns0:is>
      </ns0:c>
      <ns0:c r="E87" s="28" t="inlineStr">
        <ns0:is>
          <ns0:t xml:space="preserve">FB-023</ns0:t>
        </ns0:is>
      </ns0:c>
      <ns0:c r="F87" s="28" t="inlineStr">
        <ns0:is>
          <ns0:t xml:space="preserve">Stories!B27</ns0:t>
        </ns0:is>
      </ns0:c>
    </ns0:row>
    <ns0:row r="88" ht="52" customHeight="1">
      <ns0:c r="A88" s="4" t="inlineStr">
        <ns0:is>
          <ns0:t xml:space="preserve">REQ-085</ns0:t>
        </ns0:is>
      </ns0:c>
      <ns0:c r="B88" s="4" t="inlineStr">
        <ns0:is>
          <ns0:t xml:space="preserve">5. Initial password setup and later password changes</ns0:t>
        </ns0:is>
      </ns0:c>
      <ns0:c r="C88" s="4" t="inlineStr">
        <ns0:is>
          <ns0:t xml:space="preserve">Current scope</ns0:t>
        </ns0:is>
      </ns0:c>
      <ns0:c r="D88" s="4" t="inlineStr">
        <ns0:is>
          <ns0: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ns0:t>
        </ns0:is>
      </ns0:c>
      <ns0:c r="E88" s="4" t="inlineStr">
        <ns0:is>
          <ns0:t xml:space="preserve">FB-023</ns0:t>
        </ns0:is>
      </ns0:c>
      <ns0:c r="F88" s="4" t="inlineStr">
        <ns0:is>
          <ns0:t xml:space="preserve">Stories!B27</ns0:t>
        </ns0:is>
      </ns0:c>
    </ns0:row>
    <ns0:row r="89" ht="52" customHeight="1">
      <ns0:c r="A89" s="28" t="inlineStr">
        <ns0:is>
          <ns0:t xml:space="preserve">REQ-086</ns0:t>
        </ns0:is>
      </ns0:c>
      <ns0:c r="B89" s="28" t="inlineStr">
        <ns0:is>
          <ns0:t xml:space="preserve">5. Initial password setup and later password changes</ns0:t>
        </ns0:is>
      </ns0:c>
      <ns0:c r="C89" s="28" t="inlineStr">
        <ns0:is>
          <ns0:t xml:space="preserve">Current scope</ns0:t>
        </ns0:is>
      </ns0:c>
      <ns0:c r="D89" s="28" t="inlineStr">
        <ns0:is>
          <ns0:t xml:space="preserve">Password resets preserve the account's Active/Inactive status. An inactive account remains blocked from login until separately reactivated by an authorized user.</ns0:t>
        </ns0:is>
      </ns0:c>
      <ns0:c r="E89" s="28" t="inlineStr">
        <ns0:is>
          <ns0:t xml:space="preserve">FB-023</ns0:t>
        </ns0:is>
      </ns0:c>
      <ns0:c r="F89" s="28" t="inlineStr">
        <ns0:is>
          <ns0:t xml:space="preserve">Stories!B27</ns0:t>
        </ns0:is>
      </ns0:c>
    </ns0:row>
    <ns0:row r="90" ht="76" customHeight="1">
      <ns0:c r="A90" s="4" t="inlineStr">
        <ns0:is>
          <ns0:t xml:space="preserve">REQ-087</ns0:t>
        </ns0:is>
      </ns0:c>
      <ns0:c r="B90" s="4" t="inlineStr">
        <ns0:is>
          <ns0:t xml:space="preserve">5. Initial password setup and later password changes</ns0:t>
        </ns0:is>
      </ns0:c>
      <ns0:c r="C90" s="4" t="inlineStr">
        <ns0:is>
          <ns0:t xml:space="preserve">Current scope</ns0:t>
        </ns0:is>
      </ns0:c>
      <ns0:c r="D90" s="4" t="inlineStr">
        <ns0:is>
          <ns0: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ns0:t>
        </ns0:is>
      </ns0:c>
      <ns0:c r="E90" s="4" t="inlineStr">
        <ns0:is>
          <ns0:t xml:space="preserve">FB-070</ns0:t>
        </ns0:is>
      </ns0:c>
      <ns0:c r="F90" s="4" t="inlineStr">
        <ns0:is>
          <ns0:t xml:space="preserve">Stories!B73</ns0:t>
        </ns0:is>
      </ns0:c>
    </ns0:row>
    <ns0:row r="91" ht="52" customHeight="1">
      <ns0:c r="A91" s="28" t="inlineStr">
        <ns0:is>
          <ns0:t xml:space="preserve">REQ-088</ns0:t>
        </ns0:is>
      </ns0:c>
      <ns0:c r="B91" s="28" t="inlineStr">
        <ns0:is>
          <ns0:t xml:space="preserve">5. Initial password setup and later password changes</ns0:t>
        </ns0:is>
      </ns0:c>
      <ns0:c r="C91" s="28" t="inlineStr">
        <ns0:is>
          <ns0:t xml:space="preserve">Current scope</ns0:t>
        </ns0:is>
      </ns0:c>
      <ns0:c r="D91" s="28" t="inlineStr">
        <ns0:is>
          <ns0:t xml:space="preserve">Implement Super Admin recovery last in the implementation list, as requested. It remains in the agreed first-version scope.</ns0:t>
        </ns0:is>
      </ns0:c>
      <ns0:c r="E91" s="28" t="inlineStr">
        <ns0:is>
          <ns0:t xml:space="preserve">FB-070</ns0:t>
        </ns0:is>
      </ns0:c>
      <ns0:c r="F91" s="28" t="inlineStr">
        <ns0:is>
          <ns0:t xml:space="preserve">Stories!B73</ns0:t>
        </ns0:is>
      </ns0:c>
    </ns0:row>
    <ns0:row r="92" ht="52" customHeight="1">
      <ns0:c r="A92" s="4" t="inlineStr">
        <ns0:is>
          <ns0:t xml:space="preserve">REQ-089</ns0:t>
        </ns0:is>
      </ns0:c>
      <ns0:c r="B92" s="4" t="inlineStr">
        <ns0:is>
          <ns0:t xml:space="preserve">5. Initial password setup and later password changes</ns0:t>
        </ns0:is>
      </ns0:c>
      <ns0:c r="C92" s="4" t="inlineStr">
        <ns0:is>
          <ns0:t xml:space="preserve">Current scope</ns0:t>
        </ns0:is>
      </ns0:c>
      <ns0:c r="D92" s="4" t="inlineStr">
        <ns0:is>
          <ns0:t xml:space="preserve">All users can also change their own password later.</ns0:t>
        </ns0:is>
      </ns0:c>
      <ns0:c r="E92" s="4" t="inlineStr">
        <ns0:is>
          <ns0:t xml:space="preserve">FB-024</ns0:t>
        </ns0:is>
      </ns0:c>
      <ns0:c r="F92" s="4" t="inlineStr">
        <ns0:is>
          <ns0:t xml:space="preserve">Stories!B16</ns0:t>
        </ns0:is>
      </ns0:c>
    </ns0:row>
    <ns0:row r="93" ht="52" customHeight="1">
      <ns0:c r="A93" s="28" t="inlineStr">
        <ns0:is>
          <ns0:t xml:space="preserve">REQ-090</ns0:t>
        </ns0:is>
      </ns0:c>
      <ns0:c r="B93" s="28" t="inlineStr">
        <ns0:is>
          <ns0:t xml:space="preserve">5. Initial password setup and later password changes</ns0:t>
        </ns0:is>
      </ns0:c>
      <ns0:c r="C93" s="28" t="inlineStr">
        <ns0:is>
          <ns0:t xml:space="preserve">Current scope</ns0:t>
        </ns0:is>
      </ns0:c>
      <ns0:c r="D93" s="28" t="inlineStr">
        <ns0:is>
          <ns0: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3" s="28" t="inlineStr">
        <ns0:is>
          <ns0:t xml:space="preserve">FB-024</ns0:t>
        </ns0:is>
      </ns0:c>
      <ns0:c r="F93" s="28" t="inlineStr">
        <ns0:is>
          <ns0:t xml:space="preserve">Stories!B16</ns0:t>
        </ns0:is>
      </ns0:c>
    </ns0:row>
    <ns0:row r="94" ht="52" customHeight="1">
      <ns0:c r="A94" s="4" t="inlineStr">
        <ns0:is>
          <ns0:t xml:space="preserve">REQ-091</ns0:t>
        </ns0:is>
      </ns0:c>
      <ns0:c r="B94" s="4" t="inlineStr">
        <ns0:is>
          <ns0:t xml:space="preserve">5. Initial password setup and later password changes</ns0:t>
        </ns0:is>
      </ns0:c>
      <ns0:c r="C94" s="4" t="inlineStr">
        <ns0:is>
          <ns0:t xml:space="preserve">Current scope</ns0:t>
        </ns0:is>
      </ns0:c>
      <ns0:c r="D94" s="4" t="inlineStr">
        <ns0:is>
          <ns0: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4" s="4" t="inlineStr">
        <ns0:is>
          <ns0:t xml:space="preserve">FB-024</ns0:t>
        </ns0:is>
      </ns0:c>
      <ns0:c r="F94" s="4" t="inlineStr">
        <ns0:is>
          <ns0:t xml:space="preserve">Stories!B16</ns0:t>
        </ns0:is>
      </ns0:c>
    </ns0:row>
    <ns0:row r="95" ht="52" customHeight="1">
      <ns0:c r="A95" s="28" t="inlineStr">
        <ns0:is>
          <ns0:t xml:space="preserve">REQ-092</ns0:t>
        </ns0:is>
      </ns0:c>
      <ns0:c r="B95" s="28" t="inlineStr">
        <ns0:is>
          <ns0:t xml:space="preserve">5. Initial password setup and later password changes</ns0:t>
        </ns0:is>
      </ns0:c>
      <ns0:c r="C95" s="28" t="inlineStr">
        <ns0:is>
          <ns0:t xml:space="preserve">Current scope</ns0:t>
        </ns0:is>
      </ns0:c>
      <ns0:c r="D95" s="28" t="inlineStr">
        <ns0:is>
          <ns0: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ns0:t>
        </ns0:is>
      </ns0:c>
      <ns0:c r="E95" s="28" t="inlineStr">
        <ns0:is>
          <ns0:t xml:space="preserve">FB-004–FB-007, FB-019, FB-023</ns0:t>
        </ns0:is>
      </ns0:c>
      <ns0:c r="F95" s="28" t="inlineStr">
        <ns0:is>
          <ns0:t xml:space="preserve">Stories!B7</ns0:t>
        </ns0:is>
      </ns0:c>
    </ns0:row>
    <ns0:row r="96" ht="61" customHeight="1">
      <ns0:c r="A96" s="4" t="inlineStr">
        <ns0:is>
          <ns0:t xml:space="preserve">REQ-093</ns0:t>
        </ns0:is>
      </ns0:c>
      <ns0:c r="B96" s="4" t="inlineStr">
        <ns0:is>
          <ns0:t xml:space="preserve">5. Initial password setup and later password changes</ns0:t>
        </ns0:is>
      </ns0:c>
      <ns0:c r="C96" s="4" t="inlineStr">
        <ns0:is>
          <ns0:t xml:space="preserve">Current scope</ns0:t>
        </ns0:is>
      </ns0:c>
      <ns0:c r="D96" s="4" t="inlineStr">
        <ns0:is>
          <ns0: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6" s="4" t="inlineStr">
        <ns0:is>
          <ns0:t xml:space="preserve">FB-007, FB-024, FB-069, FB-070</ns0:t>
        </ns0:is>
      </ns0:c>
      <ns0:c r="F96" s="4" t="inlineStr">
        <ns0:is>
          <ns0:t xml:space="preserve">Stories!B15</ns0:t>
        </ns0:is>
      </ns0:c>
    </ns0:row>
    <ns0:row r="97" ht="52" customHeight="1">
      <ns0:c r="A97" s="28" t="inlineStr">
        <ns0:is>
          <ns0:t xml:space="preserve">REQ-094</ns0:t>
        </ns0:is>
      </ns0:c>
      <ns0:c r="B97" s="28" t="inlineStr">
        <ns0:is>
          <ns0:t xml:space="preserve">5. Initial password setup and later password changes</ns0:t>
        </ns0:is>
      </ns0:c>
      <ns0:c r="C97" s="28" t="inlineStr">
        <ns0:is>
          <ns0:t xml:space="preserve">##FUTURE</ns0:t>
        </ns0:is>
      </ns0:c>
      <ns0:c r="D97" s="28" t="inlineStr">
        <ns0:is>
          <ns0:t xml:space="preserve">##FUTURE Email links allowing new users to set their own password.</ns0:t>
        </ns0:is>
      </ns0:c>
      <ns0:c r="E97" s="28" t="inlineStr">
        <ns0:is>
          <ns0:t xml:space="preserve">Deferred — no current item</ns0:t>
        </ns0:is>
      </ns0:c>
      <ns0:c r="F97" s="28" t="inlineStr">
        <ns0:is>
          <ns0:t xml:space="preserve">Deferred</ns0:t>
        </ns0:is>
      </ns0:c>
    </ns0:row>
    <ns0:row r="98" ht="91" customHeight="1">
      <ns0:c r="A98" s="4" t="inlineStr">
        <ns0:is>
          <ns0:t xml:space="preserve">REQ-095</ns0:t>
        </ns0:is>
      </ns0:c>
      <ns0:c r="B98" s="4" t="inlineStr">
        <ns0:is>
          <ns0:t xml:space="preserve">Inventory management — first version, planning complete</ns0:t>
        </ns0:is>
      </ns0:c>
      <ns0:c r="C98" s="4" t="inlineStr">
        <ns0:is>
          <ns0:t xml:space="preserve">Current scope</ns0:t>
        </ns0:is>
      </ns0:c>
      <ns0:c r="D98" s="4" t="inlineStr">
        <ns0:is>
          <ns0: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ns0:t>
        </ns0:is>
      </ns0:c>
      <ns0:c r="E98" s="4" t="inlineStr">
        <ns0:is>
          <ns0:t xml:space="preserve">FB-032–FB-037, FB-047–FB-053</ns0:t>
        </ns0:is>
      </ns0:c>
      <ns0:c r="F98" s="4" t="inlineStr">
        <ns0:is>
          <ns0:t xml:space="preserve">Stories!B35</ns0:t>
        </ns0:is>
      </ns0:c>
    </ns0:row>
    <ns0:row r="99" ht="52" customHeight="1">
      <ns0:c r="A99" s="28" t="inlineStr">
        <ns0:is>
          <ns0:t xml:space="preserve">REQ-096</ns0:t>
        </ns0:is>
      </ns0:c>
      <ns0:c r="B99" s="28" t="inlineStr">
        <ns0:is>
          <ns0:t xml:space="preserve">Inventory management — first version, planning complete</ns0:t>
        </ns0:is>
      </ns0:c>
      <ns0:c r="C99" s="28" t="inlineStr">
        <ns0:is>
          <ns0:t xml:space="preserve">Current scope</ns0:t>
        </ns0:is>
      </ns0:c>
      <ns0:c r="D99" s="28" t="inlineStr">
        <ns0:is>
          <ns0:t xml:space="preserve">Track individual products.</ns0:t>
        </ns0:is>
      </ns0:c>
      <ns0:c r="E99" s="28" t="inlineStr">
        <ns0:is>
          <ns0:t xml:space="preserve">FB-032–FB-037, FB-047–FB-053</ns0:t>
        </ns0:is>
      </ns0:c>
      <ns0:c r="F99" s="28" t="inlineStr">
        <ns0:is>
          <ns0:t xml:space="preserve">Stories!B35</ns0:t>
        </ns0:is>
      </ns0:c>
    </ns0:row>
    <ns0:row r="100" ht="76" customHeight="1">
      <ns0:c r="A100" s="4" t="inlineStr">
        <ns0:is>
          <ns0:t xml:space="preserve">REQ-097</ns0:t>
        </ns0:is>
      </ns0:c>
      <ns0:c r="B100" s="4" t="inlineStr">
        <ns0:is>
          <ns0:t xml:space="preserve">Inventory management — first version, planning complete</ns0:t>
        </ns0:is>
      </ns0:c>
      <ns0:c r="C100" s="4" t="str">
        <ns0:v>Deferred decision after catalogue</ns0:v>
      </ns0:c>
      <ns0:c r="D100" s="4" t="str">
        <ns0: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ns0:v>
      </ns0:c>
      <ns0:c r="E100" s="4" t="str">
        <ns0:v>FB-035 (after FB-067, before FB-034)</ns0:v>
      </ns0:c>
      <ns0:c r="F100" s="4" t="inlineStr">
        <ns0:is>
          <ns0:t xml:space="preserve">Stories!B37</ns0:t>
        </ns0:is>
      </ns0:c>
    </ns0:row>
    <ns0:row r="101" ht="52" customHeight="1">
      <ns0:c r="A101" s="28" t="inlineStr">
        <ns0:is>
          <ns0:t xml:space="preserve">REQ-098</ns0:t>
        </ns0:is>
      </ns0:c>
      <ns0:c r="B101" s="28" t="inlineStr">
        <ns0:is>
          <ns0:t xml:space="preserve">Inventory management — first version, planning complete</ns0:t>
        </ns0:is>
      </ns0:c>
      <ns0:c r="C101" s="28" t="inlineStr">
        <ns0:is>
          <ns0:t xml:space="preserve">Current scope</ns0:t>
        </ns0:is>
      </ns0:c>
      <ns0:c r="D101" s="28" t="inlineStr">
        <ns0:is>
          <ns0:t xml:space="preserve">Organize products in exactly four levels: Department -&gt; Category -&gt; Subcategory -&gt; Product.</ns0:t>
        </ns0:is>
      </ns0:c>
      <ns0:c r="E101" s="28" t="inlineStr">
        <ns0:is>
          <ns0:t xml:space="preserve">FB-026–FB-030, FB-032</ns0:t>
        </ns0:is>
      </ns0:c>
      <ns0:c r="F101" s="28" t="inlineStr">
        <ns0:is>
          <ns0:t xml:space="preserve">Stories!B29</ns0:t>
        </ns0:is>
      </ns0:c>
    </ns0:row>
    <ns0:row r="102" ht="61" customHeight="1">
      <ns0:c r="A102" s="4" t="inlineStr">
        <ns0:is>
          <ns0:t xml:space="preserve">REQ-099</ns0:t>
        </ns0:is>
      </ns0:c>
      <ns0:c r="B102" s="4" t="inlineStr">
        <ns0:is>
          <ns0:t xml:space="preserve">Inventory management — first version, planning complete</ns0:t>
        </ns0:is>
      </ns0:c>
      <ns0:c r="C102" s="4" t="inlineStr">
        <ns0:is>
          <ns0:t xml:space="preserve">Current scope</ns0:t>
        </ns0:is>
      </ns0:c>
      <ns0:c r="D102" s="4" t="inlineStr">
        <ns0:is>
          <ns0:t xml:space="preserve">Every product follows this full path and belongs to one subcategory; categories belong to departments and subcategories belong to categories. The product itself is level four. No hierarchy levels are skipped.</ns0:t>
        </ns0:is>
      </ns0:c>
      <ns0:c r="E102" s="4" t="inlineStr">
        <ns0:is>
          <ns0:t xml:space="preserve">FB-026–FB-030, FB-032</ns0:t>
        </ns0:is>
      </ns0:c>
      <ns0:c r="F102" s="4" t="inlineStr">
        <ns0:is>
          <ns0:t xml:space="preserve">Stories!B29</ns0:t>
        </ns0:is>
      </ns0:c>
    </ns0:row>
    <ns0:row r="103" ht="61" customHeight="1">
      <ns0:c r="A103" s="28" t="inlineStr">
        <ns0:is>
          <ns0:t xml:space="preserve">REQ-100</ns0:t>
        </ns0:is>
      </ns0:c>
      <ns0:c r="B103" s="28" t="inlineStr">
        <ns0:is>
          <ns0:t xml:space="preserve">Inventory management — first version, planning complete</ns0:t>
        </ns0:is>
      </ns0:c>
      <ns0:c r="C103" s="28" t="inlineStr">
        <ns0:is>
          <ns0:t xml:space="preserve">Current scope</ns0:t>
        </ns0:is>
      </ns0:c>
      <ns0:c r="D103" s="28" t="inlineStr">
        <ns0:is>
          <ns0: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ns0:t>
        </ns0:is>
      </ns0:c>
      <ns0:c r="E103" s="28" t="inlineStr">
        <ns0:is>
          <ns0:t xml:space="preserve">FB-026–FB-030, FB-032</ns0:t>
        </ns0:is>
      </ns0:c>
      <ns0:c r="F103" s="28" t="inlineStr">
        <ns0:is>
          <ns0:t xml:space="preserve">Stories!B29</ns0:t>
        </ns0:is>
      </ns0:c>
    </ns0:row>
    <ns0:row r="104" ht="61" customHeight="1">
      <ns0:c r="A104" s="4" t="inlineStr">
        <ns0:is>
          <ns0:t xml:space="preserve">REQ-101</ns0:t>
        </ns0:is>
      </ns0:c>
      <ns0:c r="B104" s="4" t="inlineStr">
        <ns0:is>
          <ns0:t xml:space="preserve">Inventory management — first version, planning complete</ns0:t>
        </ns0:is>
      </ns0:c>
      <ns0:c r="C104" s="4" t="inlineStr">
        <ns0:is>
          <ns0:t xml:space="preserve">Current scope</ns0:t>
        </ns0:is>
      </ns0:c>
      <ns0:c r="D104" s="4" t="inlineStr">
        <ns0:is>
          <ns0:t xml:space="preserve">Allow renaming departments, categories, and subcategories while preserving their links. Product category paths show current names, including when viewing older stock movements; historical name snapshots are not required.</ns0:t>
        </ns0:is>
      </ns0:c>
      <ns0:c r="E104" s="4" t="inlineStr">
        <ns0:is>
          <ns0:t xml:space="preserve">FB-026–FB-030, FB-032</ns0:t>
        </ns0:is>
      </ns0:c>
      <ns0:c r="F104" s="4" t="inlineStr">
        <ns0:is>
          <ns0:t xml:space="preserve">Stories!B29</ns0:t>
        </ns0:is>
      </ns0:c>
    </ns0:row>
    <ns0:row r="105" ht="52" customHeight="1">
      <ns0:c r="A105" s="28" t="inlineStr">
        <ns0:is>
          <ns0:t xml:space="preserve">REQ-102</ns0:t>
        </ns0:is>
      </ns0:c>
      <ns0:c r="B105" s="28" t="inlineStr">
        <ns0:is>
          <ns0:t xml:space="preserve">Inventory management — first version, planning complete</ns0:t>
        </ns0:is>
      </ns0:c>
      <ns0:c r="C105" s="28" t="inlineStr">
        <ns0:is>
          <ns0:t xml:space="preserve">##FUTURE</ns0:t>
        </ns0:is>
      </ns0:c>
      <ns0:c r="D105" s="28" t="inlineStr">
        <ns0:is>
          <ns0:t xml:space="preserve">##FUTURE Deleting departments, categories or subcategories. Category department changes and Subcategory moves across Categories/Departments are approved current scope; see their edit requirements.</ns0:t>
        </ns0:is>
      </ns0:c>
      <ns0:c r="E105" s="28" t="inlineStr">
        <ns0:is>
          <ns0:t xml:space="preserve">Deferred — no current item</ns0:t>
        </ns0:is>
      </ns0:c>
      <ns0:c r="F105" s="28" t="inlineStr">
        <ns0:is>
          <ns0:t xml:space="preserve">Deferred</ns0:t>
        </ns0:is>
      </ns0:c>
    </ns0:row>
    <ns0:row r="106" ht="52" customHeight="1">
      <ns0:c r="A106" s="4" t="inlineStr">
        <ns0:is>
          <ns0:t xml:space="preserve">REQ-103</ns0:t>
        </ns0:is>
      </ns0:c>
      <ns0:c r="B106" s="4" t="inlineStr">
        <ns0:is>
          <ns0:t xml:space="preserve">Inventory management — first version, planning complete</ns0:t>
        </ns0:is>
      </ns0:c>
      <ns0:c r="C106" s="4" t="inlineStr">
        <ns0:is>
          <ns0:t xml:space="preserve">Current scope</ns0:t>
        </ns0:is>
      </ns0:c>
      <ns0:c r="D106" s="4" t="inlineStr">
        <ns0:is>
          <ns0:t xml:space="preserve">Each product can optionally have multiple tags.</ns0:t>
        </ns0:is>
      </ns0:c>
      <ns0:c r="E106" s="4" t="inlineStr">
        <ns0:is>
          <ns0:t xml:space="preserve">FB-031, FB-037, FB-048</ns0:t>
        </ns0:is>
      </ns0:c>
      <ns0:c r="F106" s="4" t="inlineStr">
        <ns0:is>
          <ns0:t xml:space="preserve">Stories!B34</ns0:t>
        </ns0:is>
      </ns0:c>
    </ns0:row>
    <ns0:row r="107" ht="52" customHeight="1">
      <ns0:c r="A107" s="28" t="inlineStr">
        <ns0:is>
          <ns0:t xml:space="preserve">REQ-104</ns0:t>
        </ns0:is>
      </ns0:c>
      <ns0:c r="B107" s="28" t="inlineStr">
        <ns0:is>
          <ns0:t xml:space="preserve">Inventory management — first version, planning complete</ns0:t>
        </ns0:is>
      </ns0:c>
      <ns0:c r="C107" s="28" t="inlineStr">
        <ns0:is>
          <ns0:t xml:space="preserve">Current scope</ns0:t>
        </ns0:is>
      </ns0:c>
      <ns0:c r="D107" s="28" t="inlineStr">
        <ns0:is>
          <ns0:t>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ns0:t>
        </ns0:is>
      </ns0:c>
      <ns0:c r="E107" s="28" t="str">
        <ns0:v>FB-031, FB-037, FB-040, FB-044, FB-048</ns0:v>
      </ns0:c>
      <ns0:c r="F107" s="28" t="inlineStr">
        <ns0:is>
          <ns0:t xml:space="preserve">Stories!B34</ns0:t>
        </ns0:is>
      </ns0:c>
    </ns0:row>
    <ns0:row r="108" ht="76" customHeight="1">
      <ns0:c r="A108" s="4" t="inlineStr">
        <ns0:is>
          <ns0:t xml:space="preserve">REQ-105</ns0:t>
        </ns0:is>
      </ns0:c>
      <ns0:c r="B108" s="4" t="inlineStr">
        <ns0:is>
          <ns0:t xml:space="preserve">Inventory management — first version, planning complete</ns0:t>
        </ns0:is>
      </ns0:c>
      <ns0:c r="C108" s="4" t="inlineStr">
        <ns0:is>
          <ns0:t xml:space="preserve">Current scope</ns0:t>
        </ns0:is>
      </ns0:c>
      <ns0:c r="D108" s="4" t="inlineStr">
        <ns0:is>
          <ns0: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ns0:t>
        </ns0:is>
      </ns0:c>
      <ns0:c r="E108" s="4" t="inlineStr">
        <ns0:is>
          <ns0:t xml:space="preserve">FB-031, FB-037, FB-048</ns0:t>
        </ns0:is>
      </ns0:c>
      <ns0:c r="F108" s="4" t="inlineStr">
        <ns0:is>
          <ns0:t xml:space="preserve">Stories!B34</ns0:t>
        </ns0:is>
      </ns0:c>
    </ns0:row>
    <ns0:row r="109" ht="52" customHeight="1">
      <ns0:c r="A109" s="28" t="inlineStr">
        <ns0:is>
          <ns0:t xml:space="preserve">REQ-106</ns0:t>
        </ns0:is>
      </ns0:c>
      <ns0:c r="B109" s="28" t="inlineStr">
        <ns0:is>
          <ns0:t xml:space="preserve">Inventory management — first version, planning complete</ns0:t>
        </ns0:is>
      </ns0:c>
      <ns0:c r="C109" s="28" t="inlineStr">
        <ns0:is>
          <ns0:t xml:space="preserve">Current scope</ns0:t>
        </ns0:is>
      </ns0:c>
      <ns0:c r="D109" s="28" t="inlineStr">
        <ns0:is>
          <ns0: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ns0:t>
        </ns0:is>
      </ns0:c>
      <ns0:c r="E109" s="28" t="inlineStr">
        <ns0:is>
          <ns0:t xml:space="preserve">FB-032–FB-037, FB-047–FB-053</ns0:t>
        </ns0:is>
      </ns0:c>
      <ns0:c r="F109" s="28" t="inlineStr">
        <ns0:is>
          <ns0:t xml:space="preserve">Stories!B35</ns0:t>
        </ns0:is>
      </ns0:c>
    </ns0:row>
    <ns0:row r="110" ht="52" customHeight="1">
      <ns0:c r="A110" s="4" t="inlineStr">
        <ns0:is>
          <ns0:t xml:space="preserve">REQ-107</ns0:t>
        </ns0:is>
      </ns0:c>
      <ns0:c r="B110" s="4" t="inlineStr">
        <ns0:is>
          <ns0:t xml:space="preserve">Inventory management — first version, planning complete</ns0:t>
        </ns0:is>
      </ns0:c>
      <ns0:c r="C110" s="4" t="inlineStr">
        <ns0:is>
          <ns0:t xml:space="preserve">Current scope</ns0:t>
        </ns0:is>
      </ns0:c>
      <ns0:c r="D110" s="4" t="inlineStr">
        <ns0:is>
          <ns0:t xml:space="preserve">Each product has a separate optional brand field. Unbranded products may leave it blank.</ns0:t>
        </ns0:is>
      </ns0:c>
      <ns0:c r="E110" s="4" t="inlineStr">
        <ns0:is>
          <ns0:t xml:space="preserve">FB-032–FB-037, FB-047–FB-053</ns0:t>
        </ns0:is>
      </ns0:c>
      <ns0:c r="F110" s="4" t="inlineStr">
        <ns0:is>
          <ns0:t xml:space="preserve">Stories!B35</ns0:t>
        </ns0:is>
      </ns0:c>
    </ns0:row>
    <ns0:row r="111" ht="91" customHeight="1">
      <ns0:c r="A111" s="28" t="inlineStr">
        <ns0:is>
          <ns0:t xml:space="preserve">REQ-108</ns0:t>
        </ns0:is>
      </ns0:c>
      <ns0:c r="B111" s="28" t="inlineStr">
        <ns0:is>
          <ns0:t xml:space="preserve">Inventory management — first version, planning complete</ns0:t>
        </ns0:is>
      </ns0:c>
      <ns0:c r="C111" s="28" t="inlineStr">
        <ns0:is>
          <ns0:t xml:space="preserve">Current scope</ns0:t>
        </ns0:is>
      </ns0:c>
      <ns0:c r="D111" s="28" t="str">
        <ns0: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ns0:v>
      </ns0:c>
      <ns0:c r="E111" s="28" t="inlineStr">
        <ns0:is>
          <ns0:t xml:space="preserve">FB-032–FB-037, FB-047–FB-053</ns0:t>
        </ns0:is>
      </ns0:c>
      <ns0:c r="F111" s="28" t="inlineStr">
        <ns0:is>
          <ns0:t xml:space="preserve">Stories!B35</ns0:t>
        </ns0:is>
      </ns0:c>
    </ns0:row>
    <ns0:row r="112" ht="91" customHeight="1">
      <ns0:c r="A112" s="4" t="inlineStr">
        <ns0:is>
          <ns0:t xml:space="preserve">REQ-109</ns0:t>
        </ns0:is>
      </ns0:c>
      <ns0:c r="B112" s="4" t="inlineStr">
        <ns0:is>
          <ns0:t xml:space="preserve">Inventory management — first version, planning complete</ns0:t>
        </ns0:is>
      </ns0:c>
      <ns0:c r="C112" s="4" t="inlineStr">
        <ns0:is>
          <ns0:t xml:space="preserve">Current scope</ns0:t>
        </ns0:is>
      </ns0:c>
      <ns0:c r="D112" s="4" t="inlineStr">
        <ns0:is>
          <ns0: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ns0:t>
        </ns0:is>
      </ns0:c>
      <ns0:c r="E112" s="4" t="inlineStr">
        <ns0:is>
          <ns0:t xml:space="preserve">FB-036</ns0:t>
        </ns0:is>
      </ns0:c>
      <ns0:c r="F112" s="4" t="inlineStr">
        <ns0:is>
          <ns0:t xml:space="preserve">Stories!B38</ns0:t>
        </ns0:is>
      </ns0:c>
    </ns0:row>
    <ns0:row r="113" ht="61" customHeight="1">
      <ns0:c r="A113" s="28" t="inlineStr">
        <ns0:is>
          <ns0:t xml:space="preserve">REQ-110</ns0:t>
        </ns0:is>
      </ns0:c>
      <ns0:c r="B113" s="28" t="inlineStr">
        <ns0:is>
          <ns0:t xml:space="preserve">Inventory management — first version, planning complete</ns0:t>
        </ns0:is>
      </ns0:c>
      <ns0:c r="C113" s="28" t="inlineStr">
        <ns0:is>
          <ns0:t xml:space="preserve">Current scope</ns0:t>
        </ns0:is>
      </ns0:c>
      <ns0:c r="D113" s="28" t="inlineStr">
        <ns0:is>
          <ns0: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ns0:t>
        </ns0:is>
      </ns0:c>
      <ns0:c r="E113" s="28" t="inlineStr">
        <ns0:is>
          <ns0:t xml:space="preserve">FB-032–FB-037, FB-047–FB-053</ns0:t>
        </ns0:is>
      </ns0:c>
      <ns0:c r="F113" s="28" t="inlineStr">
        <ns0:is>
          <ns0:t xml:space="preserve">Stories!B35</ns0:t>
        </ns0:is>
      </ns0:c>
    </ns0:row>
    <ns0:row r="114" ht="61" customHeight="1">
      <ns0:c r="A114" s="4" t="inlineStr">
        <ns0:is>
          <ns0:t xml:space="preserve">REQ-111</ns0:t>
        </ns0:is>
      </ns0:c>
      <ns0:c r="B114" s="4" t="inlineStr">
        <ns0:is>
          <ns0:t xml:space="preserve">Inventory management — first version, planning complete</ns0:t>
        </ns0:is>
      </ns0:c>
      <ns0:c r="C114" s="4" t="inlineStr">
        <ns0:is>
          <ns0:t xml:space="preserve">Current scope</ns0:t>
        </ns0:is>
      </ns0:c>
      <ns0:c r="D114" s="4" t="inlineStr">
        <ns0:is>
          <ns0: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ns0:t>
        </ns0:is>
      </ns0:c>
      <ns0:c r="E114" s="4" t="inlineStr">
        <ns0:is>
          <ns0:t xml:space="preserve">FB-032–FB-037, FB-047–FB-053</ns0:t>
        </ns0:is>
      </ns0:c>
      <ns0:c r="F114" s="4" t="inlineStr">
        <ns0:is>
          <ns0:t xml:space="preserve">Stories!B35</ns0:t>
        </ns0:is>
      </ns0:c>
    </ns0:row>
    <ns0:row r="115" ht="52" customHeight="1">
      <ns0:c r="A115" s="28" t="inlineStr">
        <ns0:is>
          <ns0:t xml:space="preserve">REQ-112</ns0:t>
        </ns0:is>
      </ns0:c>
      <ns0:c r="B115" s="28" t="inlineStr">
        <ns0:is>
          <ns0:t xml:space="preserve">Inventory management — first version, planning complete</ns0:t>
        </ns0:is>
      </ns0:c>
      <ns0:c r="C115" s="28" t="inlineStr">
        <ns0:is>
          <ns0:t xml:space="preserve">Current scope</ns0:t>
        </ns0:is>
      </ns0:c>
      <ns0:c r="D115" s="28" t="inlineStr">
        <ns0:is>
          <ns0:t xml:space="preserve">2026-10-29 approved module separation: Stock Management counting-unit choices: bag, box, can, bottle, carton, jar, packet and individual item. No counting-unit field in catalogue.</ns0:t>
        </ns0:is>
      </ns0:c>
      <ns0:c r="E115" s="28" t="inlineStr">
        <ns0:is>
          <ns0:t xml:space="preserve">FB-032–FB-037, FB-047–FB-053</ns0:t>
        </ns0:is>
      </ns0:c>
      <ns0:c r="F115" s="28" t="inlineStr">
        <ns0:is>
          <ns0:t xml:space="preserve">Stories!B35</ns0:t>
        </ns0:is>
      </ns0:c>
    </ns0:row>
    <ns0:row r="116" ht="151" customHeight="1">
      <ns0:c r="A116" s="4" t="inlineStr">
        <ns0:is>
          <ns0:t xml:space="preserve">REQ-113</ns0:t>
        </ns0:is>
      </ns0:c>
      <ns0:c r="B116" s="4" t="inlineStr">
        <ns0:is>
          <ns0:t xml:space="preserve">Inventory management — first version, planning complete</ns0:t>
        </ns0:is>
      </ns0:c>
      <ns0:c r="C116" s="4" t="inlineStr">
        <ns0:is>
          <ns0:t xml:space="preserve">Current scope</ns0:t>
        </ns0:is>
      </ns0:c>
      <ns0:c r="D116" s="4" t="inlineStr">
        <ns0:is>
          <ns0: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ns0:t>
        </ns0:is>
      </ns0:c>
      <ns0:c r="E116" s="4" t="inlineStr">
        <ns0:is>
          <ns0:t xml:space="preserve">FB-029, FB-034, FB-053, FB-065–FB-066</ns0:t>
        </ns0:is>
      </ns0:c>
      <ns0:c r="F116" s="4" t="inlineStr">
        <ns0:is>
          <ns0:t xml:space="preserve">Stories!B32</ns0:t>
        </ns0:is>
      </ns0:c>
    </ns0:row>
    <ns0:row r="117" ht="52" customHeight="1">
      <ns0:c r="A117" s="28" t="inlineStr">
        <ns0:is>
          <ns0:t xml:space="preserve">REQ-114</ns0:t>
        </ns0:is>
      </ns0:c>
      <ns0:c r="B117" s="28" t="inlineStr">
        <ns0:is>
          <ns0:t xml:space="preserve">Inventory management — first version, planning complete</ns0:t>
        </ns0:is>
      </ns0:c>
      <ns0:c r="C117" s="28" t="inlineStr">
        <ns0:is>
          <ns0:t xml:space="preserve">##FUTURE</ns0:t>
        </ns0:is>
      </ns0:c>
      <ns0:c r="D117" s="28" t="inlineStr">
        <ns0:is>
          <ns0:t xml:space="preserve">##FUTURE Loose-weight quantities and general unit conversions beyond the agreed kg/g and litres/ml conversions for package contents and summaries.</ns0:t>
        </ns0:is>
      </ns0:c>
      <ns0:c r="E117" s="28" t="inlineStr">
        <ns0:is>
          <ns0:t xml:space="preserve">Deferred — no current item</ns0:t>
        </ns0:is>
      </ns0:c>
      <ns0:c r="F117" s="28" t="inlineStr">
        <ns0:is>
          <ns0:t xml:space="preserve">Deferred</ns0:t>
        </ns0:is>
      </ns0:c>
    </ns0:row>
    <ns0:row r="118" ht="52" customHeight="1">
      <ns0:c r="A118" s="4" t="inlineStr">
        <ns0:is>
          <ns0:t xml:space="preserve">REQ-115</ns0:t>
        </ns0:is>
      </ns0:c>
      <ns0:c r="B118" s="4" t="inlineStr">
        <ns0:is>
          <ns0:t xml:space="preserve">Inventory management — first version, planning complete</ns0:t>
        </ns0:is>
      </ns0:c>
      <ns0:c r="C118" s="4" t="inlineStr">
        <ns0:is>
          <ns0:t xml:space="preserve">Current scope</ns0:t>
        </ns0:is>
      </ns0:c>
      <ns0:c r="D118" s="4" t="inlineStr">
        <ns0:is>
          <ns0:t xml:space="preserve">Use one shared inventory for the first version, without separate stock balances for shelves, rooms, or branches.</ns0:t>
        </ns0:is>
      </ns0:c>
      <ns0:c r="E118" s="4" t="inlineStr">
        <ns0:is>
          <ns0:t xml:space="preserve">FB-049–FB-056, FB-063–FB-064, FB-068</ns0:t>
        </ns0:is>
      </ns0:c>
      <ns0:c r="F118" s="4" t="inlineStr">
        <ns0:is>
          <ns0:t xml:space="preserve">Stories!B53</ns0:t>
        </ns0:is>
      </ns0:c>
    </ns0:row>
    <ns0:row r="119" ht="52" customHeight="1">
      <ns0:c r="A119" s="28" t="inlineStr">
        <ns0:is>
          <ns0:t xml:space="preserve">REQ-116</ns0:t>
        </ns0:is>
      </ns0:c>
      <ns0:c r="B119" s="28" t="inlineStr">
        <ns0:is>
          <ns0:t xml:space="preserve">Inventory management — first version, planning complete</ns0:t>
        </ns0:is>
      </ns0:c>
      <ns0:c r="C119" s="28" t="inlineStr">
        <ns0:is>
          <ns0:t xml:space="preserve">##FUTURE</ns0:t>
        </ns0:is>
      </ns0:c>
      <ns0:c r="D119" s="28" t="inlineStr">
        <ns0:is>
          <ns0:t xml:space="preserve">##FUTURE Stock tracking by location.</ns0:t>
        </ns0:is>
      </ns0:c>
      <ns0:c r="E119" s="28" t="inlineStr">
        <ns0:is>
          <ns0:t xml:space="preserve">Deferred — no current item</ns0:t>
        </ns0:is>
      </ns0:c>
      <ns0:c r="F119" s="28" t="inlineStr">
        <ns0:is>
          <ns0:t xml:space="preserve">Deferred</ns0:t>
        </ns0:is>
      </ns0:c>
    </ns0:row>
    <ns0:row r="120" ht="61" customHeight="1">
      <ns0:c r="A120" s="4" t="inlineStr">
        <ns0:is>
          <ns0:t xml:space="preserve">REQ-117</ns0:t>
        </ns0:is>
      </ns0:c>
      <ns0:c r="B120" s="4" t="inlineStr">
        <ns0:is>
          <ns0:t xml:space="preserve">Inventory management — first version, planning complete</ns0:t>
        </ns0:is>
      </ns0:c>
      <ns0:c r="C120" s="4" t="inlineStr">
        <ns0:is>
          <ns0:t xml:space="preserve">Current scope</ns0:t>
        </ns0:is>
      </ns0:c>
      <ns0:c r="D120" s="4" t="inlineStr">
        <ns0:is>
          <ns0: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ns0:t>
        </ns0:is>
      </ns0:c>
      <ns0:c r="E120" s="4" t="inlineStr">
        <ns0:is>
          <ns0:t xml:space="preserve">FB-029, FB-034, FB-053, FB-065–FB-066</ns0:t>
        </ns0:is>
      </ns0:c>
      <ns0:c r="F120" s="4" t="inlineStr">
        <ns0:is>
          <ns0:t xml:space="preserve">Stories!B32</ns0:t>
        </ns0:is>
      </ns0:c>
    </ns0:row>
    <ns0:row r="121" ht="61" customHeight="1">
      <ns0:c r="A121" s="28" t="inlineStr">
        <ns0:is>
          <ns0:t xml:space="preserve">REQ-118</ns0:t>
        </ns0:is>
      </ns0:c>
      <ns0:c r="B121" s="28" t="inlineStr">
        <ns0:is>
          <ns0:t xml:space="preserve">Inventory management — first version, planning complete</ns0:t>
        </ns0:is>
      </ns0:c>
      <ns0:c r="C121" s="28" t="inlineStr">
        <ns0:is>
          <ns0:t xml:space="preserve">Current scope</ns0:t>
        </ns0:is>
      </ns0:c>
      <ns0:c r="D121" s="28" t="inlineStr">
        <ns0:is>
          <ns0:t xml:space="preserve">2026-10-29 approved module separation: In Stock Management, multiply each stock package count by its contents and sum compatible measurements; for example rice bags contribute kilograms and cartons contribute eggs. These totals are absent from catalogue screens.</ns0:t>
        </ns0:is>
      </ns0:c>
      <ns0:c r="E121" s="28" t="inlineStr">
        <ns0:is>
          <ns0:t xml:space="preserve">FB-029, FB-034, FB-053, FB-065–FB-066</ns0:t>
        </ns0:is>
      </ns0:c>
      <ns0:c r="F121" s="28" t="inlineStr">
        <ns0:is>
          <ns0:t xml:space="preserve">Stories!B32</ns0:t>
        </ns0:is>
      </ns0:c>
    </ns0:row>
    <ns0:row r="122" ht="52" customHeight="1">
      <ns0:c r="A122" s="4" t="inlineStr">
        <ns0:is>
          <ns0:t xml:space="preserve">REQ-119</ns0:t>
        </ns0:is>
      </ns0:c>
      <ns0:c r="B122" s="4" t="inlineStr">
        <ns0:is>
          <ns0:t xml:space="preserve">Inventory management — first version, planning complete</ns0:t>
        </ns0:is>
      </ns0:c>
      <ns0:c r="C122" s="4" t="inlineStr">
        <ns0:is>
          <ns0:t xml:space="preserve">Current scope</ns0:t>
        </ns0:is>
      </ns0:c>
      <ns0:c r="D122" s="4" t="inlineStr">
        <ns0:is>
          <ns0:t xml:space="preserve">2026-10-29 approved module separation: Stock summaries do not replace individual stock package balances. All balances/totals are owned and displayed by Stock Management only.</ns0:t>
        </ns0:is>
      </ns0:c>
      <ns0:c r="E122" s="4" t="inlineStr">
        <ns0:is>
          <ns0:t xml:space="preserve">FB-029, FB-034, FB-053, FB-065–FB-066</ns0:t>
        </ns0:is>
      </ns0:c>
      <ns0:c r="F122" s="4" t="inlineStr">
        <ns0:is>
          <ns0:t xml:space="preserve">Stories!B32</ns0:t>
        </ns0:is>
      </ns0:c>
    </ns0:row>
    <ns0:row r="123" ht="52" customHeight="1">
      <ns0:c r="A123" s="28" t="inlineStr">
        <ns0:is>
          <ns0:t xml:space="preserve">REQ-120</ns0:t>
        </ns0:is>
      </ns0:c>
      <ns0:c r="B123" s="28" t="inlineStr">
        <ns0:is>
          <ns0:t xml:space="preserve">Inventory management — first version, planning complete</ns0:t>
        </ns0:is>
      </ns0:c>
      <ns0:c r="C123" s="28" t="inlineStr">
        <ns0:is>
          <ns0:t xml:space="preserve">Current scope</ns0:t>
        </ns0:is>
      </ns0:c>
      <ns0:c r="D123" s="28" t="inlineStr">
        <ns0:is>
          <ns0:t xml:space="preserve">Stock balances change only through recorded stock movements, not by directly editing a balance. Incoming movements increase stock and outgoing movements decrease it; balances reflect those movements.</ns0:t>
        </ns0:is>
      </ns0:c>
      <ns0:c r="E123" s="28" t="inlineStr">
        <ns0:is>
          <ns0:t xml:space="preserve">FB-049–FB-056, FB-063–FB-064, FB-068</ns0:t>
        </ns0:is>
      </ns0:c>
      <ns0:c r="F123" s="28" t="inlineStr">
        <ns0:is>
          <ns0:t xml:space="preserve">Stories!B53</ns0:t>
        </ns0:is>
      </ns0:c>
    </ns0:row>
    <ns0:row r="124" ht="52" customHeight="1">
      <ns0:c r="A124" s="4" t="inlineStr">
        <ns0:is>
          <ns0:t xml:space="preserve">REQ-121</ns0:t>
        </ns0:is>
      </ns0:c>
      <ns0:c r="B124" s="4" t="inlineStr">
        <ns0:is>
          <ns0:t xml:space="preserve">Inventory management — first version, planning complete</ns0:t>
        </ns0:is>
      </ns0:c>
      <ns0:c r="C124" s="4" t="inlineStr">
        <ns0:is>
          <ns0:t xml:space="preserve">Current scope</ns0:t>
        </ns0:is>
      </ns0:c>
      <ns0:c r="D124" s="4" t="inlineStr">
        <ns0:is>
          <ns0:t xml:space="preserve">First-version movement types: Receive (food arrives), Distribute (food goes to a household), and Adjust (count corrections or damaged/ spoiled food). Every adjustment requires a reason.</ns0:t>
        </ns0:is>
      </ns0:c>
      <ns0:c r="E124" s="4" t="inlineStr">
        <ns0:is>
          <ns0:t xml:space="preserve">FB-049–FB-056, FB-063–FB-064, FB-068</ns0:t>
        </ns0:is>
      </ns0:c>
      <ns0:c r="F124" s="4" t="inlineStr">
        <ns0:is>
          <ns0:t xml:space="preserve">Stories!B53</ns0:t>
        </ns0:is>
      </ns0:c>
    </ns0:row>
    <ns0:row r="125" ht="52" customHeight="1">
      <ns0:c r="A125" s="28" t="inlineStr">
        <ns0:is>
          <ns0:t xml:space="preserve">REQ-122</ns0:t>
        </ns0:is>
      </ns0:c>
      <ns0:c r="B125" s="28" t="inlineStr">
        <ns0:is>
          <ns0:t xml:space="preserve">Inventory management — first version, planning complete</ns0:t>
        </ns0:is>
      </ns0:c>
      <ns0:c r="C125" s="28" t="inlineStr">
        <ns0:is>
          <ns0:t xml:space="preserve">Current scope</ns0:t>
        </ns0:is>
      </ns0:c>
      <ns0:c r="D125" s="28" t="inlineStr">
        <ns0:is>
          <ns0:t xml:space="preserve">Every stock movement must prevent a product's stock from falling below zero. Reject any outgoing quantity greater than available stock.</ns0:t>
        </ns0:is>
      </ns0:c>
      <ns0:c r="E125" s="28" t="inlineStr">
        <ns0:is>
          <ns0:t xml:space="preserve">FB-049–FB-056, FB-063–FB-064, FB-068</ns0:t>
        </ns0:is>
      </ns0:c>
      <ns0:c r="F125" s="28" t="inlineStr">
        <ns0:is>
          <ns0:t xml:space="preserve">Stories!B53</ns0:t>
        </ns0:is>
      </ns0:c>
    </ns0:row>
    <ns0:row r="126" ht="91" customHeight="1">
      <ns0:c r="A126" s="4" t="inlineStr">
        <ns0:is>
          <ns0:t xml:space="preserve">REQ-123</ns0:t>
        </ns0:is>
      </ns0:c>
      <ns0:c r="B126" s="4" t="inlineStr">
        <ns0:is>
          <ns0:t xml:space="preserve">Inventory management — first version, planning complete</ns0:t>
        </ns0:is>
      </ns0:c>
      <ns0:c r="C126" s="4" t="inlineStr">
        <ns0:is>
          <ns0:t xml:space="preserve">Current scope</ns0:t>
        </ns0:is>
      </ns0:c>
      <ns0:c r="D126" s="4" t="inlineStr">
        <ns0:is>
          <ns0: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ns0:t>
        </ns0:is>
      </ns0:c>
      <ns0:c r="E126" s="4" t="inlineStr">
        <ns0:is>
          <ns0:t xml:space="preserve">FB-032–FB-037, FB-047–FB-053</ns0:t>
        </ns0:is>
      </ns0:c>
      <ns0:c r="F126" s="4" t="inlineStr">
        <ns0:is>
          <ns0:t xml:space="preserve">Stories!B35</ns0:t>
        </ns0:is>
      </ns0:c>
    </ns0:row>
    <ns0:row r="127" ht="52" customHeight="1">
      <ns0:c r="A127" s="28" t="inlineStr">
        <ns0:is>
          <ns0:t xml:space="preserve">REQ-124</ns0:t>
        </ns0:is>
      </ns0:c>
      <ns0:c r="B127" s="28" t="inlineStr">
        <ns0:is>
          <ns0:t xml:space="preserve">Inventory management — first version, planning complete</ns0:t>
        </ns0:is>
      </ns0:c>
      <ns0:c r="C127" s="28" t="inlineStr">
        <ns0:is>
          <ns0:t xml:space="preserve">Current scope</ns0:t>
        </ns0:is>
      </ns0:c>
      <ns0:c r="D127" s="28" t="inlineStr">
        <ns0:is>
          <ns0:t xml:space="preserve">One distribution belongs to one household and can include multiple products. Either all its stock changes succeed or none are saved. Use fictional sample households until household management is built.</ns0:t>
        </ns0:is>
      </ns0:c>
      <ns0:c r="E127" s="28" t="inlineStr">
        <ns0:is>
          <ns0:t xml:space="preserve">FB-057–FB-064</ns0:t>
        </ns0:is>
      </ns0:c>
      <ns0:c r="F127" s="28" t="inlineStr">
        <ns0:is>
          <ns0:t xml:space="preserve">Stories!B63</ns0:t>
        </ns0:is>
      </ns0:c>
    </ns0:row>
    <ns0:row r="128" ht="136" customHeight="1">
      <ns0:c r="A128" s="4" t="inlineStr">
        <ns0:is>
          <ns0:t xml:space="preserve">REQ-125</ns0:t>
        </ns0:is>
      </ns0:c>
      <ns0:c r="B128" s="4" t="inlineStr">
        <ns0:is>
          <ns0:t xml:space="preserve">Inventory management — first version, planning complete</ns0:t>
        </ns0:is>
      </ns0:c>
      <ns0:c r="C128" s="4" t="inlineStr">
        <ns0:is>
          <ns0:t xml:space="preserve">Current scope</ns0:t>
        </ns0:is>
      </ns0:c>
      <ns0:c r="D128" s="4" t="str">
        <ns0: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ns0:v>
      </ns0:c>
      <ns0:c r="E128" s="4" t="inlineStr">
        <ns0:is>
          <ns0:t xml:space="preserve">FB-057–FB-064</ns0:t>
        </ns0:is>
      </ns0:c>
      <ns0:c r="F128" s="4" t="inlineStr">
        <ns0:is>
          <ns0:t xml:space="preserve">Stories!B63</ns0:t>
        </ns0:is>
      </ns0:c>
    </ns0:row>
    <ns0:row r="129" ht="52" customHeight="1">
      <ns0:c r="A129" s="28" t="inlineStr">
        <ns0:is>
          <ns0:t xml:space="preserve">REQ-126</ns0:t>
        </ns0:is>
      </ns0:c>
      <ns0:c r="B129" s="28" t="inlineStr">
        <ns0:is>
          <ns0:t xml:space="preserve">Inventory management — first version, planning complete</ns0:t>
        </ns0:is>
      </ns0:c>
      <ns0:c r="C129" s="28" t="inlineStr">
        <ns0:is>
          <ns0:t xml:space="preserve">Current scope</ns0:t>
        </ns0:is>
      </ns0:c>
      <ns0:c r="D129" s="28" t="inlineStr">
        <ns0:is>
          <ns0:t xml:space="preserve">One Receive entry can include multiple products. Either all stock changes in that receipt succeed or none are saved.</ns0:t>
        </ns0:is>
      </ns0:c>
      <ns0:c r="E129" s="28" t="inlineStr">
        <ns0:is>
          <ns0:t xml:space="preserve">FB-049–FB-052</ns0:t>
        </ns0:is>
      </ns0:c>
      <ns0:c r="F129" s="28" t="inlineStr">
        <ns0:is>
          <ns0:t xml:space="preserve">Stories!B53</ns0:t>
        </ns0:is>
      </ns0:c>
    </ns0:row>
    <ns0:row r="130" ht="61" customHeight="1">
      <ns0:c r="A130" s="4" t="inlineStr">
        <ns0:is>
          <ns0:t xml:space="preserve">REQ-127</ns0:t>
        </ns0:is>
      </ns0:c>
      <ns0:c r="B130" s="4" t="inlineStr">
        <ns0:is>
          <ns0:t xml:space="preserve">Inventory management — first version, planning complete</ns0:t>
        </ns0:is>
      </ns0:c>
      <ns0:c r="C130" s="4" t="inlineStr">
        <ns0:is>
          <ns0:t xml:space="preserve">Current scope</ns0:t>
        </ns0:is>
      </ns0:c>
      <ns0:c r="D130" s="4" t="inlineStr">
        <ns0:is>
          <ns0:t xml:space="preserve">Each stock_item may appear once per Receive or Distribute entry. Update its existing quantity instead of duplicate rows. The same catalogue product can appear on separate rows with different package_sizes. Quantities/packages belong exclusively to Stock Management.</ns0:t>
        </ns0:is>
      </ns0:c>
      <ns0:c r="E130" s="4" t="inlineStr">
        <ns0:is>
          <ns0:t xml:space="preserve">FB-050, FB-061</ns0:t>
        </ns0:is>
      </ns0:c>
      <ns0:c r="F130" s="4" t="inlineStr">
        <ns0:is>
          <ns0:t xml:space="preserve">Stories!B54</ns0:t>
        </ns0:is>
      </ns0:c>
    </ns0:row>
    <ns0:row r="131" ht="52" customHeight="1">
      <ns0:c r="A131" s="28" t="inlineStr">
        <ns0:is>
          <ns0:t xml:space="preserve">REQ-128</ns0:t>
        </ns0:is>
      </ns0:c>
      <ns0:c r="B131" s="28" t="inlineStr">
        <ns0:is>
          <ns0:t xml:space="preserve">Inventory management — first version, planning complete</ns0:t>
        </ns0:is>
      </ns0:c>
      <ns0:c r="C131" s="28" t="inlineStr">
        <ns0:is>
          <ns0:t xml:space="preserve">Current scope</ns0:t>
        </ns0:is>
      </ns0:c>
      <ns0:c r="D131" s="28" t="inlineStr">
        <ns0:is>
          <ns0:t xml:space="preserve">Each Receive entry has one optional notes field for the whole entry.</ns0:t>
        </ns0:is>
      </ns0:c>
      <ns0:c r="E131" s="28" t="inlineStr">
        <ns0:is>
          <ns0:t xml:space="preserve">FB-049–FB-052</ns0:t>
        </ns0:is>
      </ns0:c>
      <ns0:c r="F131" s="28" t="inlineStr">
        <ns0:is>
          <ns0:t xml:space="preserve">Stories!B53</ns0:t>
        </ns0:is>
      </ns0:c>
    </ns0:row>
    <ns0:row r="132" ht="61" customHeight="1">
      <ns0:c r="A132" s="4" t="inlineStr">
        <ns0:is>
          <ns0:t xml:space="preserve">REQ-129</ns0:t>
        </ns0:is>
      </ns0:c>
      <ns0:c r="B132" s="4" t="inlineStr">
        <ns0:is>
          <ns0:t xml:space="preserve">Inventory management — first version, planning complete</ns0:t>
        </ns0:is>
      </ns0:c>
      <ns0:c r="C132" s="4" t="inlineStr">
        <ns0:is>
          <ns0:t xml:space="preserve">Current scope</ns0:t>
        </ns0:is>
      </ns0:c>
      <ns0:c r="D132" s="4" t="inlineStr">
        <ns0:is>
          <ns0: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ns0:t>
        </ns0:is>
      </ns0:c>
      <ns0:c r="E132" s="4" t="inlineStr">
        <ns0:is>
          <ns0:t xml:space="preserve">FB-049–FB-056, FB-063–FB-064, FB-068</ns0:t>
        </ns0:is>
      </ns0:c>
      <ns0:c r="F132" s="4" t="inlineStr">
        <ns0:is>
          <ns0:t xml:space="preserve">Stories!B53</ns0:t>
        </ns0:is>
      </ns0:c>
    </ns0:row>
    <ns0:row r="133" ht="52" customHeight="1">
      <ns0:c r="A133" s="28" t="inlineStr">
        <ns0:is>
          <ns0:t xml:space="preserve">REQ-130</ns0:t>
        </ns0:is>
      </ns0:c>
      <ns0:c r="B133" s="28" t="inlineStr">
        <ns0:is>
          <ns0:t xml:space="preserve">Inventory management — first version, planning complete</ns0:t>
        </ns0:is>
      </ns0:c>
      <ns0:c r="C133" s="28" t="inlineStr">
        <ns0:is>
          <ns0:t xml:space="preserve">##FUTURE</ns0:t>
        </ns0:is>
      </ns0:c>
      <ns0:c r="D133" s="28" t="inlineStr">
        <ns0:is>
          <ns0:t xml:space="preserve">##FUTURE User-entered or backdated stock-movement dates.</ns0:t>
        </ns0:is>
      </ns0:c>
      <ns0:c r="E133" s="28" t="inlineStr">
        <ns0:is>
          <ns0:t xml:space="preserve">Deferred — no current item</ns0:t>
        </ns0:is>
      </ns0:c>
      <ns0:c r="F133" s="28" t="inlineStr">
        <ns0:is>
          <ns0:t xml:space="preserve">Deferred</ns0:t>
        </ns0:is>
      </ns0:c>
    </ns0:row>
    <ns0:row r="134" ht="61" customHeight="1">
      <ns0:c r="A134" s="4" t="inlineStr">
        <ns0:is>
          <ns0:t xml:space="preserve">REQ-131</ns0:t>
        </ns0:is>
      </ns0:c>
      <ns0:c r="B134" s="4" t="inlineStr">
        <ns0:is>
          <ns0:t xml:space="preserve">Inventory management — first version, planning complete</ns0:t>
        </ns0:is>
      </ns0:c>
      <ns0:c r="C134" s="4" t="inlineStr">
        <ns0:is>
          <ns0:t xml:space="preserve">Current scope</ns0:t>
        </ns0:is>
      </ns0:c>
      <ns0:c r="D134" s="4" t="inlineStr">
        <ns0:is>
          <ns0:t xml:space="preserve">Each Adjust entry handles one stock_item (a product/package-size combination), Add or Remove, positive whole-number quantity and mandatory reason. Prevent negative balance. All packaging/quantities stay in Stock Management.</ns0:t>
        </ns0:is>
      </ns0:c>
      <ns0:c r="E134" s="4" t="inlineStr">
        <ns0:is>
          <ns0:t xml:space="preserve">FB-055–FB-056</ns0:t>
        </ns0:is>
      </ns0:c>
      <ns0:c r="F134" s="4" t="inlineStr">
        <ns0:is>
          <ns0:t xml:space="preserve">Stories!B61</ns0:t>
        </ns0:is>
      </ns0:c>
    </ns0:row>
    <ns0:row r="135" ht="61" customHeight="1">
      <ns0:c r="A135" s="28" t="inlineStr">
        <ns0:is>
          <ns0:t xml:space="preserve">REQ-132</ns0:t>
        </ns0:is>
      </ns0:c>
      <ns0:c r="B135" s="28" t="inlineStr">
        <ns0:is>
          <ns0:t xml:space="preserve">Inventory management — first version, planning complete</ns0:t>
        </ns0:is>
      </ns0:c>
      <ns0:c r="C135" s="28" t="inlineStr">
        <ns0:is>
          <ns0:t xml:space="preserve">Current scope</ns0:t>
        </ns0:is>
      </ns0:c>
      <ns0:c r="D135" s="28" t="inlineStr">
        <ns0:is>
          <ns0: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ns0:t>
        </ns0:is>
      </ns0:c>
      <ns0:c r="E135" s="28" t="inlineStr">
        <ns0:is>
          <ns0:t xml:space="preserve">FB-054, FB-056, FB-063, FB-068</ns0:t>
        </ns0:is>
      </ns0:c>
      <ns0:c r="F135" s="28" t="inlineStr">
        <ns0:is>
          <ns0:t xml:space="preserve">Stories!B58</ns0:t>
        </ns0:is>
      </ns0:c>
    </ns0:row>
    <ns0:row r="136" ht="61" customHeight="1">
      <ns0:c r="A136" s="4" t="inlineStr">
        <ns0:is>
          <ns0:t xml:space="preserve">REQ-133</ns0:t>
        </ns0:is>
      </ns0:c>
      <ns0:c r="B136" s="4" t="inlineStr">
        <ns0:is>
          <ns0:t xml:space="preserve">Inventory management — first version, planning complete</ns0:t>
        </ns0:is>
      </ns0:c>
      <ns0:c r="C136" s="4" t="inlineStr">
        <ns0:is>
          <ns0:t xml:space="preserve">Current scope</ns0:t>
        </ns0:is>
      </ns0:c>
      <ns0:c r="D136" s="4" t="inlineStr">
        <ns0:is>
          <ns0: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ns0:t>
        </ns0:is>
      </ns0:c>
      <ns0:c r="E136" s="4" t="inlineStr">
        <ns0:is>
          <ns0:t xml:space="preserve">FB-054, FB-066</ns0:t>
        </ns0:is>
      </ns0:c>
      <ns0:c r="F136" s="4" t="inlineStr">
        <ns0:is>
          <ns0:t xml:space="preserve">Stories!B58</ns0:t>
        </ns0:is>
      </ns0:c>
    </ns0:row>
    <ns0:row r="137" ht="52" customHeight="1">
      <ns0:c r="A137" s="28" t="inlineStr">
        <ns0:is>
          <ns0:t xml:space="preserve">REQ-134</ns0:t>
        </ns0:is>
      </ns0:c>
      <ns0:c r="B137" s="28" t="inlineStr">
        <ns0:is>
          <ns0:t xml:space="preserve">Inventory management — first version, planning complete</ns0:t>
        </ns0:is>
      </ns0:c>
      <ns0:c r="C137" s="28" t="inlineStr">
        <ns0:is>
          <ns0:t xml:space="preserve">Current scope</ns0:t>
        </ns0:is>
      </ns0:c>
      <ns0:c r="D137" s="28" t="inlineStr">
        <ns0:is>
          <ns0:t xml:space="preserve">History entries come from recorded movements automatically; users do not enter them separately. This inventory history is distinct from the broader account activity history deferred to future work.</ns0:t>
        </ns0:is>
      </ns0:c>
      <ns0:c r="E137" s="28" t="inlineStr">
        <ns0:is>
          <ns0:t xml:space="preserve">FB-054, FB-056, FB-063, FB-068</ns0:t>
        </ns0:is>
      </ns0:c>
      <ns0:c r="F137" s="28" t="inlineStr">
        <ns0:is>
          <ns0:t xml:space="preserve">Stories!B58</ns0:t>
        </ns0:is>
      </ns0:c>
    </ns0:row>
    <ns0:row r="138" ht="61" customHeight="1">
      <ns0:c r="A138" s="4" t="inlineStr">
        <ns0:is>
          <ns0:t xml:space="preserve">REQ-135</ns0:t>
        </ns0:is>
      </ns0:c>
      <ns0:c r="B138" s="4" t="inlineStr">
        <ns0:is>
          <ns0:t xml:space="preserve">Inventory management — first version, planning complete</ns0:t>
        </ns0:is>
      </ns0:c>
      <ns0:c r="C138" s="4" t="inlineStr">
        <ns0:is>
          <ns0:t xml:space="preserve">Current scope</ns0:t>
        </ns0:is>
      </ns0:c>
      <ns0:c r="D138" s="4" t="inlineStr">
        <ns0:is>
          <ns0:t xml:space="preserve">Saved stock movements cannot be edited or deleted in version one. Correct stock quantities through new adjustments with required reasons, preserving both the original movement and its correction in history.</ns0:t>
        </ns0:is>
      </ns0:c>
      <ns0:c r="E138" s="4" t="inlineStr">
        <ns0:is>
          <ns0:t xml:space="preserve">FB-054, FB-056, FB-063, FB-068</ns0:t>
        </ns0:is>
      </ns0:c>
      <ns0:c r="F138" s="4" t="inlineStr">
        <ns0:is>
          <ns0:t xml:space="preserve">Stories!B58</ns0:t>
        </ns0:is>
      </ns0:c>
    </ns0:row>
    <ns0:row r="139" ht="52" customHeight="1">
      <ns0:c r="A139" s="28" t="inlineStr">
        <ns0:is>
          <ns0:t xml:space="preserve">REQ-136</ns0:t>
        </ns0:is>
      </ns0:c>
      <ns0:c r="B139" s="28" t="inlineStr">
        <ns0:is>
          <ns0:t xml:space="preserve">Inventory management — first version, planning complete</ns0:t>
        </ns0:is>
      </ns0:c>
      <ns0:c r="C139" s="28" t="inlineStr">
        <ns0:is>
          <ns0:t xml:space="preserve">Current scope</ns0:t>
        </ns0:is>
      </ns0:c>
      <ns0:c r="D139" s="28" t="inlineStr">
        <ns0:is>
          <ns0:t xml:space="preserve">2026-10-29 approved module separation: Creating a catalogue product creates no stock quantity. Stock Management starts its stock records at zero and records opening stock through Receive so each quantity has an origin.</ns0:t>
        </ns0:is>
      </ns0:c>
      <ns0:c r="E139" s="28" t="inlineStr">
        <ns0:is>
          <ns0:t xml:space="preserve">FB-049–FB-052</ns0:t>
        </ns0:is>
      </ns0:c>
      <ns0:c r="F139" s="28" t="inlineStr">
        <ns0:is>
          <ns0:t xml:space="preserve">Stories!B53</ns0:t>
        </ns0:is>
      </ns0:c>
    </ns0:row>
    <ns0:row r="140" ht="61" customHeight="1">
      <ns0:c r="A140" s="4" t="inlineStr">
        <ns0:is>
          <ns0:t xml:space="preserve">REQ-137</ns0:t>
        </ns0:is>
      </ns0:c>
      <ns0:c r="B140" s="4" t="inlineStr">
        <ns0:is>
          <ns0:t xml:space="preserve">Inventory management — first version, planning complete</ns0:t>
        </ns0:is>
      </ns0:c>
      <ns0:c r="C140" s="4" t="inlineStr">
        <ns0:is>
          <ns0:t xml:space="preserve">Current scope</ns0:t>
        </ns0:is>
      </ns0:c>
      <ns0:c r="D140" s="4" t="inlineStr">
        <ns0:is>
          <ns0: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ns0:t>
        </ns0:is>
      </ns0:c>
      <ns0:c r="E140" s="4" t="inlineStr">
        <ns0:is>
          <ns0:t xml:space="preserve">FB-048, FB-053</ns0:t>
        </ns0:is>
      </ns0:c>
      <ns0:c r="F140" s="4" t="inlineStr">
        <ns0:is>
          <ns0:t xml:space="preserve">Stories!B50</ns0:t>
        </ns0:is>
      </ns0:c>
    </ns0:row>
    <ns0:row r="141" ht="52" customHeight="1">
      <ns0:c r="A141" s="28" t="inlineStr">
        <ns0:is>
          <ns0:t xml:space="preserve">REQ-138</ns0:t>
        </ns0:is>
      </ns0:c>
      <ns0:c r="B141" s="28" t="inlineStr">
        <ns0:is>
          <ns0:t xml:space="preserve">Inventory management — first version, planning complete</ns0:t>
        </ns0:is>
      </ns0:c>
      <ns0:c r="C141" s="28" t="inlineStr">
        <ns0:is>
          <ns0:t xml:space="preserve">Current scope</ns0:t>
        </ns0:is>
      </ns0:c>
      <ns0:c r="D141" s="28" t="inlineStr">
        <ns0:is>
          <ns0: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ns0:t>
        </ns0:is>
      </ns0:c>
      <ns0:c r="E141" s="28" t="inlineStr">
        <ns0:is>
          <ns0:t xml:space="preserve">FB-053</ns0:t>
        </ns0:is>
      </ns0:c>
      <ns0:c r="F141" s="28" t="inlineStr">
        <ns0:is>
          <ns0:t xml:space="preserve">Stories!B57</ns0:t>
        </ns0:is>
      </ns0:c>
    </ns0:row>
    <ns0:row r="142" ht="61" customHeight="1">
      <ns0:c r="A142" s="4" t="inlineStr">
        <ns0:is>
          <ns0:t xml:space="preserve">REQ-139</ns0:t>
        </ns0:is>
      </ns0:c>
      <ns0:c r="B142" s="4" t="inlineStr">
        <ns0:is>
          <ns0:t xml:space="preserve">Inventory management — first version, planning complete</ns0:t>
        </ns0:is>
      </ns0:c>
      <ns0:c r="C142" s="4" t="inlineStr">
        <ns0:is>
          <ns0:t xml:space="preserve">Current scope</ns0:t>
        </ns0:is>
      </ns0:c>
      <ns0:c r="D142" s="4" t="inlineStr">
        <ns0:is>
          <ns0: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ns0:t>
        </ns0:is>
      </ns0:c>
      <ns0:c r="E142" s="4" t="inlineStr">
        <ns0:is>
          <ns0:t xml:space="preserve">FB-053</ns0:t>
        </ns0:is>
      </ns0:c>
      <ns0:c r="F142" s="4" t="inlineStr">
        <ns0:is>
          <ns0:t xml:space="preserve">Stories!B57</ns0:t>
        </ns0:is>
      </ns0:c>
    </ns0:row>
    <ns0:row r="143" ht="52" customHeight="1">
      <ns0:c r="A143" s="28" t="inlineStr">
        <ns0:is>
          <ns0:t xml:space="preserve">REQ-140</ns0:t>
        </ns0:is>
      </ns0:c>
      <ns0:c r="B143" s="28" t="inlineStr">
        <ns0:is>
          <ns0:t xml:space="preserve">Inventory management — first version, planning complete</ns0:t>
        </ns0:is>
      </ns0:c>
      <ns0:c r="C143" s="28" t="inlineStr">
        <ns0:is>
          <ns0:t xml:space="preserve">Current scope</ns0:t>
        </ns0:is>
      </ns0:c>
      <ns0:c r="D143" s="28" t="inlineStr">
        <ns0:is>
          <ns0:t xml:space="preserve">2026-10-29 approved module separation: Consistent stock measurement and readable summary formatting belong exclusively to Stock Management. General unit conversion/loose-weight movements remain future scope.</ns0:t>
        </ns0:is>
      </ns0:c>
      <ns0:c r="E143" s="28" t="inlineStr">
        <ns0:is>
          <ns0:t xml:space="preserve">FB-029, FB-034, FB-053, FB-065–FB-066</ns0:t>
        </ns0:is>
      </ns0:c>
      <ns0:c r="F143" s="28" t="inlineStr">
        <ns0:is>
          <ns0:t xml:space="preserve">Stories!B32</ns0:t>
        </ns0:is>
      </ns0:c>
    </ns0:row>
    <ns0:row r="144" ht="52" customHeight="1">
      <ns0:c r="A144" s="4" t="inlineStr">
        <ns0:is>
          <ns0:t xml:space="preserve">REQ-141</ns0:t>
        </ns0:is>
      </ns0:c>
      <ns0:c r="B144" s="4" t="inlineStr">
        <ns0:is>
          <ns0:t xml:space="preserve">Inventory management — first version, planning complete</ns0:t>
        </ns0:is>
      </ns0:c>
      <ns0:c r="C144" s="4" t="inlineStr">
        <ns0:is>
          <ns0:t xml:space="preserve">Current scope</ns0:t>
        </ns0:is>
      </ns0:c>
      <ns0:c r="D144" s="4" t="inlineStr">
        <ns0:is>
          <ns0:t xml:space="preserve">Managers and the Super Admin can create and edit departments, categories, subcategories, products, and tags.</ns0:t>
        </ns0:is>
      </ns0:c>
      <ns0:c r="E144" s="4" t="inlineStr">
        <ns0:is>
          <ns0:t xml:space="preserve">FB-031, FB-037, FB-048</ns0:t>
        </ns0:is>
      </ns0:c>
      <ns0:c r="F144" s="4" t="inlineStr">
        <ns0:is>
          <ns0:t xml:space="preserve">Stories!B34</ns0:t>
        </ns0:is>
      </ns0:c>
    </ns0:row>
    <ns0:row r="145" ht="61" customHeight="1">
      <ns0:c r="A145" s="28" t="inlineStr">
        <ns0:is>
          <ns0:t xml:space="preserve">REQ-142</ns0:t>
        </ns0:is>
      </ns0:c>
      <ns0:c r="B145" s="28" t="inlineStr">
        <ns0:is>
          <ns0:t xml:space="preserve">Inventory management — first version, planning complete</ns0:t>
        </ns0:is>
      </ns0:c>
      <ns0:c r="C145" s="28" t="inlineStr">
        <ns0:is>
          <ns0:t xml:space="preserve">Current scope</ns0:t>
        </ns0:is>
      </ns0:c>
      <ns0:c r="D145" s="28" t="inlineStr">
        <ns0:is>
          <ns0:t>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ns0:t>
        </ns0:is>
      </ns0:c>
      <ns0:c r="E145" s="28" t="inlineStr">
        <ns0:is>
          <ns0:t xml:space="preserve">FB-037–FB-046</ns0:t>
        </ns0:is>
      </ns0:c>
      <ns0:c r="F145" s="28" t="inlineStr">
        <ns0:is>
          <ns0:t xml:space="preserve">Stories!B39</ns0:t>
        </ns0:is>
      </ns0:c>
    </ns0:row>
    <ns0:row r="146" ht="52" customHeight="1">
      <ns0:c r="A146" s="4" t="inlineStr">
        <ns0:is>
          <ns0:t xml:space="preserve">REQ-143</ns0:t>
        </ns0:is>
      </ns0:c>
      <ns0:c r="B146" s="4" t="inlineStr">
        <ns0:is>
          <ns0:t xml:space="preserve">Inventory management — first version, planning complete</ns0:t>
        </ns0:is>
      </ns0:c>
      <ns0:c r="C146" s="4" t="inlineStr">
        <ns0:is>
          <ns0:t xml:space="preserve">Current scope</ns0:t>
        </ns0:is>
      </ns0:c>
      <ns0:c r="D146" s="4" t="inlineStr">
        <ns0:is>
          <ns0:t xml:space="preserve">Show 10 products per page. Search and filters apply across the full catalogue before results are divided into pages.</ns0:t>
        </ns0:is>
      </ns0:c>
      <ns0:c r="E146" s="4" t="inlineStr">
        <ns0:is>
          <ns0:t xml:space="preserve">FB-037–FB-046</ns0:t>
        </ns0:is>
      </ns0:c>
      <ns0:c r="F146" s="4" t="inlineStr">
        <ns0:is>
          <ns0:t xml:space="preserve">Stories!B39</ns0:t>
        </ns0:is>
      </ns0:c>
    </ns0:row>
    <ns0:row r="147" ht="52" customHeight="1">
      <ns0:c r="A147" s="28" t="inlineStr">
        <ns0:is>
          <ns0:t xml:space="preserve">REQ-144</ns0:t>
        </ns0:is>
      </ns0:c>
      <ns0:c r="B147" s="28" t="inlineStr">
        <ns0:is>
          <ns0:t xml:space="preserve">Inventory management — first version, planning complete</ns0:t>
        </ns0:is>
      </ns0:c>
      <ns0:c r="C147" s="28" t="inlineStr">
        <ns0:is>
          <ns0:t xml:space="preserve">Verification</ns0:t>
        </ns0:is>
      </ns0:c>
      <ns0:c r="D147" s="28" t="inlineStr">
        <ns0:is>
          <ns0:t xml:space="preserve">Inventory planning and the following verification checklist are approved. These are future checks; no implementation or successful tests are claimed.</ns0:t>
        </ns0:is>
      </ns0:c>
      <ns0:c r="E147" s="28" t="inlineStr">
        <ns0:is>
          <ns0:t xml:space="preserve">FB-067–FB-069</ns0:t>
        </ns0:is>
      </ns0:c>
      <ns0:c r="F147" s="28" t="inlineStr">
        <ns0:is>
          <ns0:t xml:space="preserve">Stories!B51</ns0:t>
        </ns0:is>
      </ns0:c>
    </ns0:row>
    <ns0:row r="148" ht="52" customHeight="1">
      <ns0:c r="A148" s="4" t="inlineStr">
        <ns0:is>
          <ns0:t xml:space="preserve">REQ-145</ns0:t>
        </ns0:is>
      </ns0:c>
      <ns0:c r="B148" s="4" t="inlineStr">
        <ns0:is>
          <ns0:t xml:space="preserve">Inventory management — first version, planning complete</ns0:t>
        </ns0:is>
      </ns0:c>
      <ns0:c r="C148" s="4" t="inlineStr">
        <ns0:is>
          <ns0:t xml:space="preserve">Verification</ns0:t>
        </ns0:is>
      </ns0:c>
      <ns0:c r="D148" s="4" t="inlineStr">
        <ns0:is>
          <ns0:t xml:space="preserve">Verify permanent codes, duplicate prevention, required fields, and units.</ns0:t>
        </ns0:is>
      </ns0:c>
      <ns0:c r="E148" s="4" t="inlineStr">
        <ns0:is>
          <ns0:t xml:space="preserve">FB-067, FB-069</ns0:t>
        </ns0:is>
      </ns0:c>
      <ns0:c r="F148" s="4" t="inlineStr">
        <ns0:is>
          <ns0:t xml:space="preserve">Stories!B51</ns0:t>
        </ns0:is>
      </ns0:c>
    </ns0:row>
    <ns0:row r="149" ht="52" customHeight="1">
      <ns0:c r="A149" s="28" t="inlineStr">
        <ns0:is>
          <ns0:t xml:space="preserve">REQ-146</ns0:t>
        </ns0:is>
      </ns0:c>
      <ns0:c r="B149" s="28" t="inlineStr">
        <ns0:is>
          <ns0:t xml:space="preserve">Inventory management — first version, planning complete</ns0:t>
        </ns0:is>
      </ns0:c>
      <ns0:c r="C149" s="28" t="inlineStr">
        <ns0:is>
          <ns0:t xml:space="preserve">Verification</ns0:t>
        </ns0:is>
      </ns0:c>
      <ns0:c r="D149" s="28" t="inlineStr">
        <ns0:is>
          <ns0:t xml:space="preserve">Verify Receive, Distribute, and Adjust balances; prevent negative stock, including when multiple users save simultaneously.</ns0:t>
        </ns0:is>
      </ns0:c>
      <ns0:c r="E149" s="28" t="inlineStr">
        <ns0:is>
          <ns0:t xml:space="preserve">FB-051, FB-052, FB-056, FB-063, FB-068, FB-069</ns0:t>
        </ns0:is>
      </ns0:c>
      <ns0:c r="F149" s="28" t="inlineStr">
        <ns0:is>
          <ns0:t xml:space="preserve">Stories!B55</ns0:t>
        </ns0:is>
      </ns0:c>
    </ns0:row>
    <ns0:row r="150" ht="52" customHeight="1">
      <ns0:c r="A150" s="4" t="inlineStr">
        <ns0:is>
          <ns0:t xml:space="preserve">REQ-147</ns0:t>
        </ns0:is>
      </ns0:c>
      <ns0:c r="B150" s="4" t="inlineStr">
        <ns0:is>
          <ns0:t xml:space="preserve">Inventory management — first version, planning complete</ns0:t>
        </ns0:is>
      </ns0:c>
      <ns0:c r="C150" s="4" t="inlineStr">
        <ns0:is>
          <ns0:t xml:space="preserve">Verification</ns0:t>
        </ns0:is>
      </ns0:c>
      <ns0:c r="D150" s="4" t="inlineStr">
        <ns0:is>
          <ns0:t xml:space="preserve">Verify multi-product entries save all movements together or none.</ns0:t>
        </ns0:is>
      </ns0:c>
      <ns0:c r="E150" s="4" t="inlineStr">
        <ns0:is>
          <ns0:t xml:space="preserve">FB-051, FB-063, FB-068, FB-069</ns0:t>
        </ns0:is>
      </ns0:c>
      <ns0:c r="F150" s="4" t="inlineStr">
        <ns0:is>
          <ns0:t xml:space="preserve">Stories!B55</ns0:t>
        </ns0:is>
      </ns0:c>
    </ns0:row>
    <ns0:row r="151" ht="52" customHeight="1">
      <ns0:c r="A151" s="28" t="inlineStr">
        <ns0:is>
          <ns0:t xml:space="preserve">REQ-148</ns0:t>
        </ns0:is>
      </ns0:c>
      <ns0:c r="B151" s="28" t="inlineStr">
        <ns0:is>
          <ns0:t xml:space="preserve">Inventory management — first version, planning complete</ns0:t>
        </ns0:is>
      </ns0:c>
      <ns0:c r="C151" s="28" t="inlineStr">
        <ns0:is>
          <ns0:t xml:space="preserve">Verification</ns0:t>
        </ns0:is>
      </ns0:c>
      <ns0:c r="D151" s="28" t="inlineStr">
        <ns0:is>
          <ns0:t xml:space="preserve">Verify whole-package movements, one row per product, and correct unit conversion and summary calculations/display.</ns0:t>
        </ns0:is>
      </ns0:c>
      <ns0:c r="E151" s="28" t="inlineStr">
        <ns0:is>
          <ns0:t xml:space="preserve">FB-050, FB-061, FB-065, FB-066, FB-068, FB-069</ns0:t>
        </ns0:is>
      </ns0:c>
      <ns0:c r="F151" s="28" t="inlineStr">
        <ns0:is>
          <ns0:t xml:space="preserve">Stories!B54</ns0:t>
        </ns0:is>
      </ns0:c>
    </ns0:row>
    <ns0:row r="152" ht="52" customHeight="1">
      <ns0:c r="A152" s="4" t="inlineStr">
        <ns0:is>
          <ns0:t xml:space="preserve">REQ-149</ns0:t>
        </ns0:is>
      </ns0:c>
      <ns0:c r="B152" s="4" t="inlineStr">
        <ns0:is>
          <ns0:t xml:space="preserve">Inventory management — first version, planning complete</ns0:t>
        </ns0:is>
      </ns0:c>
      <ns0:c r="C152" s="4" t="inlineStr">
        <ns0:is>
          <ns0:t xml:space="preserve">Verification</ns0:t>
        </ns0:is>
      </ns0:c>
      <ns0:c r="D152" s="4" t="inlineStr">
        <ns0:is>
          <ns0:t xml:space="preserve">Verify inactive-product restrictions, zero stock before deactivation, and protected contents/units after movements.</ns0:t>
        </ns0:is>
      </ns0:c>
      <ns0:c r="E152" s="4" t="inlineStr">
        <ns0:is>
          <ns0:t xml:space="preserve">FB-048, FB-053, FB-068, FB-069</ns0:t>
        </ns0:is>
      </ns0:c>
      <ns0:c r="F152" s="4" t="inlineStr">
        <ns0:is>
          <ns0:t xml:space="preserve">Stories!B50</ns0:t>
        </ns0:is>
      </ns0:c>
    </ns0:row>
    <ns0:row r="153" ht="52" customHeight="1">
      <ns0:c r="A153" s="28" t="inlineStr">
        <ns0:is>
          <ns0:t xml:space="preserve">REQ-150</ns0:t>
        </ns0:is>
      </ns0:c>
      <ns0:c r="B153" s="28" t="inlineStr">
        <ns0:is>
          <ns0:t xml:space="preserve">Inventory management — first version, planning complete</ns0:t>
        </ns0:is>
      </ns0:c>
      <ns0:c r="C153" s="28" t="inlineStr">
        <ns0:is>
          <ns0:t xml:space="preserve">Verification</ns0:t>
        </ns0:is>
      </ns0:c>
      <ns0:c r="D153" s="28" t="inlineStr">
        <ns0:is>
          <ns0:t xml:space="preserve">Verify role permissions on the server, including direct requests: volunteers may record movements and view balances, but cannot edit the catalogue or view history.</ns0:t>
        </ns0:is>
      </ns0:c>
      <ns0:c r="E153" s="28" t="inlineStr">
        <ns0:is>
          <ns0:t xml:space="preserve">FB-067, FB-051, FB-054, FB-056, FB-063, FB-066, FB-068, FB-069</ns0:t>
        </ns0:is>
      </ns0:c>
      <ns0:c r="F153" s="28" t="inlineStr">
        <ns0:is>
          <ns0:t xml:space="preserve">Stories!B51</ns0:t>
        </ns0:is>
      </ns0:c>
    </ns0:row>
    <ns0:row r="154" ht="52" customHeight="1">
      <ns0:c r="A154" s="4" t="inlineStr">
        <ns0:is>
          <ns0:t xml:space="preserve">REQ-151</ns0:t>
        </ns0:is>
      </ns0:c>
      <ns0:c r="B154" s="4" t="inlineStr">
        <ns0:is>
          <ns0:t xml:space="preserve">Inventory management — first version, planning complete</ns0:t>
        </ns0:is>
      </ns0:c>
      <ns0:c r="C154" s="4" t="inlineStr">
        <ns0:is>
          <ns0:t xml:space="preserve">Verification</ns0:t>
        </ns0:is>
      </ns0:c>
      <ns0:c r="D154" s="4" t="inlineStr">
        <ns0:is>
          <ns0:t xml:space="preserve">Verify search, filters, pagination, household selection, confirmation, errors, retained input, and success feedback.</ns0:t>
        </ns0:is>
      </ns0:c>
      <ns0:c r="E154" s="4" t="inlineStr">
        <ns0:is>
          <ns0:t xml:space="preserve">FB-067, FB-052, FB-058, FB-060, FB-062, FB-064, FB-068, FB-069</ns0:t>
        </ns0:is>
      </ns0:c>
      <ns0:c r="F154" s="4" t="inlineStr">
        <ns0:is>
          <ns0:t xml:space="preserve">Stories!B51</ns0:t>
        </ns0:is>
      </ns0:c>
    </ns0:row>
    <ns0:row r="155" ht="52" customHeight="1">
      <ns0:c r="A155" s="28" t="inlineStr">
        <ns0:is>
          <ns0:t xml:space="preserve">REQ-152</ns0:t>
        </ns0:is>
      </ns0:c>
      <ns0:c r="B155" s="28" t="inlineStr">
        <ns0:is>
          <ns0:t xml:space="preserve">##FUTURE — Confirmed future direction</ns0:t>
        </ns0:is>
      </ns0:c>
      <ns0:c r="C155" s="28" t="inlineStr">
        <ns0:is>
          <ns0:t xml:space="preserve">##FUTURE</ns0:t>
        </ns0:is>
      </ns0:c>
      <ns0:c r="D155" s="28" t="inlineStr">
        <ns0:is>
          <ns0:t xml:space="preserve">##FUTURE Batch and expiry tracking, including separate expiry dates for different deliveries of the same product. Version one tracks stock at product level without batch or expiry balances.</ns0:t>
        </ns0:is>
      </ns0:c>
      <ns0:c r="E155" s="28" t="inlineStr">
        <ns0:is>
          <ns0:t xml:space="preserve">Deferred — no current item</ns0:t>
        </ns0:is>
      </ns0:c>
      <ns0:c r="F155" s="28" t="inlineStr">
        <ns0:is>
          <ns0:t xml:space="preserve">Deferred</ns0:t>
        </ns0:is>
      </ns0:c>
    </ns0:row>
    <ns0:row r="156" ht="52" customHeight="1">
      <ns0:c r="A156" s="4" t="inlineStr">
        <ns0:is>
          <ns0:t xml:space="preserve">REQ-153</ns0:t>
        </ns0:is>
      </ns0:c>
      <ns0:c r="B156" s="4" t="inlineStr">
        <ns0:is>
          <ns0:t xml:space="preserve">##FUTURE — Confirmed future direction</ns0:t>
        </ns0:is>
      </ns0:c>
      <ns0:c r="C156" s="4" t="inlineStr">
        <ns0:is>
          <ns0:t xml:space="preserve">##FUTURE</ns0:t>
        </ns0:is>
      </ns0:c>
      <ns0:c r="D156" s="4" t="inlineStr">
        <ns0:is>
          <ns0:t xml:space="preserve">##FUTURE Donation management module; detailed requirements remain undecided.</ns0:t>
        </ns0:is>
      </ns0:c>
      <ns0:c r="E156" s="4" t="inlineStr">
        <ns0:is>
          <ns0:t xml:space="preserve">Deferred — no current item</ns0:t>
        </ns0:is>
      </ns0:c>
      <ns0:c r="F156" s="4" t="inlineStr">
        <ns0:is>
          <ns0:t xml:space="preserve">Deferred</ns0:t>
        </ns0:is>
      </ns0:c>
    </ns0:row>
    <ns0:row r="157" ht="52" customHeight="1">
      <ns0:c r="A157" s="28" t="inlineStr">
        <ns0:is>
          <ns0:t xml:space="preserve">REQ-154</ns0:t>
        </ns0:is>
      </ns0:c>
      <ns0:c r="B157" s="28" t="inlineStr">
        <ns0:is>
          <ns0:t xml:space="preserve">##FUTURE — Confirmed future direction</ns0:t>
        </ns0:is>
      </ns0:c>
      <ns0:c r="C157" s="28" t="inlineStr">
        <ns0:is>
          <ns0:t xml:space="preserve">##FUTURE</ns0:t>
        </ns0:is>
      </ns0:c>
      <ns0:c r="D157" s="28" t="inlineStr">
        <ns0:is>
          <ns0:t xml:space="preserve">##FUTURE Purchase management module; detailed requirements remain undecided.</ns0:t>
        </ns0:is>
      </ns0:c>
      <ns0:c r="E157" s="28" t="inlineStr">
        <ns0:is>
          <ns0:t xml:space="preserve">Deferred — no current item</ns0:t>
        </ns0:is>
      </ns0:c>
      <ns0:c r="F157" s="28" t="inlineStr">
        <ns0:is>
          <ns0:t xml:space="preserve">Deferred</ns0:t>
        </ns0:is>
      </ns0:c>
    </ns0:row>
    <ns0:row r="158" ht="52" customHeight="1">
      <ns0:c r="A158" s="4" t="inlineStr">
        <ns0:is>
          <ns0:t xml:space="preserve">REQ-155</ns0:t>
        </ns0:is>
      </ns0:c>
      <ns0:c r="B158" s="4" t="inlineStr">
        <ns0:is>
          <ns0:t xml:space="preserve">##FUTURE — Confirmed future direction</ns0:t>
        </ns0:is>
      </ns0:c>
      <ns0:c r="C158" s="4" t="inlineStr">
        <ns0:is>
          <ns0:t xml:space="preserve">##FUTURE</ns0:t>
        </ns0:is>
      </ns0:c>
      <ns0:c r="D158" s="4" t="inlineStr">
        <ns0:is>
          <ns0:t xml:space="preserve">##FUTURE Stock tracking by location.</ns0:t>
        </ns0:is>
      </ns0:c>
      <ns0:c r="E158" s="4" t="inlineStr">
        <ns0:is>
          <ns0:t xml:space="preserve">Deferred — no current item</ns0:t>
        </ns0:is>
      </ns0:c>
      <ns0:c r="F158" s="4" t="inlineStr">
        <ns0:is>
          <ns0:t xml:space="preserve">Deferred</ns0:t>
        </ns0:is>
      </ns0:c>
    </ns0:row>
    <ns0:row r="159" ht="52" customHeight="1">
      <ns0:c r="A159" s="28" t="inlineStr">
        <ns0:is>
          <ns0:t xml:space="preserve">REQ-156</ns0:t>
        </ns0:is>
      </ns0:c>
      <ns0:c r="B159" s="28" t="inlineStr">
        <ns0:is>
          <ns0:t xml:space="preserve">##FUTURE — Confirmed future direction</ns0:t>
        </ns0:is>
      </ns0:c>
      <ns0:c r="C159" s="28" t="inlineStr">
        <ns0:is>
          <ns0:t xml:space="preserve">##FUTURE</ns0:t>
        </ns0:is>
      </ns0:c>
      <ns0:c r="D159" s="28" t="inlineStr">
        <ns0:is>
          <ns0:t xml:space="preserve">##FUTURE Inventory quantities measured by loose weight and conversions between units. Detailed requirements remain undecided.</ns0:t>
        </ns0:is>
      </ns0:c>
      <ns0:c r="E159" s="28" t="inlineStr">
        <ns0:is>
          <ns0:t xml:space="preserve">Deferred — no current item</ns0:t>
        </ns0:is>
      </ns0:c>
      <ns0:c r="F159" s="28" t="inlineStr">
        <ns0:is>
          <ns0:t xml:space="preserve">Deferred</ns0:t>
        </ns0:is>
      </ns0:c>
    </ns0:row>
    <ns0:row r="160" ht="52" customHeight="1">
      <ns0:c r="A160" s="4" t="inlineStr">
        <ns0:is>
          <ns0:t xml:space="preserve">REQ-157</ns0:t>
        </ns0:is>
      </ns0:c>
      <ns0:c r="B160" s="4" t="inlineStr">
        <ns0:is>
          <ns0:t xml:space="preserve">##FUTURE — Confirmed future direction</ns0:t>
        </ns0:is>
      </ns0:c>
      <ns0:c r="C160" s="4" t="inlineStr">
        <ns0:is>
          <ns0:t xml:space="preserve">##FUTURE</ns0:t>
        </ns0:is>
      </ns0:c>
      <ns0:c r="D160" s="4" t="inlineStr">
        <ns0:is>
          <ns0:t xml:space="preserve">##FUTURE Activity history recording who created, edited, activated, deactivated, or reset an account. Detailed requirements remain undecided.</ns0:t>
        </ns0:is>
      </ns0:c>
      <ns0:c r="E160" s="4" t="inlineStr">
        <ns0:is>
          <ns0:t xml:space="preserve">Deferred — no current item</ns0:t>
        </ns0:is>
      </ns0:c>
      <ns0:c r="F160" s="4" t="inlineStr">
        <ns0:is>
          <ns0:t xml:space="preserve">Deferred</ns0:t>
        </ns0:is>
      </ns0:c>
    </ns0:row>
    <ns0:row r="161" ht="52" customHeight="1">
      <ns0:c r="A161" s="28" t="inlineStr">
        <ns0:is>
          <ns0:t xml:space="preserve">REQ-158</ns0:t>
        </ns0:is>
      </ns0:c>
      <ns0:c r="B161" s="28" t="inlineStr">
        <ns0:is>
          <ns0:t xml:space="preserve">##FUTURE — Confirmed future direction</ns0:t>
        </ns0:is>
      </ns0:c>
      <ns0:c r="C161" s="28" t="inlineStr">
        <ns0:is>
          <ns0:t xml:space="preserve">##FUTURE</ns0:t>
        </ns0:is>
      </ns0:c>
      <ns0:c r="D161" s="28" t="inlineStr">
        <ns0:is>
          <ns0:t xml:space="preserve">##FUTURE Household registration and management.</ns0:t>
        </ns0:is>
      </ns0:c>
      <ns0:c r="E161" s="28" t="inlineStr">
        <ns0:is>
          <ns0:t xml:space="preserve">Deferred — no current item</ns0:t>
        </ns0:is>
      </ns0:c>
      <ns0:c r="F161" s="28" t="inlineStr">
        <ns0:is>
          <ns0:t xml:space="preserve">Deferred</ns0:t>
        </ns0:is>
      </ns0:c>
    </ns0:row>
    <ns0:row r="162" ht="52" customHeight="1">
      <ns0:c r="A162" s="4" t="inlineStr">
        <ns0:is>
          <ns0:t xml:space="preserve">REQ-159</ns0:t>
        </ns0:is>
      </ns0:c>
      <ns0:c r="B162" s="4" t="inlineStr">
        <ns0:is>
          <ns0:t xml:space="preserve">##FUTURE — Confirmed future direction</ns0:t>
        </ns0:is>
      </ns0:c>
      <ns0:c r="C162" s="4" t="inlineStr">
        <ns0:is>
          <ns0:t xml:space="preserve">##FUTURE</ns0:t>
        </ns0:is>
      </ns0:c>
      <ns0:c r="D162" s="4" t="inlineStr">
        <ns0:is>
          <ns0:t xml:space="preserve">##FUTURE Appointment management.</ns0:t>
        </ns0:is>
      </ns0:c>
      <ns0:c r="E162" s="4" t="inlineStr">
        <ns0:is>
          <ns0:t xml:space="preserve">Deferred — no current item</ns0:t>
        </ns0:is>
      </ns0:c>
      <ns0:c r="F162" s="4" t="inlineStr">
        <ns0:is>
          <ns0:t xml:space="preserve">Deferred</ns0:t>
        </ns0:is>
      </ns0:c>
    </ns0:row>
    <ns0:row r="163" ht="52" customHeight="1">
      <ns0:c r="A163" s="28" t="inlineStr">
        <ns0:is>
          <ns0:t xml:space="preserve">REQ-160</ns0:t>
        </ns0:is>
      </ns0:c>
      <ns0:c r="B163" s="28" t="inlineStr">
        <ns0:is>
          <ns0:t xml:space="preserve">##FUTURE — Confirmed future direction</ns0:t>
        </ns0:is>
      </ns0:c>
      <ns0:c r="C163" s="28" t="inlineStr">
        <ns0:is>
          <ns0:t xml:space="preserve">##FUTURE</ns0:t>
        </ns0:is>
      </ns0:c>
      <ns0:c r="D163" s="28" t="inlineStr">
        <ns0:is>
          <ns0:t xml:space="preserve">##FUTURE Email-based initial password setup links.</ns0:t>
        </ns0:is>
      </ns0:c>
      <ns0:c r="E163" s="28" t="inlineStr">
        <ns0:is>
          <ns0:t xml:space="preserve">Deferred — no current item</ns0:t>
        </ns0:is>
      </ns0:c>
      <ns0:c r="F163" s="28" t="inlineStr">
        <ns0:is>
          <ns0:t xml:space="preserve">Deferred</ns0:t>
        </ns0:is>
      </ns0:c>
    </ns0:row>
    <ns0:row r="164" ht="52" customHeight="1">
      <ns0:c r="A164" s="4" t="inlineStr">
        <ns0:is>
          <ns0:t xml:space="preserve">REQ-161</ns0:t>
        </ns0:is>
      </ns0:c>
      <ns0:c r="B164" s="4" t="inlineStr">
        <ns0:is>
          <ns0:t xml:space="preserve">##FUTURE — Confirmed future direction</ns0:t>
        </ns0:is>
      </ns0:c>
      <ns0:c r="C164" s="4" t="inlineStr">
        <ns0:is>
          <ns0:t xml:space="preserve">##FUTURE</ns0:t>
        </ns0:is>
      </ns0:c>
      <ns0:c r="D164" s="4"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64" s="4" t="inlineStr">
        <ns0:is>
          <ns0:t xml:space="preserve">Deferred — no current item</ns0:t>
        </ns0:is>
      </ns0:c>
      <ns0:c r="F164" s="4" t="inlineStr">
        <ns0:is>
          <ns0:t xml:space="preserve">Deferred</ns0:t>
        </ns0:is>
      </ns0:c>
    </ns0:row>
    <ns0:row r="165" ht="52" customHeight="1">
      <ns0:c r="A165" s="28" t="inlineStr">
        <ns0:is>
          <ns0:t xml:space="preserve">REQ-162</ns0:t>
        </ns0:is>
      </ns0:c>
      <ns0:c r="B165" s="28" t="inlineStr">
        <ns0:is>
          <ns0:t xml:space="preserve">##FUTURE — Confirmed future direction</ns0:t>
        </ns0:is>
      </ns0:c>
      <ns0:c r="C165" s="28" t="inlineStr">
        <ns0:is>
          <ns0:t xml:space="preserve">##FUTURE</ns0:t>
        </ns0:is>
      </ns0:c>
      <ns0:c r="D165" s="28" t="inlineStr">
        <ns0:is>
          <ns0:t xml:space="preserve">##FUTURE Self-service profile editing (name, email, and phone).</ns0:t>
        </ns0:is>
      </ns0:c>
      <ns0:c r="E165" s="28" t="inlineStr">
        <ns0:is>
          <ns0:t xml:space="preserve">Deferred — no current item</ns0:t>
        </ns0:is>
      </ns0:c>
      <ns0:c r="F165" s="28" t="inlineStr">
        <ns0:is>
          <ns0:t xml:space="preserve">Deferred</ns0:t>
        </ns0:is>
      </ns0:c>
    </ns0:row>
    <ns0:row r="166" ht="52" customHeight="1">
      <ns0:c r="A166" s="4" t="inlineStr">
        <ns0:is>
          <ns0:t xml:space="preserve">REQ-163</ns0:t>
        </ns0:is>
      </ns0:c>
      <ns0:c r="B166" s="4" t="inlineStr">
        <ns0:is>
          <ns0:t xml:space="preserve">##FUTURE — Confirmed future direction</ns0:t>
        </ns0:is>
      </ns0:c>
      <ns0:c r="C166" s="4" t="inlineStr">
        <ns0:is>
          <ns0:t xml:space="preserve">##FUTURE</ns0:t>
        </ns0:is>
      </ns0:c>
      <ns0:c r="D166" s="4" t="inlineStr">
        <ns0:is>
          <ns0:t xml:space="preserve">##FUTURE Volunteer deletion; deletion and record-retention rules remain undecided.</ns0:t>
        </ns0:is>
      </ns0:c>
      <ns0:c r="E166" s="4" t="inlineStr">
        <ns0:is>
          <ns0:t xml:space="preserve">Deferred — no current item</ns0:t>
        </ns0:is>
      </ns0:c>
      <ns0:c r="F166" s="4" t="inlineStr">
        <ns0:is>
          <ns0:t xml:space="preserve">Deferred</ns0:t>
        </ns0:is>
      </ns0:c>
    </ns0:row>
    <ns0:row r="167" ht="52" customHeight="1">
      <ns0:c r="A167" s="28" t="inlineStr">
        <ns0:is>
          <ns0:t xml:space="preserve">REQ-164</ns0:t>
        </ns0:is>
      </ns0:c>
      <ns0:c r="B167" s="28" t="inlineStr">
        <ns0:is>
          <ns0:t xml:space="preserve">##FUTURE — Confirmed future direction</ns0:t>
        </ns0:is>
      </ns0:c>
      <ns0:c r="C167" s="28" t="inlineStr">
        <ns0:is>
          <ns0:t xml:space="preserve">##FUTURE</ns0:t>
        </ns0:is>
      </ns0:c>
      <ns0:c r="D167" s="28" t="inlineStr">
        <ns0:is>
          <ns0:t xml:space="preserve">##FUTURE Broader volunteer module, beyond basic data management; specific capabilities still need discussion.</ns0:t>
        </ns0:is>
      </ns0:c>
      <ns0:c r="E167" s="28" t="inlineStr">
        <ns0:is>
          <ns0:t xml:space="preserve">Deferred — no current item</ns0:t>
        </ns0:is>
      </ns0:c>
      <ns0:c r="F167" s="28" t="inlineStr">
        <ns0:is>
          <ns0:t xml:space="preserve">Deferred</ns0:t>
        </ns0:is>
      </ns0:c>
    </ns0:row>
    <ns0:row r="168" ht="52" customHeight="1">
      <ns0:c r="A168" s="4" t="inlineStr">
        <ns0:is>
          <ns0:t xml:space="preserve">REQ-165</ns0:t>
        </ns0:is>
      </ns0:c>
      <ns0:c r="B168" s="4" t="inlineStr">
        <ns0:is>
          <ns0:t xml:space="preserve">##FUTURE — Confirmed future direction</ns0:t>
        </ns0:is>
      </ns0:c>
      <ns0:c r="C168" s="4" t="inlineStr">
        <ns0:is>
          <ns0:t xml:space="preserve">##FUTURE</ns0:t>
        </ns0:is>
      </ns0:c>
      <ns0:c r="D168" s="4" t="inlineStr">
        <ns0:is>
          <ns0:t xml:space="preserve">##FUTURE Additional roles, to be defined later.</ns0:t>
        </ns0:is>
      </ns0:c>
      <ns0:c r="E168" s="4" t="inlineStr">
        <ns0:is>
          <ns0:t xml:space="preserve">Deferred — no current item</ns0:t>
        </ns0:is>
      </ns0:c>
      <ns0:c r="F168" s="4" t="inlineStr">
        <ns0:is>
          <ns0:t xml:space="preserve">Deferred</ns0:t>
        </ns0:is>
      </ns0:c>
    </ns0:row>
    <ns0:row r="169" ht="52" customHeight="1">
      <ns0:c r="A169" s="28" t="inlineStr">
        <ns0:is>
          <ns0:t xml:space="preserve">REQ-166</ns0:t>
        </ns0:is>
      </ns0:c>
      <ns0:c r="B169" s="28" t="inlineStr">
        <ns0:is>
          <ns0:t xml:space="preserve">1. Roles and account creation</ns0:t>
        </ns0:is>
      </ns0:c>
      <ns0:c r="C169" s="28" t="inlineStr">
        <ns0:is>
          <ns0:t xml:space="preserve">Current scope</ns0:t>
        </ns0:is>
      </ns0:c>
      <ns0:c r="D169" s="28"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169" s="28" t="inlineStr">
        <ns0:is>
          <ns0:t xml:space="preserve">FB-021</ns0:t>
        </ns0:is>
      </ns0:c>
      <ns0:c r="F169" s="28" t="inlineStr">
        <ns0:is>
          <ns0:t xml:space="preserve">Stories!B25</ns0:t>
        </ns0:is>
      </ns0:c>
    </ns0:row>
    <ns0:row r="170" ht="76" customHeight="1">
      <ns0:c r="A170" s="4" t="inlineStr">
        <ns0:is>
          <ns0:t xml:space="preserve">REQ-167</ns0:t>
        </ns0:is>
      </ns0:c>
      <ns0:c r="B170" s="4" t="inlineStr">
        <ns0:is>
          <ns0:t xml:space="preserve">Business context</ns0:t>
        </ns0:is>
      </ns0:c>
      <ns0:c r="C170" s="4" t="inlineStr">
        <ns0:is>
          <ns0:t xml:space="preserve">Current scope</ns0:t>
        </ns0:is>
      </ns0:c>
      <ns0:c r="D170" s="4" t="inlineStr">
        <ns0:is>
          <ns0: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ns0:t>
        </ns0:is>
      </ns0:c>
      <ns0:c r="E170" s="4" t="inlineStr">
        <ns0:is>
          <ns0:t xml:space="preserve">FB-057</ns0:t>
        </ns0:is>
      </ns0:c>
      <ns0:c r="F170" s="4" t="inlineStr">
        <ns0:is>
          <ns0:t xml:space="preserve">Stories!B63</ns0:t>
        </ns0:is>
      </ns0:c>
    </ns0:row>
    <ns0:row r="171" ht="52" customHeight="1">
      <ns0:c r="A171" s="28" t="inlineStr">
        <ns0:is>
          <ns0:t xml:space="preserve">REQ-168</ns0:t>
        </ns0:is>
      </ns0:c>
      <ns0:c r="B171" s="28" t="inlineStr">
        <ns0:is>
          <ns0:t xml:space="preserve">Business context</ns0:t>
        </ns0:is>
      </ns0:c>
      <ns0:c r="C171" s="28" t="inlineStr">
        <ns0:is>
          <ns0:t xml:space="preserve">Current scope</ns0:t>
        </ns0:is>
      </ns0:c>
      <ns0:c r="D171" s="28" t="inlineStr">
        <ns0:is>
          <ns0:t xml:space="preserve">Food recipients belong to registered households.</ns0:t>
        </ns0:is>
      </ns0:c>
      <ns0:c r="E171" s="28" t="inlineStr">
        <ns0:is>
          <ns0:t xml:space="preserve">FB-057–FB-064</ns0:t>
        </ns0:is>
      </ns0:c>
      <ns0:c r="F171" s="28" t="inlineStr">
        <ns0:is>
          <ns0:t xml:space="preserve">Stories!B63</ns0:t>
        </ns0:is>
      </ns0:c>
    </ns0:row>
    <ns0:row r="172" ht="52" customHeight="1">
      <ns0:c r="A172" s="4" t="inlineStr">
        <ns0:is>
          <ns0:t xml:space="preserve">REQ-169</ns0:t>
        </ns0:is>
      </ns0:c>
      <ns0:c r="B172" s="4" t="inlineStr">
        <ns0:is>
          <ns0:t xml:space="preserve">Business context</ns0:t>
        </ns0:is>
      </ns0:c>
      <ns0:c r="C172" s="4" t="inlineStr">
        <ns0:is>
          <ns0:t xml:space="preserve">Current scope</ns0:t>
        </ns0:is>
      </ns0:c>
      <ns0:c r="D172" s="4" t="inlineStr">
        <ns0:is>
          <ns0:t xml:space="preserve">Assume households have appointments when they arrive to receive food.</ns0:t>
        </ns0:is>
      </ns0:c>
      <ns0:c r="E172" s="4" t="inlineStr">
        <ns0:is>
          <ns0:t xml:space="preserve">FB-057–FB-064</ns0:t>
        </ns0:is>
      </ns0:c>
      <ns0:c r="F172" s="4" t="inlineStr">
        <ns0:is>
          <ns0:t xml:space="preserve">Stories!B63</ns0:t>
        </ns0:is>
      </ns0:c>
    </ns0:row>
    <ns0:row r="173" ht="61" customHeight="1">
      <ns0:c r="A173" s="28" t="inlineStr">
        <ns0:is>
          <ns0:t xml:space="preserve">REQ-170</ns0:t>
        </ns0:is>
      </ns0:c>
      <ns0:c r="B173" s="28" t="inlineStr">
        <ns0:is>
          <ns0:t xml:space="preserve">Business context</ns0:t>
        </ns0:is>
      </ns0:c>
      <ns0:c r="C173" s="28" t="inlineStr">
        <ns0:is>
          <ns0:t xml:space="preserve">Current scope</ns0:t>
        </ns0:is>
      </ns0:c>
      <ns0:c r="D173" s="28" t="inlineStr">
        <ns0:is>
          <ns0: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ns0:t>
        </ns0:is>
      </ns0:c>
      <ns0:c r="E173" s="28" t="inlineStr">
        <ns0:is>
          <ns0:t xml:space="preserve">FB-057–FB-064</ns0:t>
        </ns0:is>
      </ns0:c>
      <ns0:c r="F173" s="28" t="inlineStr">
        <ns0:is>
          <ns0:t xml:space="preserve">Stories!B63</ns0:t>
        </ns0:is>
      </ns0:c>
    </ns0:row>
    <ns0:row r="174" ht="61" customHeight="1">
      <ns0:c r="A174" s="4" t="inlineStr">
        <ns0:is>
          <ns0:t xml:space="preserve">REQ-171</ns0:t>
        </ns0:is>
      </ns0:c>
      <ns0:c r="B174" s="4" t="inlineStr">
        <ns0:is>
          <ns0:t xml:space="preserve">Business context</ns0:t>
        </ns0:is>
      </ns0:c>
      <ns0:c r="C174" s="4" t="inlineStr">
        <ns0:is>
          <ns0:t xml:space="preserve">Current scope</ns0:t>
        </ns0:is>
      </ns0:c>
      <ns0:c r="D174" s="4" t="inlineStr">
        <ns0:is>
          <ns0:t xml:space="preserve">Inventory management and household distribution are approved for the first version as detailed above. Donation and purchase management remain future modules. Additional reporting beyond agreed subcategory totals and stock history has not been approved.</ns0:t>
        </ns0:is>
      </ns0:c>
      <ns0:c r="E174" s="4" t="inlineStr">
        <ns0:is>
          <ns0:t xml:space="preserve">FB-057–FB-064</ns0:t>
        </ns0:is>
      </ns0:c>
      <ns0:c r="F174" s="4" t="inlineStr">
        <ns0:is>
          <ns0:t xml:space="preserve">Stories!B63</ns0:t>
        </ns0:is>
      </ns0:c>
    </ns0:row>
    <ns0:row r="175" ht="61" customHeight="1">
      <ns0:c r="A175" s="28" t="inlineStr">
        <ns0:is>
          <ns0:t xml:space="preserve">REQ-172</ns0:t>
        </ns0:is>
      </ns0:c>
      <ns0:c r="B175" s="28" t="inlineStr">
        <ns0:is>
          <ns0:t xml:space="preserve">Build order</ns0:t>
        </ns0:is>
      </ns0:c>
      <ns0:c r="C175" s="28" t="inlineStr">
        <ns0:is>
          <ns0:t xml:space="preserve">Project context</ns0:t>
        </ns0:is>
      </ns0:c>
      <ns0:c r="D175" s="28" t="inlineStr">
        <ns0:is>
          <ns0: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E175" s="28" t="inlineStr">
        <ns0:is>
          <ns0:t xml:space="preserve">All current items</ns0:t>
        </ns0:is>
      </ns0:c>
      <ns0:c r="F175" s="28" t="inlineStr">
        <ns0:is>
          <ns0:t xml:space="preserve">Stories!B4</ns0:t>
        </ns0:is>
      </ns0:c>
    </ns0:row>
    <ns0:row r="176" ht="52" customHeight="1">
      <ns0:c r="A176" s="4" t="inlineStr">
        <ns0:is>
          <ns0:t xml:space="preserve">REQ-173</ns0:t>
        </ns0:is>
      </ns0:c>
      <ns0:c r="B176" s="4" t="inlineStr">
        <ns0:is>
          <ns0:t xml:space="preserve">Build order</ns0:t>
        </ns0:is>
      </ns0:c>
      <ns0:c r="C176" s="4" t="inlineStr">
        <ns0:is>
          <ns0:t xml:space="preserve">Project context</ns0:t>
        </ns0:is>
      </ns0:c>
      <ns0:c r="D176" s="4" t="inlineStr">
        <ns0:is>
          <ns0:t xml:space="preserve">Ask the developer to test first; test on their behalf only if delegated. A done response to test instructions confirms the developer tested it.</ns0:t>
        </ns0:is>
      </ns0:c>
      <ns0:c r="E176" s="4" t="inlineStr">
        <ns0:is>
          <ns0:t xml:space="preserve">All current items</ns0:t>
        </ns0:is>
      </ns0:c>
      <ns0:c r="F176" s="4" t="inlineStr">
        <ns0:is>
          <ns0:t xml:space="preserve">Stories!B4</ns0:t>
        </ns0:is>
      </ns0:c>
    </ns0:row>
    <ns0:row r="177" ht="100" customHeight="1">
      <ns0:c r="A177" s="28" t="inlineStr">
        <ns0:is>
          <ns0:t xml:space="preserve">REQ-174</ns0:t>
        </ns0:is>
      </ns0:c>
      <ns0:c r="B177" s="28" t="inlineStr">
        <ns0:is>
          <ns0:t xml:space="preserve">Build order</ns0:t>
        </ns0:is>
      </ns0:c>
      <ns0:c r="C177" s="28" t="inlineStr">
        <ns0:is>
          <ns0:t xml:space="preserve">Project context</ns0:t>
        </ns0:is>
      </ns0:c>
      <ns0:c r="D177" s="28" t="inlineStr">
        <ns0:is>
          <ns0: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ns0:t>
        </ns0:is>
      </ns0:c>
      <ns0:c r="E177" s="28" t="inlineStr">
        <ns0:is>
          <ns0:t xml:space="preserve">All current items</ns0:t>
        </ns0:is>
      </ns0:c>
      <ns0:c r="F177" s="28" t="inlineStr">
        <ns0:is>
          <ns0:t xml:space="preserve">Stories!B4</ns0:t>
        </ns0:is>
      </ns0:c>
    </ns0:row>
    <ns0:row r="178" ht="52" customHeight="1">
      <ns0:c r="A178" s="4" t="inlineStr">
        <ns0:is>
          <ns0:t xml:space="preserve">REQ-175</ns0:t>
        </ns0:is>
      </ns0:c>
      <ns0:c r="B178" s="4" t="inlineStr">
        <ns0:is>
          <ns0:t xml:space="preserve">Build order</ns0:t>
        </ns0:is>
      </ns0:c>
      <ns0:c r="C178" s="4" t="inlineStr">
        <ns0:is>
          <ns0:t xml:space="preserve">Project context</ns0:t>
        </ns0:is>
      </ns0:c>
      <ns0:c r="D178" s="4" t="inlineStr">
        <ns0:is>
          <ns0:t xml:space="preserve">Fixed ordering constraint: implement Super Admin recovery last.</ns0:t>
        </ns0:is>
      </ns0:c>
      <ns0:c r="E178" s="4" t="inlineStr">
        <ns0:is>
          <ns0:t xml:space="preserve">All current items</ns0:t>
        </ns0:is>
      </ns0:c>
      <ns0:c r="F178" s="4" t="inlineStr">
        <ns0:is>
          <ns0:t xml:space="preserve">Stories!B4</ns0:t>
        </ns0:is>
      </ns0:c>
    </ns0:row>
    <ns0:row r="179" ht="110" customHeight="1">
      <ns0:c r="A179" s="9" t="inlineStr">
        <ns0:is>
          <ns0:t xml:space="preserve">REQ-176</ns0:t>
        </ns0:is>
      </ns0:c>
      <ns0:c r="B179" s="9" t="inlineStr">
        <ns0:is>
          <ns0:t xml:space="preserve">Login design</ns0:t>
        </ns0:is>
      </ns0:c>
      <ns0:c r="C179" s="9" t="inlineStr">
        <ns0:is>
          <ns0:t xml:space="preserve">Current scope</ns0:t>
        </ns0:is>
      </ns0:c>
      <ns0:c r="D179" s="9" t="inlineStr">
        <ns0:is>
          <ns0: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ns0:t>
        </ns0:is>
      </ns0:c>
      <ns0:c r="E179" s="9" t="inlineStr">
        <ns0:is>
          <ns0:t xml:space="preserve">FB-002</ns0:t>
        </ns0:is>
      </ns0:c>
      <ns0:c r="F179" s="9" t="inlineStr">
        <ns0:is>
          <ns0:t xml:space="preserve">Stories!B5</ns0:t>
        </ns0:is>
      </ns0:c>
    </ns0:row>
    <ns0:row r="180" ht="110" customHeight="1">
      <ns0:c r="A180" s="4" t="inlineStr">
        <ns0:is>
          <ns0:t xml:space="preserve">REQ-177</ns0:t>
        </ns0:is>
      </ns0:c>
      <ns0:c r="B180" s="4" t="inlineStr">
        <ns0:is>
          <ns0:t xml:space="preserve">Login redesign task</ns0:t>
        </ns0:is>
      </ns0:c>
      <ns0:c r="C180" s="4" t="inlineStr">
        <ns0:is>
          <ns0:t xml:space="preserve">##FUTURE</ns0:t>
        </ns0:is>
      </ns0:c>
      <ns0:c r="D180" s="4" t="inlineStr">
        <ns0:is>
          <ns0: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ns0:t>
        </ns0:is>
      </ns0:c>
      <ns0:c r="E180" s="4" t="inlineStr">
        <ns0:is>
          <ns0:t xml:space="preserve">FB-002–FB-008 (prerequisites)</ns0:t>
        </ns0:is>
      </ns0:c>
      <ns0:c r="F180" s="4" t="inlineStr">
        <ns0:is>
          <ns0:t xml:space="preserve">Stories!B5</ns0:t>
        </ns0:is>
      </ns0:c>
    </ns0:row>
    <ns0:row r="181" ht="100" customHeight="1">
      <ns0:c r="A181" s="9" t="inlineStr">
        <ns0:is>
          <ns0:t xml:space="preserve">REQ-178</ns0:t>
        </ns0:is>
      </ns0:c>
      <ns0:c r="B181" s="9" t="inlineStr">
        <ns0:is>
          <ns0:t xml:space="preserve">Shared login: Remember me</ns0:t>
        </ns0:is>
      </ns0:c>
      <ns0:c r="C181" s="9" t="inlineStr">
        <ns0:is>
          <ns0:t xml:space="preserve">Current scope</ns0:t>
        </ns0:is>
      </ns0:c>
      <ns0:c r="D181" s="9" t="inlineStr">
        <ns0:is>
          <ns0: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81" s="9" t="inlineStr">
        <ns0:is>
          <ns0:t xml:space="preserve">FB-002, FB-003, FB-005</ns0:t>
        </ns0:is>
      </ns0:c>
      <ns0:c r="F181" s="9" t="inlineStr">
        <ns0:is>
          <ns0:t xml:space="preserve">Stories!B5</ns0:t>
        </ns0:is>
      </ns0:c>
    </ns0:row>
    <ns0:row r="182" ht="100" customHeight="1">
      <ns0:c r="A182" s="9" t="inlineStr">
        <ns0:is>
          <ns0:t xml:space="preserve">REQ-179</ns0:t>
        </ns0:is>
      </ns0:c>
      <ns0:c r="B182" s="9" t="inlineStr">
        <ns0:is>
          <ns0:t xml:space="preserve">Login keyboard order</ns0:t>
        </ns0:is>
      </ns0:c>
      <ns0:c r="C182" s="9" t="inlineStr">
        <ns0:is>
          <ns0:t xml:space="preserve">Current scope</ns0:t>
        </ns0:is>
      </ns0:c>
      <ns0:c r="D182" s="9" t="inlineStr">
        <ns0:is>
          <ns0: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ns0:t>
        </ns0:is>
      </ns0:c>
      <ns0:c r="E182" s="9" t="inlineStr">
        <ns0:is>
          <ns0:t xml:space="preserve">FB-003</ns0:t>
        </ns0:is>
      </ns0:c>
      <ns0:c r="F182" s="9" t="inlineStr">
        <ns0:is>
          <ns0:t xml:space="preserve">Stories!B6</ns0:t>
        </ns0:is>
      </ns0:c>
    </ns0:row>
    <ns0:row r="183">
      <ns0:c r="A183" t="inlineStr">
        <ns0:is>
          <ns0:t xml:space="preserve">REQ-180</ns0:t>
        </ns0:is>
      </ns0:c>
      <ns0:c r="B183" t="inlineStr">
        <ns0:is>
          <ns0:t xml:space="preserve">User details and navigation</ns0:t>
        </ns0:is>
      </ns0:c>
      <ns0:c r="C183" t="inlineStr">
        <ns0:is>
          <ns0:t xml:space="preserve">Current scope</ns0:t>
        </ns0:is>
      </ns0:c>
      <ns0:c r="D183" t="inlineStr">
        <ns0:is>
          <ns0: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ns0:t>
        </ns0:is>
      </ns0:c>
      <ns0:c r="E183" t="inlineStr">
        <ns0:is>
          <ns0:t xml:space="preserve">FB-020</ns0:t>
        </ns0:is>
      </ns0:c>
      <ns0:c r="F183" t="inlineStr">
        <ns0:is>
          <ns0:t xml:space="preserve">Stories!B12</ns0:t>
        </ns0:is>
      </ns0:c>
    </ns0:row>
    <ns0:row r="184">
      <ns0:c r="A184" t="inlineStr">
        <ns0:is>
          <ns0:t xml:space="preserve">REQ-181</ns0:t>
        </ns0:is>
      </ns0:c>
      <ns0:c r="B184" t="inlineStr">
        <ns0:is>
          <ns0:t xml:space="preserve">Department list search</ns0:t>
        </ns0:is>
      </ns0:c>
      <ns0:c r="C184" t="inlineStr">
        <ns0:is>
          <ns0:t xml:space="preserve">Current scope</ns0:t>
        </ns0:is>
      </ns0:c>
      <ns0:c r="D184" t="inlineStr">
        <ns0:is>
          <ns0: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ns0:t>
        </ns0:is>
      </ns0:c>
      <ns0:c r="E184" t="inlineStr">
        <ns0:is>
          <ns0:t xml:space="preserve">FB-027</ns0:t>
        </ns0:is>
      </ns0:c>
      <ns0:c r="F184" t="inlineStr">
        <ns0:is>
          <ns0:t xml:space="preserve">Stories!B30</ns0:t>
        </ns0:is>
      </ns0:c>
    </ns0:row>
    <ns0:row r="185">
      <ns0:c r="A185" t="inlineStr">
        <ns0:is>
          <ns0:t xml:space="preserve">REQ-182</ns0:t>
        </ns0:is>
      </ns0:c>
      <ns0:c r="B185" t="inlineStr">
        <ns0:is>
          <ns0:t xml:space="preserve">Inventory management — first version</ns0:t>
        </ns0:is>
      </ns0:c>
      <ns0:c r="C185" t="inlineStr">
        <ns0:is>
          <ns0:t xml:space="preserve">Current scope</ns0:t>
        </ns0:is>
      </ns0:c>
      <ns0:c r="D185" t="inlineStr">
        <ns0:is>
          <ns0: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ns0:t>
        </ns0:is>
      </ns0:c>
      <ns0:c r="E185" t="inlineStr">
        <ns0:is>
          <ns0:t xml:space="preserve">FB-028</ns0:t>
        </ns0:is>
      </ns0:c>
      <ns0:c r="F185" t="inlineStr">
        <ns0:is>
          <ns0:t xml:space="preserve">Stories!B31</ns0:t>
        </ns0:is>
      </ns0:c>
    </ns0:row>
    <ns0:row r="186">
      <ns0:c r="A186" t="inlineStr">
        <ns0:is>
          <ns0:t xml:space="preserve">REQ-183</ns0:t>
        </ns0:is>
      </ns0:c>
      <ns0:c r="B186" t="inlineStr">
        <ns0:is>
          <ns0:t xml:space="preserve">Inventory management — first version</ns0:t>
        </ns0:is>
      </ns0:c>
      <ns0:c r="C186" t="inlineStr">
        <ns0:is>
          <ns0:t xml:space="preserve">Current scope</ns0:t>
        </ns0:is>
      </ns0:c>
      <ns0:c r="D186" t="inlineStr">
        <ns0:is>
          <ns0: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ns0:t>
        </ns0:is>
      </ns0:c>
      <ns0:c r="E186" t="inlineStr">
        <ns0:is>
          <ns0:t xml:space="preserve">FB-028</ns0:t>
        </ns0:is>
      </ns0:c>
      <ns0:c r="F186" t="inlineStr">
        <ns0:is>
          <ns0:t xml:space="preserve">Stories!B31</ns0:t>
        </ns0:is>
      </ns0:c>
    </ns0:row>
    <ns0:row r="187">
      <ns0:c r="A187" t="inlineStr">
        <ns0:is>
          <ns0:t xml:space="preserve">REQ-184</ns0:t>
        </ns0:is>
      </ns0:c>
      <ns0:c r="B187" t="inlineStr">
        <ns0:is>
          <ns0:t xml:space="preserve">Module separation</ns0:t>
        </ns0:is>
      </ns0:c>
      <ns0:c r="C187" t="inlineStr">
        <ns0:is>
          <ns0:t xml:space="preserve">Current scope</ns0:t>
        </ns0:is>
      </ns0:c>
      <ns0:c r="D187" t="inlineStr">
        <ns0:is>
          <ns0: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ns0:t>
        </ns0:is>
      </ns0:c>
      <ns0:c r="E187" t="inlineStr">
        <ns0:is>
          <ns0:t xml:space="preserve">FB-029–FB-068</ns0:t>
        </ns0:is>
      </ns0:c>
      <ns0:c r="F187" t="inlineStr">
        <ns0:is>
          <ns0:t xml:space="preserve">Stories!B32</ns0:t>
        </ns0:is>
      </ns0:c>
    </ns0:row>
    <ns0:row r="188">
      <ns0:c r="A188" t="inlineStr">
        <ns0:is>
          <ns0:t xml:space="preserve">REQ-185</ns0:t>
        </ns0:is>
      </ns0:c>
      <ns0:c r="B188" t="inlineStr">
        <ns0:is>
          <ns0:t xml:space="preserve">Stock Management — shared package definitions</ns0:t>
        </ns0:is>
      </ns0:c>
      <ns0:c r="C188" t="inlineStr">
        <ns0:is>
          <ns0:t xml:space="preserve">Current scope</ns0:t>
        </ns0:is>
      </ns0:c>
      <ns0:c r="D188" t="inlineStr">
        <ns0:is>
          <ns0: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ns0:t>
        </ns0:is>
      </ns0:c>
      <ns0:c r="E188" t="inlineStr">
        <ns0:is>
          <ns0:t xml:space="preserve">FB-034, FB-049–FB-056, FB-059–FB-068</ns0:t>
        </ns0:is>
      </ns0:c>
      <ns0:c r="F188" t="inlineStr">
        <ns0:is>
          <ns0:t xml:space="preserve">Stories!B52</ns0:t>
        </ns0:is>
      </ns0:c>
    </ns0:row>
    <ns0:row r="189">
      <ns0:c r="A189" t="inlineStr">
        <ns0:is>
          <ns0:t xml:space="preserve">REQ-186</ns0:t>
        </ns0:is>
      </ns0:c>
      <ns0:c r="B189" t="inlineStr">
        <ns0:is>
          <ns0:t xml:space="preserve">Product Catalogue — Subcategory creation</ns0:t>
        </ns0:is>
      </ns0:c>
      <ns0:c r="C189" t="inlineStr">
        <ns0:is>
          <ns0:t xml:space="preserve">Current scope</ns0:t>
        </ns0:is>
      </ns0:c>
      <ns0:c r="D189" t="inlineStr">
        <ns0:is>
          <ns0: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ns0:t>
        </ns0:is>
      </ns0:c>
      <ns0:c r="E189" t="inlineStr">
        <ns0:is>
          <ns0:t xml:space="preserve">FB-029</ns0:t>
        </ns0:is>
      </ns0:c>
      <ns0:c r="F189" t="inlineStr">
        <ns0:is>
          <ns0:t xml:space="preserve">Stories!B32</ns0:t>
        </ns0:is>
      </ns0:c>
    </ns0:row>
    <ns0:row r="190">
      <ns0:c r="A190" t="inlineStr">
        <ns0:is>
          <ns0:t xml:space="preserve">REQ-187</ns0:t>
        </ns0:is>
      </ns0:c>
      <ns0:c r="B190" t="inlineStr">
        <ns0:is>
          <ns0:t xml:space="preserve">Product Catalogue — Subcategory list</ns0:t>
        </ns0:is>
      </ns0:c>
      <ns0:c r="C190" t="inlineStr">
        <ns0:is>
          <ns0:t xml:space="preserve">Current scope</ns0:t>
        </ns0:is>
      </ns0:c>
      <ns0:c r="D190" t="inlineStr">
        <ns0:is>
          <ns0: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ns0:t>
        </ns0:is>
      </ns0:c>
      <ns0:c r="E190" t="inlineStr">
        <ns0:is>
          <ns0:t xml:space="preserve">FB-029</ns0:t>
        </ns0:is>
      </ns0:c>
      <ns0:c r="F190" t="inlineStr">
        <ns0:is>
          <ns0:t xml:space="preserve">Stories!B32</ns0:t>
        </ns0:is>
      </ns0:c>
    </ns0:row>
    <ns0:row r="191">
      <ns0:c r="A191" t="inlineStr">
        <ns0:is>
          <ns0:t xml:space="preserve">REQ-188</ns0:t>
        </ns0:is>
      </ns0:c>
      <ns0:c r="B191" t="inlineStr">
        <ns0:is>
          <ns0:t xml:space="preserve">Product Catalogue — Subcategory moves</ns0:t>
        </ns0:is>
      </ns0:c>
      <ns0:c r="C191" t="inlineStr">
        <ns0:is>
          <ns0:t xml:space="preserve">Current scope</ns0:t>
        </ns0:is>
      </ns0:c>
      <ns0:c r="D191" t="inlineStr">
        <ns0:is>
          <ns0: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ns0:t>
        </ns0:is>
      </ns0:c>
      <ns0:c r="E191" t="inlineStr">
        <ns0:is>
          <ns0:t xml:space="preserve">FB-030</ns0:t>
        </ns0:is>
      </ns0:c>
      <ns0:c r="F191" t="inlineStr">
        <ns0:is>
          <ns0:t xml:space="preserve">Stories!B33</ns0:t>
        </ns0:is>
      </ns0:c>
    </ns0:row>
    <ns0:row r="192">
      <ns0:c r="A192" t="str">
        <ns0:v>REQ-189</ns0:v>
      </ns0:c>
      <ns0:c r="B192" t="str">
        <ns0:v>Product Catalogue — Create form tag search</ns0:v>
      </ns0:c>
      <ns0:c r="C192" t="str">
        <ns0:v>Current scope</ns0:v>
      </ns0:c>
      <ns0:c r="D192" t="str">
        <ns0: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ns0:v>
      </ns0:c>
      <ns0:c r="E192" t="str">
        <ns0:v>FB-032, FB-033, FB-037</ns0:v>
      </ns0:c>
      <ns0:c r="F192" t="str">
        <ns0:v>Stories!B35</ns0:v>
      </ns0:c>
    </ns0:row>
  </ns0:sheetData>
  <ns0:mergeCells>
    <ns0:mergeCell ref="A2:F2"/>
    <ns0:mergeCell ref="A1:F1"/>
  </ns0:mergeCells>
  <ns0:conditionalFormatting sqref="C4:C178">
    <ns0:cfRule type="containsText" dxfId="1" priority="1" operator="containsText" text="##FUTURE"/>
  </ns0:conditionalFormatting>
  <ns0:pageMargins left="0.7" right="0.7" top="0.75" bottom="0.75" header="0.3" footer="0.3"/>
  <ns0:tableParts count="1">
    <ns0:tablePart ns1:id="R040b1ade40b8441f"/>
  </ns0:tableParts>
</ns0:worksheet>
</file>