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acafabd5c0407f" /></Relationships>
</file>

<file path=xl/workbook.xml><?xml version="1.0" encoding="utf-8"?>
<x:workbook xmlns:x="http://schemas.openxmlformats.org/spreadsheetml/2006/main">
  <x:sheets>
    <x:sheet xmlns:r="http://schemas.openxmlformats.org/officeDocument/2006/relationships" name="Start Here" sheetId="1" r:id="R492dbb78854d4a6f"/>
    <x:sheet xmlns:r="http://schemas.openxmlformats.org/officeDocument/2006/relationships" name="Stories" sheetId="2" r:id="R0ec42d92d69b4314"/>
    <x:sheet xmlns:r="http://schemas.openxmlformats.org/officeDocument/2006/relationships" name="Requirements" sheetId="3" r:id="Rf880adb406a04d2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098398b46c426b" /><Relationship Type="http://schemas.openxmlformats.org/officeDocument/2006/relationships/theme" Target="/xl/theme/theme1.xml" Id="R3590e10aa06f49b5" /><Relationship Type="http://schemas.openxmlformats.org/officeDocument/2006/relationships/sharedStrings" Target="/xl/sharedStrings.xml" Id="R2651fe55bb0c4527" /><Relationship Type="http://schemas.openxmlformats.org/officeDocument/2006/relationships/worksheet" Target="/xl/worksheets/sheet1.xml" Id="R492dbb78854d4a6f" /><Relationship Type="http://schemas.openxmlformats.org/officeDocument/2006/relationships/worksheet" Target="/xl/worksheets/sheet2.xml" Id="R0ec42d92d69b4314" /><Relationship Type="http://schemas.openxmlformats.org/officeDocument/2006/relationships/worksheet" Target="/xl/worksheets/sheet3.xml" Id="Rf880adb406a04d25"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ns0:table xmlns:ns0="http://schemas.openxmlformats.org/spreadsheetml/2006/main" id="2" name="FoodBankRequirements" displayName="FoodBankRequirements" ref="A3:F198" headerRowCount="1" totalsRowCount="0" totalsRowShown="0">
  <ns0:tableColumns count="6">
    <ns0:tableColumn id="1" name="Rule ID"/>
    <ns0:tableColumn id="2" name="Area"/>
    <ns0:tableColumn id="3" name="Scope"/>
    <ns0:tableColumn id="4" name="Detailed rule"/>
    <ns0:tableColumn id="5" name="Related learning items"/>
    <ns0:tableColumn id="6" name="First item location"/>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2e812ee06a45d7" /></Relationships>
</file>

<file path=xl/worksheets/_rels/sheet3.xml.rels>&#65279;<?xml version="1.0" encoding="utf-8"?><Relationships xmlns="http://schemas.openxmlformats.org/package/2006/relationships"><Relationship Type="http://schemas.openxmlformats.org/officeDocument/2006/relationships/table" Target="/xl/tables/table2.xml" Id="Rcfac444b8b3c440a" /></Relationships>
</file>

<file path=xl/worksheets/sheet1.xml><?xml version="1.0" encoding="utf-8"?>
<ns0:worksheet xmlns:ns0="http://schemas.openxmlformats.org/spreadsheetml/2006/main">
  <ns0:sheetPr>
    <ns0:tabColor rgb="FF17324D"/>
  </ns0:sheetPr>
  <ns0:sheetViews>
    <ns0:sheetView showGridLines="0" workbookViewId="0"/>
  </ns0:sheetViews>
  <ns0:sheetFormatPr baseColWidth="8" defaultRowHeight="15"/>
  <ns0:cols>
    <ns0:col min="1" max="1" width="27" customWidth="1"/>
    <ns0:col min="2" max="2" width="20" customWidth="1"/>
    <ns0:col min="3" max="3" width="3" customWidth="1"/>
    <ns0:col min="4" max="4" width="18" customWidth="1"/>
    <ns0:col min="5" max="5" width="18" customWidth="1"/>
    <ns0:col min="6" max="6" width="18" customWidth="1"/>
    <ns0:col min="7" max="7" width="18" customWidth="1"/>
    <ns0:col min="8" max="8" width="18" customWidth="1"/>
  </ns0:cols>
  <ns0:sheetData>
    <ns0:row r="1">
      <ns0:c r="A1" s="15" t="n"/>
      <ns0:c r="B1" s="15" t="n"/>
      <ns0:c r="C1" s="15" t="n"/>
      <ns0:c r="D1" s="15" t="n"/>
      <ns0:c r="E1" s="15" t="n"/>
      <ns0:c r="F1" s="15" t="n"/>
      <ns0:c r="G1" s="15" t="n"/>
      <ns0:c r="H1" s="15" t="n"/>
    </ns0:row>
    <ns0:row r="2" ht="32" customHeight="1">
      <ns0:c r="A2" s="16" t="inlineStr">
        <ns0:is>
          <ns0:t xml:space="preserve">FoodBank developer story tracker</ns0:t>
        </ns0:is>
      </ns0:c>
    </ns0:row>
    <ns0:row r="3">
      <ns0:c r="A3" s="15" t="n"/>
      <ns0:c r="B3" s="15" t="n"/>
      <ns0:c r="C3" s="15" t="n"/>
      <ns0:c r="D3" s="15" t="n"/>
      <ns0:c r="E3" s="15" t="n"/>
      <ns0:c r="F3" s="15" t="n"/>
      <ns0:c r="G3" s="15" t="n"/>
      <ns0:c r="H3" s="15" t="n"/>
    </ns0:row>
    <ns0:row r="4" ht="26" customHeight="1">
      <ns0:c r="A4" s="20" t="inlineStr">
        <ns0:is>
          <ns0:t xml:space="preserve">Progress</ns0:t>
        </ns0:is>
      </ns0:c>
      <ns0:c r="B4" s="20" t="inlineStr">
        <ns0:is>
          <ns0:t xml:space="preserve">Items</ns0:t>
        </ns0:is>
      </ns0:c>
      <ns0:c r="C4" s="15" t="n"/>
      <ns0:c r="D4" s="18" t="inlineStr">
        <ns0:is>
          <ns0:t xml:space="preserve">Owner: assistant maintains this workbook; developer writes application code.</ns0:t>
        </ns0:is>
      </ns0:c>
    </ns0:row>
    <ns0:row r="5" ht="24" customHeight="1">
      <ns0:c r="A5" s="15" t="inlineStr">
        <ns0:is>
          <ns0:t xml:space="preserve">Total learning items</ns0:t>
        </ns0:is>
      </ns0:c>
      <ns0:c r="B5" s="15" t="n">
        <ns0:v>70</ns0:v>
      </ns0:c>
      <ns0:c r="C5" s="15" t="n"/>
    </ns0:row>
    <ns0:row r="6" ht="24" customHeight="1">
      <ns0:c r="A6" s="15" t="inlineStr">
        <ns0:is>
          <ns0:t xml:space="preserve">Complete</ns0:t>
        </ns0:is>
      </ns0:c>
      <ns0:c r="B6" s="15" t="n">
        <ns0:f>COUNTIF(Stories!H4:H73,"Complete")</ns0:f>
        <ns0:v>22</ns0:v>
      </ns0:c>
      <ns0:c r="C6" s="15" t="n"/>
      <ns0:c r="D6" s="18" t="inlineStr">
        <ns0:is>
          <ns0:t xml:space="preserve">Complete requires code review AND a passed behaviour test, with evidence and dates.</ns0:t>
        </ns0:is>
      </ns0:c>
    </ns0:row>
    <ns0:row r="7" ht="24" customHeight="1">
      <ns0:c r="A7" s="15" t="inlineStr">
        <ns0:is>
          <ns0:t xml:space="preserve">In progress</ns0:t>
        </ns0:is>
      </ns0:c>
      <ns0:c r="B7" s="15" t="n">
        <ns0:f>COUNTIF(Stories!H4:H73,"In progress")</ns0:f>
        <ns0:v>25</ns0:v>
      </ns0:c>
      <ns0:c r="C7" s="15" t="n"/>
    </ns0:row>
    <ns0:row r="8" ht="24" customHeight="1">
      <ns0:c r="A8" s="15" t="inlineStr">
        <ns0:is>
          <ns0:t xml:space="preserve">Awaiting review/test</ns0:t>
        </ns0:is>
      </ns0:c>
      <ns0:c r="B8" s="15" t="n">
        <ns0:f>COUNTIF(Stories!H4:H73,"Awaiting*")</ns0:f>
        <ns0:v>0</ns0:v>
      </ns0:c>
      <ns0:c r="C8" s="15" t="n"/>
      <ns0:c r="D8" s="18" t="inlineStr">
        <ns0:is>
          <ns0:t xml:space="preserve">Ask the developer to test first. “Done” after the test request confirms it worked.</ns0:t>
        </ns0:is>
      </ns0:c>
    </ns0:row>
    <ns0:row r="9" ht="24" customHeight="1">
      <ns0:c r="A9" s="15" t="inlineStr">
        <ns0:is>
          <ns0:t xml:space="preserve">Blocked</ns0:t>
        </ns0:is>
      </ns0:c>
      <ns0:c r="B9" s="15" t="n">
        <ns0:f>COUNTIF(Stories!H4:H73,"Blocked")</ns0:f>
        <ns0:v>0</ns0:v>
      </ns0:c>
      <ns0:c r="C9" s="15" t="n"/>
    </ns0:row>
    <ns0:row r="10" ht="24" customHeight="1">
      <ns0:c r="A10" s="15" t="inlineStr">
        <ns0:is>
          <ns0:t xml:space="preserve">Ready to start</ns0:t>
        </ns0:is>
      </ns0:c>
      <ns0:c r="B10" s="15" t="inlineStr">
        <ns0:is>
          <ns0:t xml:space="preserve">FB-034</ns0:t>
        </ns0:is>
      </ns0:c>
      <ns0:c r="C10" s="15" t="n"/>
      <ns0:c r="D10" s="18" t="inlineStr">
        <ns0:is>
          <ns0:t xml:space="preserve">Only test application behaviour yourself after the developer delegates it.</ns0:t>
        </ns0:is>
      </ns0:c>
    </ns0:row>
    <ns0:row r="11" ht="50" customHeight="1">
      <ns0:c r="A11" s="15" t="inlineStr">
        <ns0:is>
          <ns0:t xml:space="preserve">Verified progress</ns0:t>
        </ns0:is>
      </ns0:c>
      <ns0:c r="B11" s="29" t="inlineStr">
        <ns0:is>
          <ns0:t xml:space="preserve">Catalogue verified including REQ-197 Product status change. Stock implementation begins with Package sizes; no stock code generated by assistant.</ns0:t>
        </ns0:is>
      </ns0:c>
      <ns0:c r="C11" s="15" t="n"/>
    </ns0:row>
    <ns0:row r="12" ht="130" customHeight="1">
      <ns0:c r="A12" s="15" t="n"/>
      <ns0:c r="B12" s="15" t="inlineStr">
        <ns0:is>
          <ns0:t xml:space="preserve">Before starting/resuming this item or feature: reread AGENTS.md from disk; apply teaching/testing rules. Scoped Package sizes create/list/edit/search milestone has passed delegated browser and30 focused tests; title review finding corrected by explicit authorization with exact before/after shown. TypeScript/whitespace checks pass after2 literal-title changes; no browser rerun claimed. Suitable scoped commit checkpoint, then continue Stock items prerequisites within FB-034. Actual package deletion stays disabled until stock_items dependencies and restrictive FK/reference/concurrency safeguards can be implemented and verified. Full FB-034 remains In progress; preserve18 identical baseline account/auth failures.</ns0:t>
        </ns0:is>
      </ns0:c>
      <ns0:c r="C12" s="15" t="n"/>
      <ns0:c r="D12" s="15" t="n"/>
      <ns0:c r="E12" s="15" t="n"/>
      <ns0:c r="F12" s="15" t="n"/>
      <ns0:c r="G12" s="15" t="n"/>
      <ns0:c r="H12" s="15" t="n"/>
    </ns0:row>
    <ns0:row r="13" ht="24" customHeight="1">
      <ns0:c r="A13" s="21" t="inlineStr">
        <ns0:is>
          <ns0:t xml:space="preserve">Current item ID</ns0:t>
        </ns0:is>
      </ns0:c>
      <ns0:c r="B13" s="22" t="inlineStr">
        <ns0:is>
          <ns0:t xml:space="preserve">FB-034</ns0:t>
        </ns0:is>
      </ns0:c>
    </ns0:row>
    <ns0:row r="14" ht="88" customHeight="1">
      <ns0:c r="A14" s="21" t="inlineStr">
        <ns0:is>
          <ns0:t xml:space="preserve">Current lesson</ns0:t>
        </ns0:is>
      </ns0:c>
      <ns0:c r="B14" s="22" t="inlineStr">
        <ns0:is>
          <ns0:t xml:space="preserve">2026-10-31 browser-title finding fixed by explicit request: Create/Edit Head titles now correct. Exact2 source changes, Vue type/whitespace checks PASS. Earlier30 focused tests/browser checks and original-data checksum verification preserved. Scoped package milestone ready for commit; full FB-034 still open for Stock items and deletion dependencies.</ns0:t>
        </ns0:is>
      </ns0:c>
    </ns0:row>
    <ns0:row r="15" ht="130" customHeight="1">
      <ns0:c r="A15" s="21" t="inlineStr">
        <ns0:is>
          <ns0:t xml:space="preserve">Next action</ns0:t>
        </ns0:is>
      </ns0:c>
      <ns0:c r="B15" s="22" t="inlineStr">
        <ns0:is>
          <ns0:t xml:space="preserve">Before starting/resuming this item or feature: reread AGENTS.md from disk; apply teaching/testing rules. Scoped Package sizes create/list/edit/search milestone has passed delegated browser and30 focused tests; title review finding corrected by explicit authorization with exact before/after shown. TypeScript/whitespace checks pass after2 literal-title changes; no browser rerun claimed. Suitable scoped commit checkpoint, then continue Stock items prerequisites within FB-034. Actual package deletion stays disabled until stock_items dependencies and restrictive FK/reference/concurrency safeguards can be implemented and verified. Full FB-034 remains In progress; preserve18 identical baseline account/auth failures.</ns0:t>
        </ns0:is>
      </ns0:c>
    </ns0:row>
    <ns0:row r="16" ht="42" customHeight="1">
      <ns0:c r="A16" s="21" t="inlineStr">
        <ns0:is>
          <ns0:t xml:space="preserve">Waiting on</ns0:t>
        </ns0:is>
      </ns0:c>
      <ns0:c r="B16" s="22" t="inlineStr">
        <ns0:is>
          <ns0:t xml:space="preserve">No title blocker; developer controls commit and next implementation lesson. Stock-dependent deletion remains disabled.</ns0:t>
        </ns0:is>
      </ns0:c>
    </ns0:row>
    <ns0:row r="17" ht="64" customHeight="1">
      <ns0:c r="A17" s="21" t="inlineStr">
        <ns0:is>
          <ns0:t xml:space="preserve">Last reviewed revision</ns0:t>
        </ns0:is>
      </ns0:c>
      <ns0:c r="B17" s="22" t="inlineStr">
        <ns0:is>
          <ns0:t xml:space="preserve">Scoped package source review2026-10-31, HEAD e08b6b6d5652909ad14cad745425e16c0ac8f9d6 plus package working snapshot: title finding open; prior catalogue verification unchanged.</ns0:t>
        </ns0:is>
      </ns0:c>
    </ns0:row>
    <ns0:row r="18" ht="42" customHeight="1">
      <ns0:c r="A18" s="21" t="inlineStr">
        <ns0:is>
          <ns0:t xml:space="preserve">Current item status</ns0:t>
        </ns0:is>
      </ns0:c>
      <ns0:c r="B18" s="18" t="inlineStr">
        <ns0:is>
          <ns0:t xml:space="preserve">FB-034 In progress; package-screen milestone verified with title fix; Stock items and delete integration pending.</ns0:t>
        </ns0:is>
      </ns0:c>
    </ns0:row>
    <ns0:row r="19">
      <ns0:c r="A19" s="15" t="n"/>
      <ns0:c r="B19" s="15" t="inlineStr">
        <ns0:is>
          <ns0: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ns0:t>
        </ns0:is>
      </ns0:c>
      <ns0:c r="C19" s="15" t="n"/>
      <ns0:c r="D19" s="15" t="n"/>
      <ns0:c r="E19" s="15" t="n"/>
      <ns0:c r="F19" s="15" t="n"/>
      <ns0:c r="G19" s="15" t="n"/>
      <ns0:c r="H19" s="15" t="n"/>
    </ns0:row>
    <ns0:row r="20" ht="44" customHeight="1">
      <ns0:c r="A20" s="21" t="inlineStr">
        <ns0:is>
          <ns0:t xml:space="preserve">Completion process</ns0:t>
        </ns0:is>
      </ns0:c>
      <ns0:c r="B20" s="18" t="inlineStr">
        <ns0:is>
          <ns0:t xml:space="preserve">Build small lessons and ask developer to check behaviour. Review the connected feature at completion, correct findings, and record both review and passed testing before marking Complete.</ns0:t>
        </ns0:is>
      </ns0:c>
    </ns0:row>
    <ns0:row r="21" ht="44" customHeight="1">
      <ns0:c r="A21" s="21" t="inlineStr">
        <ns0:is>
          <ns0:t xml:space="preserve">Meaning of done</ns0:t>
        </ns0:is>
      </ns0:c>
      <ns0:c r="B21" s="18" t="inlineStr">
        <ns0:is>
          <ns0:t xml:space="preserve">After an explicit test request, done means the developer tested that item and it worked. Otherwise it means continue the lesson; it never bypasses code review.</ns0:t>
        </ns0:is>
      </ns0:c>
    </ns0:row>
    <ns0:row r="22" ht="44" customHeight="1">
      <ns0:c r="A22" s="21" t="inlineStr">
        <ns0:is>
          <ns0:t xml:space="preserve">What to record</ns0:t>
        </ns0:is>
      </ns0:c>
      <ns0:c r="B22" s="18" t="inlineStr">
        <ns0:is>
          <ns0:t xml:space="preserve">Keep current item, lesson, next action and blocker current. Record review/test evidence and dates in Stories. Save inspected Poker paths and pattern findings with the relevant item for reuse.</ns0:t>
        </ns0:is>
      </ns0:c>
    </ns0:row>
    <ns0:row r="23" ht="44" customHeight="1">
      <ns0:c r="A23" s="21" t="inlineStr">
        <ns0:is>
          <ns0:t xml:space="preserve">How completion works</ns0:t>
        </ns0:is>
      </ns0:c>
      <ns0:c r="B23" s="18" t="inlineStr">
        <ns0:is>
          <ns0:t xml:space="preserve">Set Work stage to Ready for review; record Passed review and test with evidence/dates. Status is calculated. Never overwrite it to claim completion.</ns0:t>
        </ns0:is>
      </ns0:c>
    </ns0:row>
    <ns0:row r="24" ht="65" customHeight="1">
      <ns0:c r="A24" s="21" t="inlineStr">
        <ns0:is>
          <ns0:t xml:space="preserve">Dependencies</ns0:t>
        </ns0:is>
      </ns0:c>
      <ns0:c r="B24" s="18" t="inlineStr">
        <ns0:is>
          <ns0: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ns0:t>
        </ns0:is>
      </ns0:c>
    </ns0:row>
    <ns0:row r="25" ht="65" customHeight="1">
      <ns0:c r="A25" s="21" t="inlineStr">
        <ns0:is>
          <ns0:t xml:space="preserve">One lesson at a time</ns0:t>
        </ns0:is>
      </ns0:c>
      <ns0:c r="B25" s="18" t="inlineStr">
        <ns0:is>
          <ns0:t xml:space="preserve">Understanding comes first. Apply teaching examples where useful and use judgment to adapt the sequence. One tracker row may take several small lessons. Build prerequisites and connect dependent behaviour as needed; verify before moving on.</ns0:t>
        </ns0:is>
      </ns0:c>
    </ns0:row>
    <ns0:row r="26" ht="44" customHeight="1">
      <ns0:c r="A26" s="21" t="inlineStr">
        <ns0:is>
          <ns0:t xml:space="preserve">Teaching emphasis</ns0:t>
        </ns0:is>
      </ns0:c>
      <ns0:c r="B26" s="18" t="inlineStr">
        <ns0:is>
          <ns0:t xml:space="preserve">Vue, Inertia and Tailwind layout: parent/child relationships, flex/grid, sizing, spacing, overflow and responsive behaviour. Reuse existing colours/typography.</ns0:t>
        </ns0:is>
      </ns0:c>
    </ns0:row>
    <ns0:row r="27" ht="44" customHeight="1">
      <ns0:c r="A27" s="21" t="inlineStr">
        <ns0:is>
          <ns0:t xml:space="preserve">Final implementation item</ns0:t>
        </ns0:is>
      </ns0:c>
      <ns0:c r="B27" s="18" t="inlineStr">
        <ns0:is>
          <ns0:t xml:space="preserve">FB-070 — Super Admin recovery remains last, including its own review and delegated/user testing.</ns0:t>
        </ns0:is>
      </ns0:c>
    </ns0:row>
    <ns0:row r="28" ht="44" customHeight="1">
      <ns0:c r="A28" s="21" t="inlineStr">
        <ns0:is>
          <ns0:t xml:space="preserve">Future work</ns0:t>
        </ns0:is>
      </ns0:c>
      <ns0:c r="B28" s="18" t="inlineStr">
        <ns0:is>
          <ns0:t xml:space="preserve">Rules marked ##FUTURE on Requirements remain deferred and are excluded from Stories and completion totals. Unresolved future details do not authorize implementation.</ns0:t>
        </ns0:is>
      </ns0:c>
    </ns0:row>
    <ns0:row r="29" ht="44" customHeight="1">
      <ns0:c r="A29" s="21" t="inlineStr">
        <ns0:is>
          <ns0:t xml:space="preserve">Source of requirements</ns0:t>
        </ns0:is>
      </ns0:c>
      <ns0:c r="B29" s="18" t="inlineStr">
        <ns0:is>
          <ns0:t xml:space="preserve">Requirements is the authoritative scope record, with detailed rules and related FB item IDs. Stories tracks implementation/evidence; Start Here records where to resume.</ns0:t>
        </ns0:is>
      </ns0:c>
    </ns0:row>
    <ns0:row r="30" ht="65" customHeight="1">
      <ns0:c r="A30" s="21" t="inlineStr">
        <ns0:is>
          <ns0:t xml:space="preserve">Reference format</ns0:t>
        </ns0:is>
      </ns0:c>
      <ns0:c r="B30" s="18"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Stock Management planning: reusable package_sizes(id,package_type,contents,contents_unit); stock_items link Product + optional brand + package_size, unique normalized combination including unbranded. Manager/Super Admin set choices up first; Volunteers only select existing choices. Separate model policy files centralize each ability so later Volunteer permissions change there with tests. Manager/Super Admin manage package definitions and correct them before reference; once referenced definitions immutable for all. Stock choice Product/package locks at first receipt; product name/brand spelling may be corrected subject to duplicate checks; optional shared stock tags editable anytime. Each Product has one compatible summary setting managed Manager/Super Admin and locked first receipt permanently; category moves permitted even after stock and history shows current path. Stock choice Active/Inactive, deactivate only at zero stock. Movements target stock_item_id; same choice appears once per entry. MVP mistakes corrected by reasoned adjustment plus new receipt, no special linked correction tool; previous mistaken history retained including quantities already distributed. Weight/volume precision and duplicate-equivalent-package rules remain. Planning only: stock models/migrations/UI not yet implemented.
2026-10-31 FINAL APPROVED STOCK PLAN supersedes historical Subcategory/tag/status/first-receipt-only stock proposals. Current Requirements and updated Stories are authoritative. REQ-190 is version-two only. Stock planning accepted,not implemented. First current item FB-048 removes Product activation,then FB-067 recheck,then FB-034 Package sizes before stock items. User explicitly requires ask before first implementation lesson. Existing account deferrals/FB-069/FB-070 order unchanged.
2026-10-31 developer explicitly approved stock_entries plus stock_movements after diagram/explanation. REQ-196 records one entry per form with shared context, linked per-item movements and transactional all-or-none saving; Stories FB-051/054/056/063/068 updated. No application code changed or lesson started. Current FB-048 and waiting-for-first-lesson state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row>
    <ns0:row r="31" ht="90" customHeight="1">
      <ns0:c r="A31" s="21" t="inlineStr">
        <ns0:is>
          <ns0:t xml:space="preserve">Resume in a new chat</ns0:t>
        </ns0:is>
      </ns0:c>
      <ns0:c r="B31" s="18" t="inlineStr">
        <ns0:is>
          <ns0:t xml:space="preserve">Resume: reread AGENTS.md, Start Here, FB-034 full Stories row and related Requirements. Preserve deferred tests; do not mark complete or advance to Stock items before coherent Package sizes review/testing. Developer writes code unless an explicit scoped exception is given.</ns0:t>
        </ns0:is>
      </ns0:c>
    </ns0:row>
    <ns0:row r="32" ht="44" customHeight="1">
      <ns0:c r="A32" s="21" t="inlineStr">
        <ns0:is>
          <ns0:t xml:space="preserve">Changes after verification</ns0:t>
        </ns0:is>
      </ns0:c>
      <ns0:c r="B32" s="18" t="inlineStr">
        <ns0:is>
          <ns0:t xml:space="preserve">If later edits invalidate a passed item, reopen it and retest affected behaviour. Preserve previous evidence in notes; never silently keep a stale Complete status.</ns0:t>
        </ns0:is>
      </ns0:c>
    </ns0:row>
    <ns0:row r="33" ht="44" customHeight="1">
      <ns0:c r="A33" s="21" t="inlineStr">
        <ns0:is>
          <ns0:t xml:space="preserve">Workbook maintenance</ns0:t>
        </ns0:is>
      </ns0:c>
      <ns0:c r="B33" s="18" t="inlineStr">
        <ns0:is>
          <ns0:t xml:space="preserve">Maintain this same workbook. Update Requirements for agreed scope changes, Stories for evidence/progress, and Start Here for handoff. Do not maintain separate feature-list or resume files.</ns0:t>
        </ns0:is>
      </ns0:c>
    </ns0:row>
    <ns0:row r="34" ht="44" customHeight="1">
      <ns0:c r="A34" s="21" t="inlineStr">
        <ns0:is>
          <ns0:t xml:space="preserve">Commit checkpoints</ns0:t>
        </ns0:is>
      </ns0:c>
      <ns0:c r="B34" s="18" t="inlineStr">
        <ns0:is>
          <ns0:t xml:space="preserve">After a coherent verified feature, suggest an accurate commit message. The developer commits unless explicitly requesting otherwise.</ns0:t>
        </ns0:is>
      </ns0:c>
    </ns0:row>
    <ns0:row r="35" ht="65" customHeight="1">
      <ns0:c r="A35" s="21" t="inlineStr">
        <ns0:is>
          <ns0:t xml:space="preserve">Application test status</ns0:t>
        </ns0:is>
      </ns0:c>
      <ns0:c r="B35" s="18" t="str">
        <ns0: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row>
    <ns0:row r="36">
      <ns0:c r="A36" s="15" t="n"/>
      <ns0:c r="B36" s="15" t="n"/>
      <ns0:c r="C36" s="15" t="n"/>
      <ns0:c r="D36" s="15" t="n"/>
      <ns0:c r="E36" s="15" t="n"/>
      <ns0:c r="F36" s="15" t="n"/>
      <ns0:c r="G36" s="15" t="n"/>
      <ns0:c r="H36" s="15" t="n"/>
    </ns0:row>
    <ns0:row r="37">
      <ns0:c r="A37" s="15" t="n"/>
      <ns0:c r="B37" s="15" t="n"/>
      <ns0:c r="C37" s="15" t="n"/>
      <ns0:c r="D37" s="15" t="n"/>
      <ns0:c r="E37" s="15" t="n"/>
      <ns0:c r="F37" s="15" t="n"/>
      <ns0:c r="G37" s="15" t="n"/>
      <ns0:c r="H37" s="15" t="n"/>
    </ns0:row>
    <ns0:row r="38">
      <ns0:c r="A38" s="15" t="n"/>
      <ns0:c r="B38" s="15" t="n"/>
      <ns0:c r="C38" s="15" t="n"/>
      <ns0:c r="D38" s="15" t="n"/>
      <ns0:c r="E38" s="15" t="n"/>
      <ns0:c r="F38" s="15" t="n"/>
      <ns0:c r="G38" s="15" t="n"/>
      <ns0:c r="H38" s="15" t="n"/>
    </ns0:row>
    <ns0:row r="39">
      <ns0:c r="A39" s="15" t="n"/>
      <ns0:c r="B39" s="15" t="n"/>
      <ns0:c r="C39" s="15" t="n"/>
      <ns0:c r="D39" s="15" t="n"/>
      <ns0:c r="E39" s="15" t="n"/>
      <ns0:c r="F39" s="15" t="n"/>
      <ns0:c r="G39" s="15" t="n"/>
      <ns0:c r="H39" s="15" t="n"/>
    </ns0:row>
    <ns0:row r="40">
      <ns0:c r="A40" s="15" t="n"/>
      <ns0:c r="B40" s="15" t="n"/>
      <ns0:c r="C40" s="15" t="n"/>
      <ns0:c r="D40" s="15" t="n"/>
      <ns0:c r="E40" s="15" t="n"/>
      <ns0:c r="F40" s="15" t="n"/>
      <ns0:c r="G40" s="15" t="n"/>
      <ns0:c r="H40" s="15" t="n"/>
    </ns0:row>
  </ns0:sheetData>
  <ns0:mergeCells>
    <ns0:mergeCell ref="D4:H5"/>
    <ns0:mergeCell ref="B24:H24"/>
    <ns0:mergeCell ref="B30:H30"/>
    <ns0:mergeCell ref="B15:H15"/>
    <ns0:mergeCell ref="B33:H33"/>
    <ns0:mergeCell ref="B20:H20"/>
    <ns0:mergeCell ref="B32:H32"/>
    <ns0:mergeCell ref="B26:H26"/>
    <ns0:mergeCell ref="D8:H9"/>
    <ns0:mergeCell ref="B35:H35"/>
    <ns0:mergeCell ref="B16:H16"/>
    <ns0:mergeCell ref="B25:H25"/>
    <ns0:mergeCell ref="D10:H11"/>
    <ns0:mergeCell ref="B31:H31"/>
    <ns0:mergeCell ref="B22:H22"/>
    <ns0:mergeCell ref="B18:H18"/>
    <ns0:mergeCell ref="B27:H27"/>
    <ns0:mergeCell ref="B21:H21"/>
    <ns0:mergeCell ref="A2:H2"/>
    <ns0:mergeCell ref="D6:H7"/>
    <ns0:mergeCell ref="B23:H23"/>
    <ns0:mergeCell ref="B14:H14"/>
    <ns0:mergeCell ref="B17:H17"/>
    <ns0:mergeCell ref="B13:H13"/>
    <ns0:mergeCell ref="B29:H29"/>
    <ns0:mergeCell ref="B34:H34"/>
    <ns0:mergeCell ref="B28:H28"/>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Pr>
    <ns0:tabColor rgb="FF17324D"/>
  </ns0:sheetPr>
  <ns0:sheetViews>
    <ns0:sheetView showGridLines="0" workbookViewId="0">
      <ns0:pane xSplit="2" ySplit="3" topLeftCell="C4" activePane="bottomRight" state="frozen"/>
    </ns0:sheetView>
  </ns0:sheetViews>
  <ns0:sheetFormatPr baseColWidth="8" defaultRowHeight="15"/>
  <ns0:cols>
    <ns0:col min="1" max="1" width="5" customWidth="1"/>
    <ns0:col min="2" max="2" width="12" customWidth="1"/>
    <ns0:col min="3" max="3" width="22" customWidth="1"/>
    <ns0:col min="4" max="4" width="42" customWidth="1"/>
    <ns0:col min="5" max="5" width="78" customWidth="1"/>
    <ns0:col min="6" max="6" width="14" customWidth="1"/>
    <ns0:col min="7" max="7" width="14" customWidth="1"/>
    <ns0:col min="8" max="8" width="26" customWidth="1"/>
    <ns0:col min="9" max="9" width="20" customWidth="1"/>
    <ns0:col min="10" max="10" width="18" customWidth="1"/>
    <ns0:col min="11" max="11" width="55" customWidth="1"/>
    <ns0:col min="12" max="12" width="15" customWidth="1"/>
    <ns0:col min="13" max="13" width="19" customWidth="1"/>
    <ns0:col min="14" max="14" width="17" customWidth="1"/>
    <ns0:col min="15" max="15" width="55" customWidth="1"/>
    <ns0:col min="16" max="16" width="15" customWidth="1"/>
    <ns0:col min="17" max="17" width="45" customWidth="1"/>
    <ns0:col min="18" max="18" width="48" customWidth="1"/>
    <ns0:col min="19" max="19" width="40" customWidth="1"/>
  </ns0:cols>
  <ns0:sheetData>
    <ns0:row r="1" ht="30" customHeight="1">
      <ns0:c r="A1" s="2" t="inlineStr">
        <ns0:is>
          <ns0:t xml:space="preserve">FoodBank learning tracker — complete one small item before continuing</ns0:t>
        </ns0:is>
      </ns0:c>
      <ns0:c r="I1" s="1" t="n"/>
      <ns0:c r="J1" s="1" t="n"/>
      <ns0:c r="K1" s="1" t="n"/>
      <ns0:c r="L1" s="1" t="n"/>
      <ns0:c r="M1" s="1" t="n"/>
      <ns0:c r="N1" s="1" t="n"/>
      <ns0:c r="O1" s="1" t="n"/>
      <ns0:c r="P1" s="1" t="n"/>
      <ns0:c r="Q1" s="1" t="n"/>
      <ns0:c r="R1" s="1" t="n"/>
      <ns0:c r="S1" s="1" t="n"/>
    </ns0:row>
    <ns0:row r="2">
      <ns0:c r="A2" s="1" t="n"/>
      <ns0:c r="B2" s="1" t="n"/>
      <ns0:c r="C2" s="1" t="n"/>
      <ns0:c r="D2" s="1" t="n"/>
      <ns0:c r="E2" s="1" t="n"/>
      <ns0:c r="F2" s="1" t="n"/>
      <ns0:c r="G2" s="1" t="n"/>
      <ns0:c r="H2" s="1" t="n"/>
      <ns0:c r="I2" s="1" t="n"/>
      <ns0:c r="J2" s="1" t="n"/>
      <ns0:c r="K2" s="1" t="n"/>
      <ns0:c r="L2" s="1" t="n"/>
      <ns0:c r="M2" s="1" t="n"/>
      <ns0:c r="N2" s="1" t="n"/>
      <ns0:c r="O2" s="1" t="n"/>
      <ns0:c r="P2" s="1" t="n"/>
      <ns0:c r="Q2" s="1" t="n"/>
      <ns0:c r="R2" s="1" t="n"/>
      <ns0:c r="S2" s="1" t="n"/>
    </ns0:row>
    <ns0:row r="3" ht="30" customHeight="1">
      <ns0:c r="A3" s="8" t="inlineStr">
        <ns0:is>
          <ns0:t xml:space="preserve">#</ns0:t>
        </ns0:is>
      </ns0:c>
      <ns0:c r="B3" s="8" t="inlineStr">
        <ns0:is>
          <ns0:t xml:space="preserve">Item ID</ns0:t>
        </ns0:is>
      </ns0:c>
      <ns0:c r="C3" s="8" t="inlineStr">
        <ns0:is>
          <ns0:t xml:space="preserve">Feature</ns0:t>
        </ns0:is>
      </ns0:c>
      <ns0:c r="D3" s="8" t="inlineStr">
        <ns0:is>
          <ns0:t xml:space="preserve">Learning item</ns0:t>
        </ns0:is>
      </ns0:c>
      <ns0:c r="E3" s="8" t="inlineStr">
        <ns0:is>
          <ns0:t xml:space="preserve">Acceptance checks</ns0:t>
        </ns0:is>
      </ns0:c>
      <ns0:c r="F3" s="8" t="inlineStr">
        <ns0:is>
          <ns0:t xml:space="preserve">Previous item</ns0:t>
        </ns0:is>
      </ns0:c>
      <ns0:c r="G3" s="8" t="inlineStr">
        <ns0:is>
          <ns0:t xml:space="preserve">Readiness</ns0:t>
        </ns0:is>
      </ns0:c>
      <ns0:c r="H3" s="8" t="inlineStr">
        <ns0:is>
          <ns0:t xml:space="preserve">Status</ns0:t>
        </ns0:is>
      </ns0:c>
      <ns0:c r="I3" s="8" t="inlineStr">
        <ns0:is>
          <ns0:t xml:space="preserve">Work stage</ns0:t>
        </ns0:is>
      </ns0:c>
      <ns0:c r="J3" s="8" t="inlineStr">
        <ns0:is>
          <ns0:t xml:space="preserve">Code review</ns0:t>
        </ns0:is>
      </ns0:c>
      <ns0:c r="K3" s="8" t="inlineStr">
        <ns0:is>
          <ns0:t xml:space="preserve">Review evidence</ns0:t>
        </ns0:is>
      </ns0:c>
      <ns0:c r="L3" s="8" t="inlineStr">
        <ns0:is>
          <ns0:t xml:space="preserve">Review date</ns0:t>
        </ns0:is>
      </ns0:c>
      <ns0:c r="M3" s="8" t="inlineStr">
        <ns0:is>
          <ns0:t xml:space="preserve">Tested by</ns0:t>
        </ns0:is>
      </ns0:c>
      <ns0:c r="N3" s="8" t="inlineStr">
        <ns0:is>
          <ns0:t xml:space="preserve">Test result</ns0:t>
        </ns0:is>
      </ns0:c>
      <ns0:c r="O3" s="8" t="inlineStr">
        <ns0:is>
          <ns0:t xml:space="preserve">Test evidence</ns0:t>
        </ns0:is>
      </ns0:c>
      <ns0:c r="P3" s="8" t="inlineStr">
        <ns0:is>
          <ns0:t xml:space="preserve">Test date</ns0:t>
        </ns0:is>
      </ns0:c>
      <ns0:c r="Q3" s="8" t="inlineStr">
        <ns0:is>
          <ns0:t xml:space="preserve">Lesson / last step</ns0:t>
        </ns0:is>
      </ns0:c>
      <ns0:c r="R3" s="8" t="inlineStr">
        <ns0:is>
          <ns0:t xml:space="preserve">Next action</ns0:t>
        </ns0:is>
      </ns0:c>
      <ns0:c r="S3" s="8" t="inlineStr">
        <ns0:is>
          <ns0:t xml:space="preserve">Blocker</ns0:t>
        </ns0:is>
      </ns0:c>
    </ns0:row>
    <ns0:row r="4" ht="400" customHeight="1">
      <ns0:c r="A4" s="4" t="n">
        <ns0:v>1</ns0:v>
      </ns0:c>
      <ns0:c r="B4" s="4" t="inlineStr">
        <ns0:is>
          <ns0:t xml:space="preserve">FB-001</ns0:t>
        </ns0:is>
      </ns0:c>
      <ns0:c r="C4" s="4" t="inlineStr">
        <ns0:is>
          <ns0:t xml:space="preserve">Starting point</ns0:t>
        </ns0:is>
      </ns0:c>
      <ns0:c r="D4" s="4" t="inlineStr">
        <ns0:is>
          <ns0:t xml:space="preserve">Inspect the projects and confirm the local starting point</ns0:t>
        </ns0:is>
      </ns0:c>
      <ns0:c r="E4" s="4" t="inlineStr">
        <ns0:is>
          <ns0:t xml:space="preserve">Review existing FoodBank code and relevant Poker workflows; explain how the current page runs; developer verifies the local page and database connection. Record actual findings before marking complete.</ns0:t>
        </ns0:is>
      </ns0:c>
      <ns0:c r="F4" s="4" t="n"/>
      <ns0:c r="G4" s="4" t="str">
        <ns0:f>IF(H4="Complete","Complete",IF(I4="Blocked","Blocked",IF(I4="In progress","Ready",IF(F4="","Ready",IF(COUNTIFS($B$4:$B$73,F4,$H$4:$H$73,"Complete")=1,"Ready","Waiting")))))</ns0:f>
        <ns0:v>Complete</ns0:v>
      </ns0:c>
      <ns0:c r="H4" s="4" t="str">
        <ns0:f>IF(I4="Not started","Not started",IF(I4="Blocked","Blocked",IF(I4="In progress","In progress",IF(J4&lt;&gt;"Passed","Awaiting code review",IF(OR(K4="",NOT(ISNUMBER(L4))),"Awaiting review evidence",IF(N4&lt;&gt;"Passed","Awaiting test",IF(OR(M4="",O4="",NOT(ISNUMBER(P4))),"Awaiting test evidence","Complete")))))))</ns0:f>
        <ns0:v>Complete</ns0:v>
      </ns0:c>
      <ns0:c r="I4" s="10" t="inlineStr">
        <ns0:is>
          <ns0:t xml:space="preserve">Ready for review</ns0:t>
        </ns0:is>
      </ns0:c>
      <ns0:c r="J4" s="10" t="inlineStr">
        <ns0:is>
          <ns0:t xml:space="preserve">Passed</ns0:t>
        </ns0:is>
      </ns0:c>
      <ns0:c r="K4" s="10" t="inlineStr">
        <ns0:is>
          <ns0: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ns0:t>
        </ns0:is>
      </ns0:c>
      <ns0:c r="L4" s="30" t="n">
        <ns0:v>46320</ns0:v>
      </ns0:c>
      <ns0:c r="M4" s="10" t="inlineStr">
        <ns0:is>
          <ns0:t xml:space="preserve">Developer</ns0:t>
        </ns0:is>
      </ns0:c>
      <ns0:c r="N4" s="10" t="inlineStr">
        <ns0:is>
          <ns0:t xml:space="preserve">Passed</ns0:t>
        </ns0:is>
      </ns0:c>
      <ns0:c r="O4" s="10" t="inlineStr">
        <ns0:is>
          <ns0: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ns0:t>
        </ns0:is>
      </ns0:c>
      <ns0:c r="P4" s="30" t="n">
        <ns0:v>46320</ns0:v>
      </ns0:c>
      <ns0:c r="Q4" s="10" t="inlineStr">
        <ns0:is>
          <ns0:t xml:space="preserve">2026-10-25: FB-001 complete after source review and developer-confirmed local page, Light/Dark refresh persistence and MySQL connection checks. Initial commit d8cdf44 already contains setup; no new tracked application changes.</ns0:t>
        </ns0:is>
      </ns0:c>
      <ns0:c r="R4" s="10" t="inlineStr">
        <ns0:is>
          <ns0:t xml:space="preserve">Before starting this item or feature: reread AGENTS.md from disk; apply its teaching and testing rules. Completed; continue with FB-002 shared login page.</ns0:t>
        </ns0:is>
      </ns0:c>
      <ns0:c r="S4" s="10" t="n"/>
    </ns0:row>
    <ns0:row r="5" ht="105" customHeight="1">
      <ns0:c r="A5" s="9" t="n">
        <ns0:v>2</ns0:v>
      </ns0:c>
      <ns0:c r="B5" s="9" t="inlineStr">
        <ns0:is>
          <ns0:t xml:space="preserve">FB-002</ns0:t>
        </ns0:is>
      </ns0:c>
      <ns0:c r="C5" s="9" t="inlineStr">
        <ns0:is>
          <ns0:t xml:space="preserve">Access</ns0:t>
        </ns0:is>
      </ns0:c>
      <ns0:c r="D5" s="9" t="inlineStr">
        <ns0:is>
          <ns0:t xml:space="preserve">Display the shared login page</ns0:t>
        </ns0:is>
      </ns0:c>
      <ns0:c r="E5" s="9" t="inlineStr">
        <ns0:is>
          <ns0:t xml:space="preserve">Show one login page for all roles, with username/email and password fields. Explain URL-to-page flow and inherited components; use local fictional accounts. Include approved Remember me checkbox (REQ-178) and verify the selected centered-card appearance (REQ-176).</ns0:t>
        </ns0:is>
      </ns0:c>
      <ns0:c r="F5" s="9" t="inlineStr">
        <ns0:is>
          <ns0:t xml:space="preserve">FB-001</ns0:t>
        </ns0:is>
      </ns0:c>
      <ns0:c r="G5" s="9" t="str">
        <ns0:f>IF(H5="Complete","Complete",IF(I5="Blocked","Blocked",IF(I5="In progress","Ready",IF(F5="","Ready",IF(COUNTIFS($B$4:$B$73,F5,$H$4:$H$73,"Complete")=1,"Ready","Waiting")))))</ns0:f>
        <ns0:v>Complete</ns0:v>
      </ns0:c>
      <ns0:c r="H5" s="9" t="str">
        <ns0:f>IF(I5="Not started","Not started",IF(I5="Blocked","Blocked",IF(I5="In progress","In progress",IF(J5&lt;&gt;"Passed","Awaiting code review",IF(OR(K5="",NOT(ISNUMBER(L5))),"Awaiting review evidence",IF(N5&lt;&gt;"Passed","Awaiting test",IF(OR(M5="",O5="",NOT(ISNUMBER(P5))),"Awaiting test evidence","Complete")))))))</ns0:f>
        <ns0:v>Complete</ns0:v>
      </ns0:c>
      <ns0:c r="I5" s="11" t="inlineStr">
        <ns0:is>
          <ns0:t xml:space="preserve">Ready for review</ns0:t>
        </ns0:is>
      </ns0:c>
      <ns0:c r="J5" s="11" t="inlineStr">
        <ns0:is>
          <ns0:t xml:space="preserve">Passed</ns0:t>
        </ns0:is>
      </ns0:c>
      <ns0:c r="K5" s="11" t="inlineStr">
        <ns0:is>
          <ns0: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ns0:t>
        </ns0:is>
      </ns0:c>
      <ns0:c r="L5" s="31" t="n">
        <ns0:v>46320</ns0:v>
      </ns0:c>
      <ns0:c r="M5" s="11" t="inlineStr">
        <ns0:is>
          <ns0:t xml:space="preserve">Developer</ns0:t>
        </ns0:is>
      </ns0:c>
      <ns0:c r="N5" s="11" t="inlineStr">
        <ns0:is>
          <ns0:t xml:space="preserve">Passed</ns0:t>
        </ns0:is>
      </ns0:c>
      <ns0:c r="O5" s="11" t="inlineStr">
        <ns0:is>
          <ns0: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ns0:t>
        </ns0:is>
      </ns0:c>
      <ns0:c r="P5" s="31" t="n">
        <ns0:v>46320</ns0:v>
      </ns0:c>
      <ns0:c r="Q5" s="11" t="inlineStr">
        <ns0:is>
          <ns0:t xml:space="preserve">2026-10-25: Reopened display work complete after final review and developer narrow/short viewport checks. Remember me display included, authentication not connected.</ns0:t>
        </ns0:is>
      </ns0:c>
      <ns0:c r="R5" s="11" t="inlineStr">
        <ns0:is>
          <ns0:t xml:space="preserve">Before starting this item or feature: reread AGENTS.md from disk; apply its teaching and testing rules. Display verified; continue FB-003 keyboard checks. Commit checkpoint: Build centered login screen with sprout branding and Remember me.</ns0:t>
        </ns0:is>
      </ns0:c>
      <ns0:c r="S5" s="11" t="n"/>
    </ns0:row>
    <ns0:row r="6" ht="105" customHeight="1">
      <ns0:c r="A6" s="4" t="n">
        <ns0:v>3</ns0:v>
      </ns0:c>
      <ns0:c r="B6" s="4" t="inlineStr">
        <ns0:is>
          <ns0:t xml:space="preserve">FB-003</ns0:t>
        </ns0:is>
      </ns0:c>
      <ns0:c r="C6" s="4" t="inlineStr">
        <ns0:is>
          <ns0:t xml:space="preserve">Access</ns0:t>
        </ns0:is>
      </ns0:c>
      <ns0:c r="D6" s="4" t="inlineStr">
        <ns0:is>
          <ns0:t xml:space="preserve">Arrange the login form for narrow and wide screens</ns0:t>
        </ns0:is>
      </ns0:c>
      <ns0:c r="E6" s="4" t="inlineStr">
        <ns0:is>
          <ns0: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ns0:t>
        </ns0:is>
      </ns0:c>
      <ns0:c r="F6" s="4" t="inlineStr">
        <ns0:is>
          <ns0:t xml:space="preserve">FB-002</ns0:t>
        </ns0:is>
      </ns0:c>
      <ns0:c r="G6" s="4" t="str">
        <ns0:f>IF(H6="Complete","Complete",IF(I6="Blocked","Blocked",IF(I6="In progress","Ready",IF(F6="","Ready",IF(COUNTIFS($B$4:$B$73,F6,$H$4:$H$73,"Complete")=1,"Ready","Waiting")))))</ns0:f>
        <ns0:v>Complete</ns0:v>
      </ns0:c>
      <ns0:c r="H6" s="4" t="str">
        <ns0:f>IF(I6="Not started","Not started",IF(I6="Blocked","Blocked",IF(I6="In progress","In progress",IF(J6&lt;&gt;"Passed","Awaiting code review",IF(OR(K6="",NOT(ISNUMBER(L6))),"Awaiting review evidence",IF(N6&lt;&gt;"Passed","Awaiting test",IF(OR(M6="",O6="",NOT(ISNUMBER(P6))),"Awaiting test evidence","Complete")))))))</ns0:f>
        <ns0:v>Complete</ns0:v>
      </ns0:c>
      <ns0:c r="I6" s="10" t="inlineStr">
        <ns0:is>
          <ns0:t xml:space="preserve">Ready for review</ns0:t>
        </ns0:is>
      </ns0:c>
      <ns0:c r="J6" s="10" t="inlineStr">
        <ns0:is>
          <ns0:t xml:space="preserve">Passed</ns0:t>
        </ns0:is>
      </ns0:c>
      <ns0:c r="K6" s="10" t="inlineStr">
        <ns0:is>
          <ns0: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ns0:t>
        </ns0:is>
      </ns0:c>
      <ns0:c r="L6" s="30" t="n">
        <ns0:v>46320</ns0:v>
      </ns0:c>
      <ns0:c r="M6" s="10" t="inlineStr">
        <ns0:is>
          <ns0:t xml:space="preserve">Developer</ns0:t>
        </ns0:is>
      </ns0:c>
      <ns0:c r="N6" s="10" t="inlineStr">
        <ns0:is>
          <ns0:t xml:space="preserve">Passed</ns0:t>
        </ns0:is>
      </ns0:c>
      <ns0:c r="O6" s="10" t="inlineStr">
        <ns0:is>
          <ns0: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ns0:t>
        </ns0:is>
      </ns0:c>
      <ns0:c r="P6" s="30" t="n">
        <ns0:v>46320</ns0:v>
      </ns0:c>
      <ns0:c r="Q6" s="10" t="inlineStr">
        <ns0:is>
          <ns0:t xml:space="preserve">Layout and approved keyboard checks complete 2026-10-25.</ns0:t>
        </ns0:is>
      </ns0:c>
      <ns0:c r="R6" s="10" t="inlineStr">
        <ns0:is>
          <ns0:t xml:space="preserve">Before starting this item or feature: reread AGENTS.md from disk; apply its teaching and testing rules. Continue FB-004 account prerequisites. Commit checkpoint: Build centered login screen with sprout branding and Remember me.</ns0:t>
        </ns0:is>
      </ns0:c>
      <ns0:c r="S6" s="10" t="n"/>
    </ns0:row>
    <ns0:row r="7" ht="105" customHeight="1">
      <ns0:c r="A7" s="9" t="n">
        <ns0:v>4</ns0:v>
      </ns0:c>
      <ns0:c r="B7" s="9" t="inlineStr">
        <ns0:is>
          <ns0:t xml:space="preserve">FB-004</ns0:t>
        </ns0:is>
      </ns0:c>
      <ns0:c r="C7" s="9" t="inlineStr">
        <ns0:is>
          <ns0:t xml:space="preserve">Access</ns0:t>
        </ns0:is>
      </ns0:c>
      <ns0:c r="D7" s="9" t="inlineStr">
        <ns0:is>
          <ns0:t xml:space="preserve">Create the initial account and fixed roles</ns0:t>
        </ns0:is>
      </ns0:c>
      <ns0:c r="E7" s="9" t="inlineStr">
        <ns0:is>
          <ns0: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F7" s="9" t="inlineStr">
        <ns0:is>
          <ns0:t xml:space="preserve">FB-003</ns0:t>
        </ns0:is>
      </ns0:c>
      <ns0:c r="G7" s="9" t="str">
        <ns0:f>IF(H7="Complete","Complete",IF(I7="Blocked","Blocked",IF(I7="In progress","Ready",IF(F7="","Ready",IF(COUNTIFS($B$4:$B$73,F7,$H$4:$H$73,"Complete")=1,"Ready","Waiting")))))</ns0:f>
        <ns0:v>Ready</ns0:v>
      </ns0:c>
      <ns0:c r="H7" s="9" t="str">
        <ns0:f>IF(I7="Not started","Not started",IF(I7="Blocked","Blocked",IF(I7="In progress","In progress",IF(J7&lt;&gt;"Passed","Awaiting code review",IF(OR(K7="",NOT(ISNUMBER(L7))),"Awaiting review evidence",IF(N7&lt;&gt;"Passed","Awaiting test",IF(OR(M7="",O7="",NOT(ISNUMBER(P7))),"Awaiting test evidence","Complete")))))))</ns0:f>
        <ns0:v>In progress</ns0:v>
      </ns0:c>
      <ns0:c r="I7" s="11" t="inlineStr">
        <ns0:is>
          <ns0:t xml:space="preserve">In progress</ns0:t>
        </ns0:is>
      </ns0:c>
      <ns0:c r="J7" s="11" t="inlineStr">
        <ns0:is>
          <ns0:t xml:space="preserve">Passed</ns0:t>
        </ns0:is>
      </ns0:c>
      <ns0:c r="K7" s="11" t="inlineStr">
        <ns0:is>
          <ns0: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ns0:t>
        </ns0:is>
      </ns0:c>
      <ns0:c r="L7" s="31" t="n">
        <ns0:v>46321</ns0:v>
      </ns0:c>
      <ns0:c r="M7" s="11" t="inlineStr">
        <ns0:is>
          <ns0:t xml:space="preserve">Developer</ns0:t>
        </ns0:is>
      </ns0:c>
      <ns0:c r="N7" s="11" t="inlineStr">
        <ns0:is>
          <ns0:t xml:space="preserve">Passed</ns0:t>
        </ns0:is>
      </ns0:c>
      <ns0:c r="O7" s="11" t="inlineStr">
        <ns0:is>
          <ns0: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ns0:t>
        </ns0:is>
      </ns0:c>
      <ns0:c r="P7" s="31" t="n">
        <ns0:v>46321</ns0:v>
      </ns0:c>
      <ns0:c r="Q7" s="11" t="inlineStr">
        <ns0:is>
          <ns0: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ns0:t>
        </ns0:is>
      </ns0:c>
      <ns0:c r="R7" s="11" t="inlineStr">
        <ns0:is>
          <ns0: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S7" s="11" t="n"/>
    </ns0:row>
    <ns0:row r="8" ht="105" customHeight="1">
      <ns0:c r="A8" s="4" t="n">
        <ns0:v>5</ns0:v>
      </ns0:c>
      <ns0:c r="B8" s="4" t="inlineStr">
        <ns0:is>
          <ns0:t xml:space="preserve">FB-005</ns0:t>
        </ns0:is>
      </ns0:c>
      <ns0:c r="C8" s="4" t="inlineStr">
        <ns0:is>
          <ns0:t xml:space="preserve">Access</ns0:t>
        </ns0:is>
      </ns0:c>
      <ns0:c r="D8" s="4" t="inlineStr">
        <ns0:is>
          <ns0:t xml:space="preserve">Connect login, logout and protected access</ns0:t>
        </ns0:is>
      </ns0:c>
      <ns0:c r="E8" s="4" t="inlineStr">
        <ns0:is>
          <ns0: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ns0:t>
        </ns0:is>
      </ns0:c>
      <ns0:c r="F8" s="4" t="inlineStr">
        <ns0:is>
          <ns0:t xml:space="preserve">FB-004</ns0:t>
        </ns0:is>
      </ns0:c>
      <ns0:c r="G8" s="4" t="str">
        <ns0:f>IF(H8="Complete","Complete",IF(I8="Blocked","Blocked",IF(I8="In progress","Ready",IF(F8="","Ready",IF(COUNTIFS($B$4:$B$73,F8,$H$4:$H$73,"Complete")=1,"Ready","Waiting")))))</ns0:f>
        <ns0:v>Ready</ns0:v>
      </ns0:c>
      <ns0:c r="H8" s="4" t="str">
        <ns0:f>IF(I8="Not started","Not started",IF(I8="Blocked","Blocked",IF(I8="In progress","In progress",IF(J8&lt;&gt;"Passed","Awaiting code review",IF(OR(K8="",NOT(ISNUMBER(L8))),"Awaiting review evidence",IF(N8&lt;&gt;"Passed","Awaiting test",IF(OR(M8="",O8="",NOT(ISNUMBER(P8))),"Awaiting test evidence","Complete")))))))</ns0:f>
        <ns0:v>In progress</ns0:v>
      </ns0:c>
      <ns0:c r="I8" s="10" t="inlineStr">
        <ns0:is>
          <ns0:t xml:space="preserve">In progress</ns0:t>
        </ns0:is>
      </ns0:c>
      <ns0:c r="J8" s="10" t="inlineStr">
        <ns0:is>
          <ns0:t xml:space="preserve">Needs changes</ns0:t>
        </ns0:is>
      </ns0:c>
      <ns0:c r="K8" s="10" t="inlineStr">
        <ns0:is>
          <ns0: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L8" s="30" t="n">
        <ns0:v>46321</ns0:v>
      </ns0:c>
      <ns0:c r="M8" s="10" t="inlineStr">
        <ns0:is>
          <ns0:t xml:space="preserve">Developer and assistant (delegated)</ns0:t>
        </ns0:is>
      </ns0:c>
      <ns0:c r="N8" s="10" t="inlineStr">
        <ns0:is>
          <ns0:t xml:space="preserve">Not tested</ns0:t>
        </ns0:is>
      </ns0:c>
      <ns0:c r="O8" s="10" t="inlineStr">
        <ns0:is>
          <ns0: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ns0:t>
        </ns0:is>
      </ns0:c>
      <ns0:c r="P8" s="30" t="n">
        <ns0:v>46321</ns0:v>
      </ns0:c>
      <ns0:c r="Q8" s="10" t="inlineStr">
        <ns0:is>
          <ns0: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8" s="10" t="inlineStr">
        <ns0:is>
          <ns0: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8" s="10" t="n"/>
    </ns0:row>
    <ns0:row r="9" ht="105" customHeight="1">
      <ns0:c r="A9" s="9" t="n">
        <ns0:v>6</ns0:v>
      </ns0:c>
      <ns0:c r="B9" s="9" t="inlineStr">
        <ns0:is>
          <ns0:t xml:space="preserve">FB-016</ns0:t>
        </ns0:is>
      </ns0:c>
      <ns0:c r="C9" s="9" t="inlineStr">
        <ns0:is>
          <ns0:t xml:space="preserve">Accounts</ns0:t>
        </ns0:is>
      </ns0:c>
      <ns0:c r="D9" s="9" t="inlineStr">
        <ns0:is>
          <ns0:t xml:space="preserve">Display a create-user page and reactive fields</ns0:t>
        </ns0:is>
      </ns0:c>
      <ns0:c r="E9" s="9" t="inlineStr">
        <ns0:is>
          <ns0: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ns0:t>
        </ns0:is>
      </ns0:c>
      <ns0:c r="F9" s="9" t="inlineStr">
        <ns0:is>
          <ns0:t xml:space="preserve">FB-005</ns0:t>
        </ns0:is>
      </ns0:c>
      <ns0:c r="G9" s="9" t="str">
        <ns0:f>IF(H9="Complete","Complete",IF(I9="Blocked","Blocked",IF(I9="In progress","Ready",IF(F9="","Ready",IF(COUNTIFS($B$4:$B$73,F9,$H$4:$H$73,"Complete")=1,"Ready","Waiting")))))</ns0:f>
        <ns0:v>Ready</ns0:v>
      </ns0:c>
      <ns0:c r="H9" s="9" t="str">
        <ns0:f>IF(I9="Not started","Not started",IF(I9="Blocked","Blocked",IF(I9="In progress","In progress",IF(J9&lt;&gt;"Passed","Awaiting code review",IF(OR(K9="",NOT(ISNUMBER(L9))),"Awaiting review evidence",IF(N9&lt;&gt;"Passed","Awaiting test",IF(OR(M9="",O9="",NOT(ISNUMBER(P9))),"Awaiting test evidence","Complete")))))))</ns0:f>
        <ns0:v>In progress</ns0:v>
      </ns0:c>
      <ns0:c r="I9" s="11" t="inlineStr">
        <ns0:is>
          <ns0:t xml:space="preserve">In progress</ns0:t>
        </ns0:is>
      </ns0:c>
      <ns0:c r="J9" s="11" t="inlineStr">
        <ns0:is>
          <ns0:t xml:space="preserve">Changes needed</ns0:t>
        </ns0:is>
      </ns0:c>
      <ns0:c r="K9"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9" s="31" t="n">
        <ns0:v>46323.5</ns0:v>
      </ns0:c>
      <ns0:c r="M9" s="11" t="inlineStr">
        <ns0:is>
          <ns0:t xml:space="preserve">Assistant (explicitly delegated; prior developer evidence retained)</ns0:t>
        </ns0:is>
      </ns0:c>
      <ns0:c r="N9" s="11" t="inlineStr">
        <ns0:is>
          <ns0:t xml:space="preserve">Failed</ns0:t>
        </ns0:is>
      </ns0:c>
      <ns0:c r="O9" s="11" t="inlineStr">
        <ns0:is>
          <ns0: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9" s="31" t="n">
        <ns0:v>46323.5</ns0:v>
      </ns0:c>
      <ns0:c r="Q9" s="11"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ns0:t>
        </ns0:is>
      </ns0:c>
      <ns0:c r="R9"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9" s="11" t="n"/>
    </ns0:row>
    <ns0:row r="10" ht="105" customHeight="1">
      <ns0:c r="A10" s="4" t="n">
        <ns0:v>7</ns0:v>
      </ns0:c>
      <ns0:c r="B10" s="4" t="inlineStr">
        <ns0:is>
          <ns0:t xml:space="preserve">FB-017</ns0:t>
        </ns0:is>
      </ns0:c>
      <ns0:c r="C10" s="4" t="inlineStr">
        <ns0:is>
          <ns0:t xml:space="preserve">Accounts</ns0:t>
        </ns0:is>
      </ns0:c>
      <ns0:c r="D10" s="4" t="inlineStr">
        <ns0:is>
          <ns0:t xml:space="preserve">Arrange the create form and format Canadian phones</ns0:t>
        </ns0:is>
      </ns0:c>
      <ns0:c r="E10" s="4" t="inlineStr">
        <ns0:is>
          <ns0:t xml:space="preserve">Teach stacked-to-column layout. While typing, phone becomes +1 506-555-0123; ten digits after +1. Labels and field errors fit without overflow.</ns0:t>
        </ns0:is>
      </ns0:c>
      <ns0:c r="F10" s="4" t="inlineStr">
        <ns0:is>
          <ns0:t xml:space="preserve">FB-016</ns0:t>
        </ns0:is>
      </ns0:c>
      <ns0:c r="G10" s="4" t="str">
        <ns0:f>IF(H10="Complete","Complete",IF(I10="Blocked","Blocked",IF(I10="In progress","Ready",IF(F10="","Ready",IF(COUNTIFS($B$4:$B$73,F10,$H$4:$H$73,"Complete")=1,"Ready","Waiting")))))</ns0:f>
        <ns0:v>Ready</ns0:v>
      </ns0:c>
      <ns0:c r="H10" s="4" t="str">
        <ns0:f>IF(I10="Not started","Not started",IF(I10="Blocked","Blocked",IF(I10="In progress","In progress",IF(J10&lt;&gt;"Passed","Awaiting code review",IF(OR(K10="",NOT(ISNUMBER(L10))),"Awaiting review evidence",IF(N10&lt;&gt;"Passed","Awaiting test",IF(OR(M10="",O10="",NOT(ISNUMBER(P10))),"Awaiting test evidence","Complete")))))))</ns0:f>
        <ns0:v>In progress</ns0:v>
      </ns0:c>
      <ns0:c r="I10" s="10" t="inlineStr">
        <ns0:is>
          <ns0:t xml:space="preserve">In progress</ns0:t>
        </ns0:is>
      </ns0:c>
      <ns0:c r="J10" s="10" t="inlineStr">
        <ns0:is>
          <ns0:t xml:space="preserve">Changes needed</ns0:t>
        </ns0:is>
      </ns0:c>
      <ns0:c r="K10" s="10"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0" s="30" t="n">
        <ns0:v>46323.5</ns0:v>
      </ns0:c>
      <ns0:c r="M10" s="10" t="inlineStr">
        <ns0:is>
          <ns0:t xml:space="preserve">Assistant (explicitly delegated; prior developer evidence retained)</ns0:t>
        </ns0:is>
      </ns0:c>
      <ns0:c r="N10" s="10" t="inlineStr">
        <ns0:is>
          <ns0:t xml:space="preserve">Failed</ns0:t>
        </ns0:is>
      </ns0:c>
      <ns0:c r="O10" s="10" t="inlineStr">
        <ns0:is>
          <ns0: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0" s="30" t="n">
        <ns0:v>46323.5</ns0:v>
      </ns0:c>
      <ns0:c r="Q10" s="10" t="inlineStr">
        <ns0:is>
          <ns0: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0" s="10"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0" s="10" t="n"/>
    </ns0:row>
    <ns0:row r="11" ht="105" customHeight="1">
      <ns0:c r="A11" s="9" t="n">
        <ns0:v>8</ns0:v>
      </ns0:c>
      <ns0:c r="B11" s="9" t="inlineStr">
        <ns0:is>
          <ns0:t xml:space="preserve">FB-018</ns0:t>
        </ns0:is>
      </ns0:c>
      <ns0:c r="C11" s="9" t="inlineStr">
        <ns0:is>
          <ns0:t xml:space="preserve">Accounts</ns0:t>
        </ns0:is>
      </ns0:c>
      <ns0:c r="D11" s="9" t="inlineStr">
        <ns0:is>
          <ns0:t xml:space="preserve">Generate meaningful unique usernames</ns0:t>
        </ns0:is>
      </ns0:c>
      <ns0:c r="E11" s="9" t="inlineStr">
        <ns0:is>
          <ns0:t xml:space="preserve">Lowercase first.last; remove spaces/hyphens/apostrophes and transliterate accents for username only. Collisions across all roles use .01, .02 etc. Unexpected symbols or unusable name parts block saving; no user.user fallback.</ns0:t>
        </ns0:is>
      </ns0:c>
      <ns0:c r="F11" s="9" t="inlineStr">
        <ns0:is>
          <ns0:t xml:space="preserve">FB-017</ns0:t>
        </ns0:is>
      </ns0:c>
      <ns0:c r="G11" s="9" t="str">
        <ns0:f>IF(H11="Complete","Complete",IF(I11="Blocked","Blocked",IF(I11="In progress","Ready",IF(F11="","Ready",IF(COUNTIFS($B$4:$B$73,F11,$H$4:$H$73,"Complete")=1,"Ready","Waiting")))))</ns0:f>
        <ns0:v>Ready</ns0:v>
      </ns0:c>
      <ns0:c r="H11" s="9" t="str">
        <ns0:f>IF(I11="Not started","Not started",IF(I11="Blocked","Blocked",IF(I11="In progress","In progress",IF(J11&lt;&gt;"Passed","Awaiting code review",IF(OR(K11="",NOT(ISNUMBER(L11))),"Awaiting review evidence",IF(N11&lt;&gt;"Passed","Awaiting test",IF(OR(M11="",O11="",NOT(ISNUMBER(P11))),"Awaiting test evidence","Complete")))))))</ns0:f>
        <ns0:v>In progress</ns0:v>
      </ns0:c>
      <ns0:c r="I11" s="11" t="inlineStr">
        <ns0:is>
          <ns0:t xml:space="preserve">In progress</ns0:t>
        </ns0:is>
      </ns0:c>
      <ns0:c r="J11" s="11" t="inlineStr">
        <ns0:is>
          <ns0:t xml:space="preserve">Changes needed</ns0:t>
        </ns0:is>
      </ns0:c>
      <ns0:c r="K11" s="11"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1" s="31" t="n">
        <ns0:v>46324</ns0:v>
      </ns0:c>
      <ns0:c r="M11" s="11" t="inlineStr">
        <ns0:is>
          <ns0:t xml:space="preserve">Assistant (delegated; browser Cancel user-assisted)</ns0:t>
        </ns0:is>
      </ns0:c>
      <ns0:c r="N11" s="11" t="inlineStr">
        <ns0:is>
          <ns0:t xml:space="preserve">Failed</ns0:t>
        </ns0:is>
      </ns0:c>
      <ns0:c r="O11" s="11" t="inlineStr">
        <ns0:is>
          <ns0: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1" s="31" t="n">
        <ns0:v>46324</ns0:v>
      </ns0:c>
      <ns0:c r="Q11" s="11" t="inlineStr">
        <ns0:is>
          <ns0: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ns0:t>
        </ns0:is>
      </ns0:c>
      <ns0:c r="R11" s="11" t="inlineStr">
        <ns0:is>
          <ns0: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ns0:t>
        </ns0:is>
      </ns0:c>
      <ns0:c r="S11" s="11" t="n"/>
    </ns0:row>
    <ns0:row r="12" ht="105" customHeight="1">
      <ns0:c r="A12" s="4" t="n">
        <ns0:v>9</ns0:v>
      </ns0:c>
      <ns0:c r="B12" s="4" t="inlineStr">
        <ns0:is>
          <ns0:t xml:space="preserve">FB-020</ns0:t>
        </ns0:is>
      </ns0:c>
      <ns0:c r="C12" s="4" t="inlineStr">
        <ns0:is>
          <ns0:t xml:space="preserve">Accounts</ns0:t>
        </ns0:is>
      </ns0:c>
      <ns0:c r="D12" s="4" t="inlineStr">
        <ns0:is>
          <ns0:t xml:space="preserve">Build the protected read-only account details page</ns0:t>
        </ns0:is>
      </ns0:c>
      <ns0:c r="E12" s="4" t="inlineStr">
        <ns0:is>
          <ns0: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ns0:t>
        </ns0:is>
      </ns0:c>
      <ns0:c r="F12" s="4" t="inlineStr">
        <ns0:is>
          <ns0:t xml:space="preserve">FB-018</ns0:t>
        </ns0:is>
      </ns0:c>
      <ns0:c r="G12" s="4" t="str">
        <ns0:f>IF(H12="Complete","Complete",IF(I12="Blocked","Blocked",IF(I12="In progress","Ready",IF(F12="","Ready",IF(COUNTIFS($B$4:$B$73,F12,$H$4:$H$73,"Complete")=1,"Ready","Waiting")))))</ns0:f>
        <ns0:v>Complete</ns0:v>
      </ns0:c>
      <ns0:c r="H12" s="4" t="str">
        <ns0:f>IF(I12="Not started","Not started",IF(I12="Blocked","Blocked",IF(I12="In progress","In progress",IF(J12&lt;&gt;"Passed","Awaiting code review",IF(OR(K12="",NOT(ISNUMBER(L12))),"Awaiting review evidence",IF(N12&lt;&gt;"Passed","Awaiting test",IF(OR(M12="",O12="",NOT(ISNUMBER(P12))),"Awaiting test evidence","Complete")))))))</ns0:f>
        <ns0:v>Complete</ns0:v>
      </ns0:c>
      <ns0:c r="I12" s="10" t="inlineStr">
        <ns0:is>
          <ns0:t xml:space="preserve">Ready for review</ns0:t>
        </ns0:is>
      </ns0:c>
      <ns0:c r="J12" s="10" t="inlineStr">
        <ns0:is>
          <ns0:t xml:space="preserve">Passed</ns0:t>
        </ns0:is>
      </ns0:c>
      <ns0:c r="K12" s="10" t="inlineStr">
        <ns0:is>
          <ns0: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2" s="30" t="n">
        <ns0:v>46323.5</ns0:v>
      </ns0:c>
      <ns0:c r="M12" s="10" t="inlineStr">
        <ns0:is>
          <ns0:t xml:space="preserve">Assistant (delegated) and Developer</ns0:t>
        </ns0:is>
      </ns0:c>
      <ns0:c r="N12" s="10" t="inlineStr">
        <ns0:is>
          <ns0:t xml:space="preserve">Passed</ns0:t>
        </ns0:is>
      </ns0:c>
      <ns0:c r="O12" s="10" t="inlineStr">
        <ns0:is>
          <ns0: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2" s="30" t="n">
        <ns0:v>46323.5</ns0:v>
      </ns0:c>
      <ns0:c r="Q12" s="10" t="inlineStr">
        <ns0:is>
          <ns0: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ns0:t>
        </ns0:is>
      </ns0:c>
      <ns0:c r="R12" s="10" t="inlineStr">
        <ns0:is>
          <ns0: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ns0:t>
        </ns0:is>
      </ns0:c>
      <ns0:c r="S12" s="10" t="n"/>
    </ns0:row>
    <ns0:row r="13" ht="105" customHeight="1">
      <ns0:c r="A13" s="9" t="n">
        <ns0:v>10</ns0:v>
      </ns0:c>
      <ns0:c r="B13" s="9" t="inlineStr">
        <ns0:is>
          <ns0:t xml:space="preserve">FB-019</ns0:t>
        </ns0:is>
      </ns0:c>
      <ns0:c r="C13" s="9" t="inlineStr">
        <ns0:is>
          <ns0:t xml:space="preserve">Accounts</ns0:t>
        </ns0:is>
      </ns0:c>
      <ns0:c r="D13" s="9" t="inlineStr">
        <ns0:is>
          <ns0: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ns0:t>
        </ns0:is>
      </ns0:c>
      <ns0:c r="E13" s="9" t="inlineStr">
        <ns0:is>
          <ns0: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F13" s="9" t="inlineStr">
        <ns0:is>
          <ns0:t xml:space="preserve">FB-020</ns0:t>
        </ns0:is>
      </ns0:c>
      <ns0:c r="G13" s="9" t="str">
        <ns0:f>IF(H13="Complete","Complete",IF(I13="Blocked","Blocked",IF(I13="In progress","Ready",IF(F13="","Ready",IF(COUNTIFS($B$4:$B$73,F13,$H$4:$H$73,"Complete")=1,"Ready","Waiting")))))</ns0:f>
        <ns0:v>Ready</ns0:v>
      </ns0:c>
      <ns0:c r="H13" s="9" t="str">
        <ns0:f>IF(I13="Not started","Not started",IF(I13="Blocked","Blocked",IF(I13="In progress","In progress",IF(J13&lt;&gt;"Passed","Awaiting code review",IF(OR(K13="",NOT(ISNUMBER(L13))),"Awaiting review evidence",IF(N13&lt;&gt;"Passed","Awaiting test",IF(OR(M13="",O13="",NOT(ISNUMBER(P13))),"Awaiting test evidence","Complete")))))))</ns0:f>
        <ns0:v>In progress</ns0:v>
      </ns0:c>
      <ns0:c r="I13" s="11" t="inlineStr">
        <ns0:is>
          <ns0:t xml:space="preserve">In progress</ns0:t>
        </ns0:is>
      </ns0:c>
      <ns0:c r="J13" s="11" t="inlineStr">
        <ns0:is>
          <ns0:t xml:space="preserve">Changes needed</ns0:t>
        </ns0:is>
      </ns0:c>
      <ns0:c r="K13"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3" s="31" t="n">
        <ns0:v>46324</ns0:v>
      </ns0:c>
      <ns0:c r="M13" s="11" t="inlineStr">
        <ns0:is>
          <ns0:t xml:space="preserve">Assistant (delegated; browser Cancel user-assisted)</ns0:t>
        </ns0:is>
      </ns0:c>
      <ns0:c r="N13" s="11" t="inlineStr">
        <ns0:is>
          <ns0:t xml:space="preserve">Failed</ns0:t>
        </ns0:is>
      </ns0:c>
      <ns0:c r="O13" s="11" t="inlineStr">
        <ns0:is>
          <ns0: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3" s="31" t="n">
        <ns0:v>46324</ns0:v>
      </ns0:c>
      <ns0:c r="Q13" s="11" t="inlineStr">
        <ns0:is>
          <ns0: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3"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3" s="11" t="n"/>
    </ns0:row>
    <ns0:row r="14" ht="105" customHeight="1">
      <ns0:c r="A14" s="4" t="n">
        <ns0:v>11</ns0:v>
      </ns0:c>
      <ns0:c r="B14" s="4" t="inlineStr">
        <ns0:is>
          <ns0:t xml:space="preserve">FB-006</ns0:t>
        </ns0:is>
      </ns0:c>
      <ns0:c r="C14" s="4" t="inlineStr">
        <ns0:is>
          <ns0:t xml:space="preserve">Access</ns0:t>
        </ns0:is>
      </ns0:c>
      <ns0:c r="D14" s="4" t="inlineStr">
        <ns0:is>
          <ns0:t xml:space="preserve">Build the required personal-password setup screen</ns0:t>
        </ns0:is>
      </ns0:c>
      <ns0:c r="E14" s="4" t="inlineStr">
        <ns0:is>
          <ns0: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ns0:t>
        </ns0:is>
      </ns0:c>
      <ns0:c r="F14" s="4" t="inlineStr">
        <ns0:is>
          <ns0:t xml:space="preserve">FB-019</ns0:t>
        </ns0:is>
      </ns0:c>
      <ns0:c r="G14" s="4" t="str">
        <ns0:f>IF(H14="Complete","Complete",IF(I14="Blocked","Blocked",IF(I14="In progress","Ready",IF(F14="","Ready",IF(COUNTIFS($B$4:$B$73,F14,$H$4:$H$73,"Complete")=1,"Ready","Waiting")))))</ns0:f>
        <ns0:v>Ready</ns0:v>
      </ns0:c>
      <ns0:c r="H14" s="4" t="str">
        <ns0:f>IF(I14="Not started","Not started",IF(I14="Blocked","Blocked",IF(I14="In progress","In progress",IF(J14&lt;&gt;"Passed","Awaiting code review",IF(OR(K14="",NOT(ISNUMBER(L14))),"Awaiting review evidence",IF(N14&lt;&gt;"Passed","Awaiting test",IF(OR(M14="",O14="",NOT(ISNUMBER(P14))),"Awaiting test evidence","Complete")))))))</ns0:f>
        <ns0:v>In progress</ns0:v>
      </ns0:c>
      <ns0:c r="I14" s="10" t="inlineStr">
        <ns0:is>
          <ns0:t xml:space="preserve">In progress</ns0:t>
        </ns0:is>
      </ns0:c>
      <ns0:c r="J14" s="10" t="inlineStr">
        <ns0:is>
          <ns0:t xml:space="preserve">Changes needed</ns0:t>
        </ns0:is>
      </ns0:c>
      <ns0:c r="K14" s="10"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ns0:t>
        </ns0:is>
      </ns0:c>
      <ns0:c r="L14" s="30" t="n">
        <ns0:v>46322</ns0:v>
      </ns0:c>
      <ns0:c r="M14" s="10" t="inlineStr">
        <ns0:is>
          <ns0:t xml:space="preserve">Assistant (delegated)</ns0:t>
        </ns0:is>
      </ns0:c>
      <ns0:c r="N14" s="10" t="inlineStr">
        <ns0:is>
          <ns0:t xml:space="preserve">Failed</ns0:t>
        </ns0:is>
      </ns0:c>
      <ns0:c r="O14" s="10"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ns0:t>
        </ns0:is>
      </ns0:c>
      <ns0:c r="P14" s="30" t="n">
        <ns0:v>46322</ns0:v>
      </ns0:c>
      <ns0:c r="Q14" s="10" t="inlineStr">
        <ns0:is>
          <ns0: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4" s="10"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4" s="10" t="n"/>
    </ns0:row>
    <ns0:row r="15" ht="105" customHeight="1">
      <ns0:c r="A15" s="9" t="n">
        <ns0:v>12</ns0:v>
      </ns0:c>
      <ns0:c r="B15" s="9" t="inlineStr">
        <ns0:is>
          <ns0:t xml:space="preserve">FB-007</ns0:t>
        </ns0:is>
      </ns0:c>
      <ns0:c r="C15" s="9" t="inlineStr">
        <ns0:is>
          <ns0:t xml:space="preserve">Access</ns0:t>
        </ns0:is>
      </ns0:c>
      <ns0:c r="D15" s="9" t="inlineStr">
        <ns0:is>
          <ns0:t xml:space="preserve">Save the initial personal password and require login again</ns0:t>
        </ns0:is>
      </ns0:c>
      <ns0:c r="E15" s="9" t="inlineStr">
        <ns0:is>
          <ns0: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ns0:t>
        </ns0:is>
      </ns0:c>
      <ns0:c r="F15" s="9" t="inlineStr">
        <ns0:is>
          <ns0:t xml:space="preserve">FB-006</ns0:t>
        </ns0:is>
      </ns0:c>
      <ns0:c r="G15" s="9" t="str">
        <ns0:f>IF(H15="Complete","Complete",IF(I15="Blocked","Blocked",IF(I15="In progress","Ready",IF(F15="","Ready",IF(COUNTIFS($B$4:$B$73,F15,$H$4:$H$73,"Complete")=1,"Ready","Waiting")))))</ns0:f>
        <ns0:v>Ready</ns0:v>
      </ns0:c>
      <ns0:c r="H15" s="9" t="str">
        <ns0:f>IF(I15="Not started","Not started",IF(I15="Blocked","Blocked",IF(I15="In progress","In progress",IF(J15&lt;&gt;"Passed","Awaiting code review",IF(OR(K15="",NOT(ISNUMBER(L15))),"Awaiting review evidence",IF(N15&lt;&gt;"Passed","Awaiting test",IF(OR(M15="",O15="",NOT(ISNUMBER(P15))),"Awaiting test evidence","Complete")))))))</ns0:f>
        <ns0:v>In progress</ns0:v>
      </ns0:c>
      <ns0:c r="I15" s="11" t="inlineStr">
        <ns0:is>
          <ns0:t xml:space="preserve">In progress</ns0:t>
        </ns0:is>
      </ns0:c>
      <ns0:c r="J15" s="11" t="inlineStr">
        <ns0:is>
          <ns0:t xml:space="preserve">Changes needed</ns0:t>
        </ns0:is>
      </ns0:c>
      <ns0:c r="K15" s="11"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ns0:t>
        </ns0:is>
      </ns0:c>
      <ns0:c r="L15" s="31" t="n">
        <ns0:v>46322</ns0:v>
      </ns0:c>
      <ns0:c r="M15" s="11" t="inlineStr">
        <ns0:is>
          <ns0:t xml:space="preserve">Assistant (delegated)</ns0:t>
        </ns0:is>
      </ns0:c>
      <ns0:c r="N15" s="11" t="inlineStr">
        <ns0:is>
          <ns0:t xml:space="preserve">Failed</ns0:t>
        </ns0:is>
      </ns0:c>
      <ns0:c r="O15" s="11"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ns0:t>
        </ns0:is>
      </ns0:c>
      <ns0:c r="P15" s="31" t="n">
        <ns0:v>46322</ns0:v>
      </ns0:c>
      <ns0:c r="Q15" s="11" t="inlineStr">
        <ns0:is>
          <ns0: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5" s="11"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5" s="11" t="n"/>
    </ns0:row>
    <ns0:row r="16" ht="105" customHeight="1">
      <ns0:c r="A16" s="4" t="n">
        <ns0:v>13</ns0:v>
      </ns0:c>
      <ns0:c r="B16" s="4" t="inlineStr">
        <ns0:is>
          <ns0:t xml:space="preserve">FB-024</ns0:t>
        </ns0:is>
      </ns0:c>
      <ns0:c r="C16" s="4" t="inlineStr">
        <ns0:is>
          <ns0:t xml:space="preserve">Accounts</ns0:t>
        </ns0:is>
      </ns0:c>
      <ns0:c r="D16" s="4" t="inlineStr">
        <ns0:is>
          <ns0:t xml:space="preserve">Change the signed-in user’s password</ns0:t>
        </ns0:is>
      </ns0:c>
      <ns0:c r="E16" s="4" t="inlineStr">
        <ns0:is>
          <ns0: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ns0:t>
        </ns0:is>
      </ns0:c>
      <ns0:c r="F16" s="4" t="inlineStr">
        <ns0:is>
          <ns0:t xml:space="preserve">FB-007</ns0:t>
        </ns0:is>
      </ns0:c>
      <ns0:c r="G16" s="4" t="str">
        <ns0:f>IF(H16="Complete","Complete",IF(I16="Blocked","Blocked",IF(I16="In progress","Ready",IF(F16="","Ready",IF(COUNTIFS($B$4:$B$73,F16,$H$4:$H$73,"Complete")=1,"Ready","Waiting")))))</ns0:f>
        <ns0:v>Ready</ns0:v>
      </ns0:c>
      <ns0:c r="H16" s="4" t="str">
        <ns0:f>IF(I16="Not started","Not started",IF(I16="Blocked","Blocked",IF(I16="In progress","In progress",IF(J16&lt;&gt;"Passed","Awaiting code review",IF(OR(K16="",NOT(ISNUMBER(L16))),"Awaiting review evidence",IF(N16&lt;&gt;"Passed","Awaiting test",IF(OR(M16="",O16="",NOT(ISNUMBER(P16))),"Awaiting test evidence","Complete")))))))</ns0:f>
        <ns0:v>In progress</ns0:v>
      </ns0:c>
      <ns0:c r="I16" s="10" t="inlineStr">
        <ns0:is>
          <ns0:t xml:space="preserve">In progress</ns0:t>
        </ns0:is>
      </ns0:c>
      <ns0:c r="J16" s="10" t="inlineStr">
        <ns0:is>
          <ns0:t xml:space="preserve">Not reviewed</ns0:t>
        </ns0:is>
      </ns0:c>
      <ns0:c r="K16" s="10" t="n"/>
      <ns0:c r="L16" s="30" t="n"/>
      <ns0:c r="M16" s="10" t="n"/>
      <ns0:c r="N16" s="10" t="inlineStr">
        <ns0:is>
          <ns0:t xml:space="preserve">Not tested</ns0:t>
        </ns0:is>
      </ns0:c>
      <ns0:c r="O16" s="10" t="n"/>
      <ns0:c r="P16" s="30" t="n"/>
      <ns0:c r="Q16" s="10" t="inlineStr">
        <ns0:is>
          <ns0: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16" s="10" t="inlineStr">
        <ns0:is>
          <ns0: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6" s="10" t="n"/>
    </ns0:row>
    <ns0:row r="17" ht="105" customHeight="1">
      <ns0:c r="A17" s="9" t="n">
        <ns0:v>14</ns0:v>
      </ns0:c>
      <ns0:c r="B17" s="9" t="inlineStr">
        <ns0:is>
          <ns0:t xml:space="preserve">FB-009</ns0:t>
        </ns0:is>
      </ns0:c>
      <ns0:c r="C17" s="9" t="inlineStr">
        <ns0:is>
          <ns0:t xml:space="preserve">Accounts</ns0:t>
        </ns0:is>
      </ns0:c>
      <ns0:c r="D17" s="9" t="inlineStr">
        <ns0:is>
          <ns0:t xml:space="preserve">Display the unfiltered user lists</ns0:t>
        </ns0:is>
      </ns0:c>
      <ns0:c r="E17" s="9" t="inlineStr">
        <ns0:is>
          <ns0:t xml:space="preserve">Shared directory available to every signed-in user; all three roles, active and inactive. SIX separate columns First name, Last name, Email, Phone, Role, Status. Fictional props/loops/stable keys first. Separate full-details/management permissions. No pictures now. REQ-041.</ns0:t>
        </ns0:is>
      </ns0:c>
      <ns0:c r="F17" s="9" t="inlineStr">
        <ns0:is>
          <ns0:t xml:space="preserve">FB-024</ns0:t>
        </ns0:is>
      </ns0:c>
      <ns0:c r="G17" s="9" t="str">
        <ns0:f>IF(H17="Complete","Complete",IF(I17="Blocked","Blocked",IF(I17="In progress","Ready",IF(F17="","Ready",IF(COUNTIFS($B$4:$B$73,F17,$H$4:$H$73,"Complete")=1,"Ready","Waiting")))))</ns0:f>
        <ns0:v>Ready</ns0:v>
      </ns0:c>
      <ns0:c r="H17" s="9" t="str">
        <ns0:f>IF(I17="Not started","Not started",IF(I17="Blocked","Blocked",IF(I17="In progress","In progress",IF(J17&lt;&gt;"Passed","Awaiting code review",IF(OR(K17="",NOT(ISNUMBER(L17))),"Awaiting review evidence",IF(N17&lt;&gt;"Passed","Awaiting test",IF(OR(M17="",O17="",NOT(ISNUMBER(P17))),"Awaiting test evidence","Complete")))))))</ns0:f>
        <ns0:v>In progress</ns0:v>
      </ns0:c>
      <ns0:c r="I17" s="11" t="inlineStr">
        <ns0:is>
          <ns0:t xml:space="preserve">In progress</ns0:t>
        </ns0:is>
      </ns0:c>
      <ns0:c r="J17" s="11" t="inlineStr">
        <ns0:is>
          <ns0:t xml:space="preserve">Changes needed</ns0:t>
        </ns0:is>
      </ns0:c>
      <ns0:c r="K17"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7" s="31" t="n">
        <ns0:v>46324</ns0:v>
      </ns0:c>
      <ns0:c r="M17" s="11" t="inlineStr">
        <ns0:is>
          <ns0:t xml:space="preserve">Developer</ns0:t>
        </ns0:is>
      </ns0:c>
      <ns0:c r="N17" s="11" t="inlineStr">
        <ns0:is>
          <ns0:t xml:space="preserve">Partial</ns0:t>
        </ns0:is>
      </ns0:c>
      <ns0:c r="O17" s="11" t="inlineStr">
        <ns0:is>
          <ns0: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7" s="31" t="inlineStr">
        <ns0:is>
          <ns0:t xml:space="preserve">2026-10-29</ns0:t>
        </ns0:is>
      </ns0:c>
      <ns0:c r="Q17" s="11" t="inlineStr">
        <ns0:is>
          <ns0: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7"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7" s="11" t="n"/>
    </ns0:row>
    <ns0:row r="18" ht="105" customHeight="1">
      <ns0:c r="A18" s="4" t="n">
        <ns0:v>15</ns0:v>
      </ns0:c>
      <ns0:c r="B18" s="4" t="inlineStr">
        <ns0:is>
          <ns0:t xml:space="preserve">FB-010</ns0:t>
        </ns0:is>
      </ns0:c>
      <ns0:c r="C18" s="4" t="inlineStr">
        <ns0:is>
          <ns0:t xml:space="preserve">Accounts</ns0:t>
        </ns0:is>
      </ns0:c>
      <ns0:c r="D18" s="4" t="inlineStr">
        <ns0:is>
          <ns0:t xml:space="preserve">Lay out the lists and toolbar</ns0:t>
        </ns0:is>
      </ns0:c>
      <ns0:c r="E18" s="4" t="inlineStr">
        <ns0:is>
          <ns0: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ns0:t>
        </ns0:is>
      </ns0:c>
      <ns0:c r="F18" s="4" t="inlineStr">
        <ns0:is>
          <ns0:t xml:space="preserve">FB-009</ns0:t>
        </ns0:is>
      </ns0:c>
      <ns0:c r="G18" s="4" t="str">
        <ns0:f>IF(H18="Complete","Complete",IF(I18="Blocked","Blocked",IF(I18="In progress","Ready",IF(F18="","Ready",IF(COUNTIFS($B$4:$B$73,F18,$H$4:$H$73,"Complete")=1,"Ready","Waiting")))))</ns0:f>
        <ns0:v>Ready</ns0:v>
      </ns0:c>
      <ns0:c r="H18" s="4" t="str">
        <ns0:f>IF(I18="Not started","Not started",IF(I18="Blocked","Blocked",IF(I18="In progress","In progress",IF(J18&lt;&gt;"Passed","Awaiting code review",IF(OR(K18="",NOT(ISNUMBER(L18))),"Awaiting review evidence",IF(N18&lt;&gt;"Passed","Awaiting test",IF(OR(M18="",O18="",NOT(ISNUMBER(P18))),"Awaiting test evidence","Complete")))))))</ns0:f>
        <ns0:v>In progress</ns0:v>
      </ns0:c>
      <ns0:c r="I18" s="10" t="inlineStr">
        <ns0:is>
          <ns0:t xml:space="preserve">In progress</ns0:t>
        </ns0:is>
      </ns0:c>
      <ns0:c r="J18" s="10" t="inlineStr">
        <ns0:is>
          <ns0:t xml:space="preserve">Not reviewed</ns0:t>
        </ns0:is>
      </ns0:c>
      <ns0:c r="K18"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8" s="30" t="n">
        <ns0:v>46324</ns0:v>
      </ns0:c>
      <ns0:c r="M18" s="10" t="inlineStr">
        <ns0:is>
          <ns0:t xml:space="preserve">Developer</ns0:t>
        </ns0:is>
      </ns0:c>
      <ns0:c r="N18" s="10" t="inlineStr">
        <ns0:is>
          <ns0:t xml:space="preserve">Partial</ns0:t>
        </ns0:is>
      </ns0:c>
      <ns0:c r="O18" s="10" t="inlineStr">
        <ns0:is>
          <ns0: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8" s="30" t="n"/>
      <ns0:c r="Q18" s="10" t="inlineStr">
        <ns0:is>
          <ns0: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8"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8" s="10" t="n"/>
    </ns0:row>
    <ns0:row r="19" ht="105" customHeight="1">
      <ns0:c r="A19" s="9" t="n">
        <ns0:v>16</ns0:v>
      </ns0:c>
      <ns0:c r="B19" s="9" t="inlineStr">
        <ns0:is>
          <ns0:t xml:space="preserve">FB-011</ns0:t>
        </ns0:is>
      </ns0:c>
      <ns0:c r="C19" s="9" t="inlineStr">
        <ns0:is>
          <ns0:t xml:space="preserve">Accounts</ns0:t>
        </ns0:is>
      </ns0:c>
      <ns0:c r="D19" s="9" t="inlineStr">
        <ns0:is>
          <ns0:t xml:space="preserve">Add account search</ns0:t>
        </ns0:is>
      </ns0:c>
      <ns0:c r="E19" s="9" t="inlineStr">
        <ns0:is>
          <ns0: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ns0:t>
        </ns0:is>
      </ns0:c>
      <ns0:c r="F19" s="9" t="inlineStr">
        <ns0:is>
          <ns0:t xml:space="preserve">FB-010</ns0:t>
        </ns0:is>
      </ns0:c>
      <ns0:c r="G19" s="9" t="str">
        <ns0:f>IF(H19="Complete","Complete",IF(I19="Blocked","Blocked",IF(I19="In progress","Ready",IF(F19="","Ready",IF(COUNTIFS($B$4:$B$73,F19,$H$4:$H$73,"Complete")=1,"Ready","Waiting")))))</ns0:f>
        <ns0:v>Ready</ns0:v>
      </ns0:c>
      <ns0:c r="H19" s="9" t="str">
        <ns0:f>IF(I19="Not started","Not started",IF(I19="Blocked","Blocked",IF(I19="In progress","In progress",IF(J19&lt;&gt;"Passed","Awaiting code review",IF(OR(K19="",NOT(ISNUMBER(L19))),"Awaiting review evidence",IF(N19&lt;&gt;"Passed","Awaiting test",IF(OR(M19="",O19="",NOT(ISNUMBER(P19))),"Awaiting test evidence","Complete")))))))</ns0:f>
        <ns0:v>In progress</ns0:v>
      </ns0:c>
      <ns0:c r="I19" s="11" t="inlineStr">
        <ns0:is>
          <ns0:t xml:space="preserve">In progress</ns0:t>
        </ns0:is>
      </ns0:c>
      <ns0:c r="J19" s="11" t="inlineStr">
        <ns0:is>
          <ns0:t xml:space="preserve">Changes needed</ns0:t>
        </ns0:is>
      </ns0:c>
      <ns0:c r="K19"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9" s="31" t="n">
        <ns0:v>46324</ns0:v>
      </ns0:c>
      <ns0:c r="M19" s="11" t="inlineStr">
        <ns0:is>
          <ns0:t xml:space="preserve">Developer</ns0:t>
        </ns0:is>
      </ns0:c>
      <ns0:c r="N19" s="11" t="inlineStr">
        <ns0:is>
          <ns0:t xml:space="preserve">Partial</ns0:t>
        </ns0:is>
      </ns0:c>
      <ns0:c r="O19" s="11" t="inlineStr">
        <ns0:is>
          <ns0: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9" s="31" t="n"/>
      <ns0:c r="Q19" s="11" t="inlineStr">
        <ns0:is>
          <ns0: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9"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9" s="11" t="n"/>
    </ns0:row>
    <ns0:row r="20" ht="105" customHeight="1">
      <ns0:c r="A20" s="4" t="n">
        <ns0:v>17</ns0:v>
      </ns0:c>
      <ns0:c r="B20" s="4" t="inlineStr">
        <ns0:is>
          <ns0:t xml:space="preserve">FB-012</ns0:t>
        </ns0:is>
      </ns0:c>
      <ns0:c r="C20" s="4" t="inlineStr">
        <ns0:is>
          <ns0:t xml:space="preserve">Accounts</ns0:t>
        </ns0:is>
      </ns0:c>
      <ns0:c r="D20" s="4" t="inlineStr">
        <ns0:is>
          <ns0:t xml:space="preserve">Extend directory search to partial role names</ns0:t>
        </ns0:is>
      </ns0:c>
      <ns0:c r="E20" s="4" t="inlineStr">
        <ns0:is>
          <ns0:t xml:space="preserve">Same single search box matches role labels as well as first name, last name, email or phone. manager, mana and manag find Managers. Search applies before pagination; no separate status or role dropdown. Related rule: REQ-041.</ns0:t>
        </ns0:is>
      </ns0:c>
      <ns0:c r="F20" s="4" t="inlineStr">
        <ns0:is>
          <ns0:t xml:space="preserve">FB-011</ns0:t>
        </ns0:is>
      </ns0:c>
      <ns0:c r="G20" s="4" t="str">
        <ns0:f>IF(H20="Complete","Complete",IF(I20="Blocked","Blocked",IF(I20="In progress","Ready",IF(F20="","Ready",IF(COUNTIFS($B$4:$B$73,F20,$H$4:$H$73,"Complete")=1,"Ready","Waiting")))))</ns0:f>
        <ns0:v>Ready</ns0:v>
      </ns0:c>
      <ns0:c r="H20" s="4" t="str">
        <ns0:f>IF(I20="Not started","Not started",IF(I20="Blocked","Blocked",IF(I20="In progress","In progress",IF(J20&lt;&gt;"Passed","Awaiting code review",IF(OR(K20="",NOT(ISNUMBER(L20))),"Awaiting review evidence",IF(N20&lt;&gt;"Passed","Awaiting test",IF(OR(M20="",O20="",NOT(ISNUMBER(P20))),"Awaiting test evidence","Complete")))))))</ns0:f>
        <ns0:v>In progress</ns0:v>
      </ns0:c>
      <ns0:c r="I20" s="10" t="inlineStr">
        <ns0:is>
          <ns0:t xml:space="preserve">In progress</ns0:t>
        </ns0:is>
      </ns0:c>
      <ns0:c r="J20" s="10" t="inlineStr">
        <ns0:is>
          <ns0:t xml:space="preserve">Changes needed</ns0:t>
        </ns0:is>
      </ns0:c>
      <ns0:c r="K20"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0" s="30" t="n">
        <ns0:v>46324</ns0:v>
      </ns0:c>
      <ns0:c r="M20" s="10" t="inlineStr">
        <ns0:is>
          <ns0:t xml:space="preserve">Developer</ns0:t>
        </ns0:is>
      </ns0:c>
      <ns0:c r="N20" s="10" t="inlineStr">
        <ns0:is>
          <ns0:t xml:space="preserve">Partial</ns0:t>
        </ns0:is>
      </ns0:c>
      <ns0:c r="O20" s="10" t="inlineStr">
        <ns0:is>
          <ns0: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0" s="30" t="n"/>
      <ns0:c r="Q20" s="10" t="inlineStr">
        <ns0:is>
          <ns0: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0"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0" s="10" t="n"/>
    </ns0:row>
    <ns0:row r="21" ht="105" customHeight="1">
      <ns0:c r="A21" s="9" t="n">
        <ns0:v>18</ns0:v>
      </ns0:c>
      <ns0:c r="B21" s="9" t="inlineStr">
        <ns0:is>
          <ns0:t xml:space="preserve">FB-013</ns0:t>
        </ns0:is>
      </ns0:c>
      <ns0:c r="C21" s="9" t="inlineStr">
        <ns0:is>
          <ns0:t xml:space="preserve">Accounts</ns0:t>
        </ns0:is>
      </ns0:c>
      <ns0:c r="D21" s="9" t="inlineStr">
        <ns0:is>
          <ns0:t xml:space="preserve">Handle cleared searches and no matching users</ns0:t>
        </ns0:is>
      </ns0:c>
      <ns0:c r="E21" s="9" t="inlineStr">
        <ns0:is>
          <ns0:t xml:space="preserve">Clearing the single search restores the full permitted directory; a search with no matches displays an understandable empty result. Include contact and partial-role searches. No separate role/status dropdowns. Related rule: REQ-041.</ns0:t>
        </ns0:is>
      </ns0:c>
      <ns0:c r="F21" s="9" t="inlineStr">
        <ns0:is>
          <ns0:t xml:space="preserve">FB-012</ns0:t>
        </ns0:is>
      </ns0:c>
      <ns0:c r="G21" s="9" t="str">
        <ns0:f>IF(H21="Complete","Complete",IF(I21="Blocked","Blocked",IF(I21="In progress","Ready",IF(F21="","Ready",IF(COUNTIFS($B$4:$B$73,F21,$H$4:$H$73,"Complete")=1,"Ready","Waiting")))))</ns0:f>
        <ns0:v>Ready</ns0:v>
      </ns0:c>
      <ns0:c r="H21" s="9" t="str">
        <ns0:f>IF(I21="Not started","Not started",IF(I21="Blocked","Blocked",IF(I21="In progress","In progress",IF(J21&lt;&gt;"Passed","Awaiting code review",IF(OR(K21="",NOT(ISNUMBER(L21))),"Awaiting review evidence",IF(N21&lt;&gt;"Passed","Awaiting test",IF(OR(M21="",O21="",NOT(ISNUMBER(P21))),"Awaiting test evidence","Complete")))))))</ns0:f>
        <ns0:v>In progress</ns0:v>
      </ns0:c>
      <ns0:c r="I21" s="11" t="inlineStr">
        <ns0:is>
          <ns0:t xml:space="preserve">In progress</ns0:t>
        </ns0:is>
      </ns0:c>
      <ns0:c r="J21" s="11" t="inlineStr">
        <ns0:is>
          <ns0:t xml:space="preserve">Changes needed</ns0:t>
        </ns0:is>
      </ns0:c>
      <ns0:c r="K21"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1" s="31" t="n">
        <ns0:v>46324</ns0:v>
      </ns0:c>
      <ns0:c r="M21" s="11" t="inlineStr">
        <ns0:is>
          <ns0:t xml:space="preserve">Developer</ns0:t>
        </ns0:is>
      </ns0:c>
      <ns0:c r="N21" s="11" t="inlineStr">
        <ns0:is>
          <ns0:t xml:space="preserve">Passed</ns0:t>
        </ns0:is>
      </ns0:c>
      <ns0:c r="O21" s="11" t="inlineStr">
        <ns0:is>
          <ns0: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1" s="31" t="n">
        <ns0:v>46324</ns0:v>
      </ns0:c>
      <ns0:c r="Q21" s="11" t="inlineStr">
        <ns0:is>
          <ns0: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1"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1" s="11" t="n"/>
    </ns0:row>
    <ns0:row r="22" ht="105" customHeight="1">
      <ns0:c r="A22" s="4" t="n">
        <ns0:v>19</ns0:v>
      </ns0:c>
      <ns0:c r="B22" s="4" t="inlineStr">
        <ns0:is>
          <ns0:t xml:space="preserve">FB-014</ns0:t>
        </ns0:is>
      </ns0:c>
      <ns0:c r="C22" s="4" t="inlineStr">
        <ns0:is>
          <ns0:t xml:space="preserve">Accounts</ns0:t>
        </ns0:is>
      </ns0:c>
      <ns0:c r="D22" s="4" t="inlineStr">
        <ns0:is>
          <ns0:t xml:space="preserve">Paginate the user lists</ns0:t>
        </ns0:is>
      </ns0:c>
      <ns0:c r="E22" s="4" t="inlineStr">
        <ns0:is>
          <ns0: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ns0:t>
        </ns0:is>
      </ns0:c>
      <ns0:c r="F22" s="4" t="inlineStr">
        <ns0:is>
          <ns0:t xml:space="preserve">FB-013</ns0:t>
        </ns0:is>
      </ns0:c>
      <ns0:c r="G22" s="4" t="str">
        <ns0:f>IF(H22="Complete","Complete",IF(I22="Blocked","Blocked",IF(I22="In progress","Ready",IF(F22="","Ready",IF(COUNTIFS($B$4:$B$73,F22,$H$4:$H$73,"Complete")=1,"Ready","Waiting")))))</ns0:f>
        <ns0:v>Ready</ns0:v>
      </ns0:c>
      <ns0:c r="H22" s="4" t="str">
        <ns0:f>IF(I22="Not started","Not started",IF(I22="Blocked","Blocked",IF(I22="In progress","In progress",IF(J22&lt;&gt;"Passed","Awaiting code review",IF(OR(K22="",NOT(ISNUMBER(L22))),"Awaiting review evidence",IF(N22&lt;&gt;"Passed","Awaiting test",IF(OR(M22="",O22="",NOT(ISNUMBER(P22))),"Awaiting test evidence","Complete")))))))</ns0:f>
        <ns0:v>In progress</ns0:v>
      </ns0:c>
      <ns0:c r="I22" s="10" t="inlineStr">
        <ns0:is>
          <ns0:t xml:space="preserve">In progress</ns0:t>
        </ns0:is>
      </ns0:c>
      <ns0:c r="J22" s="10" t="inlineStr">
        <ns0:is>
          <ns0:t xml:space="preserve">Changes needed</ns0:t>
        </ns0:is>
      </ns0:c>
      <ns0:c r="K22"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2" s="30" t="n">
        <ns0:v>46324</ns0:v>
      </ns0:c>
      <ns0:c r="M22" s="10" t="inlineStr">
        <ns0:is>
          <ns0:t xml:space="preserve">Developer</ns0:t>
        </ns0:is>
      </ns0:c>
      <ns0:c r="N22" s="10" t="inlineStr">
        <ns0:is>
          <ns0:t xml:space="preserve">Passed</ns0:t>
        </ns0:is>
      </ns0:c>
      <ns0:c r="O22" s="10" t="inlineStr">
        <ns0:is>
          <ns0: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2" s="30" t="n">
        <ns0:v>46324</ns0:v>
      </ns0:c>
      <ns0:c r="Q22" s="10" t="inlineStr">
        <ns0:is>
          <ns0: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2"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2" s="10" t="n"/>
    </ns0:row>
    <ns0:row r="23" ht="105" customHeight="1">
      <ns0:c r="A23" s="9" t="n">
        <ns0:v>20</ns0:v>
      </ns0:c>
      <ns0:c r="B23" s="9" t="inlineStr">
        <ns0:is>
          <ns0:t xml:space="preserve">FB-015</ns0:t>
        </ns0:is>
      </ns0:c>
      <ns0:c r="C23" s="9" t="inlineStr">
        <ns0:is>
          <ns0:t xml:space="preserve">Accounts</ns0:t>
        </ns0:is>
      </ns0:c>
      <ns0:c r="D23" s="9" t="inlineStr">
        <ns0:is>
          <ns0:t xml:space="preserve">Verify shared directory access on the server</ns0:t>
        </ns0:is>
      </ns0:c>
      <ns0:c r="E23" s="9" t="inlineStr">
        <ns0:is>
          <ns0: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ns0:t>
        </ns0:is>
      </ns0:c>
      <ns0:c r="F23" s="9" t="inlineStr">
        <ns0:is>
          <ns0:t xml:space="preserve">FB-014</ns0:t>
        </ns0:is>
      </ns0:c>
      <ns0:c r="G23" s="9" t="str">
        <ns0:f>IF(H23="Complete","Complete",IF(I23="Blocked","Blocked",IF(I23="In progress","Ready",IF(F23="","Ready",IF(COUNTIFS($B$4:$B$73,F23,$H$4:$H$73,"Complete")=1,"Ready","Waiting")))))</ns0:f>
        <ns0:v>Ready</ns0:v>
      </ns0:c>
      <ns0:c r="H23" s="9" t="str">
        <ns0:f>IF(I23="Not started","Not started",IF(I23="Blocked","Blocked",IF(I23="In progress","In progress",IF(J23&lt;&gt;"Passed","Awaiting code review",IF(OR(K23="",NOT(ISNUMBER(L23))),"Awaiting review evidence",IF(N23&lt;&gt;"Passed","Awaiting test",IF(OR(M23="",O23="",NOT(ISNUMBER(P23))),"Awaiting test evidence","Complete")))))))</ns0:f>
        <ns0:v>In progress</ns0:v>
      </ns0:c>
      <ns0:c r="I23" s="11" t="inlineStr">
        <ns0:is>
          <ns0:t xml:space="preserve">In progress</ns0:t>
        </ns0:is>
      </ns0:c>
      <ns0:c r="J23" s="11" t="inlineStr">
        <ns0:is>
          <ns0:t xml:space="preserve">Changes needed</ns0:t>
        </ns0:is>
      </ns0:c>
      <ns0:c r="K23"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3" s="31" t="n">
        <ns0:v>46324</ns0:v>
      </ns0:c>
      <ns0:c r="M23" s="11" t="inlineStr">
        <ns0:is>
          <ns0:t xml:space="preserve">Developer</ns0:t>
        </ns0:is>
      </ns0:c>
      <ns0:c r="N23" s="11" t="inlineStr">
        <ns0:is>
          <ns0:t xml:space="preserve">Partial</ns0:t>
        </ns0:is>
      </ns0:c>
      <ns0:c r="O23" s="11" t="inlineStr">
        <ns0:is>
          <ns0: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3" s="31" t="n"/>
      <ns0:c r="Q23" s="11" t="inlineStr">
        <ns0:is>
          <ns0: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3"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3" s="11" t="n"/>
    </ns0:row>
    <ns0:row r="24" ht="105" customHeight="1">
      <ns0:c r="A24" s="4" t="n">
        <ns0:v>21</ns0:v>
      </ns0:c>
      <ns0:c r="B24" s="4" t="inlineStr">
        <ns0:is>
          <ns0:t xml:space="preserve">FB-008</ns0:t>
        </ns0:is>
      </ns0:c>
      <ns0:c r="C24" s="4" t="inlineStr">
        <ns0:is>
          <ns0:t xml:space="preserve">Access</ns0:t>
        </ns0:is>
      </ns0:c>
      <ns0:c r="D24" s="4" t="inlineStr">
        <ns0:is>
          <ns0:t xml:space="preserve">Display role landing pages and navigation</ns0:t>
        </ns0:is>
      </ns0:c>
      <ns0:c r="E24" s="4" t="inlineStr">
        <ns0:is>
          <ns0:t xml:space="preserve">After normal login: manager volunteer list, Super Admin combined list, volunteer welcome page. Setup takes priority. Welcome offers password change/logout; add inventory links as those features become available.</ns0:t>
        </ns0:is>
      </ns0:c>
      <ns0:c r="F24" s="4" t="inlineStr">
        <ns0:is>
          <ns0:t xml:space="preserve">FB-068</ns0:t>
        </ns0:is>
      </ns0:c>
      <ns0:c r="G24" s="4" t="str">
        <ns0:f>IF(H24="Complete","Complete",IF(I24="Blocked","Blocked",IF(I24="In progress","Ready",IF(F24="","Ready",IF(COUNTIFS($B$4:$B$73,F24,$H$4:$H$73,"Complete")=1,"Ready","Waiting")))))</ns0:f>
        <ns0:v>Waiting</ns0:v>
      </ns0:c>
      <ns0:c r="H24" s="4" t="str">
        <ns0:f>IF(I24="Not started","Not started",IF(I24="Blocked","Blocked",IF(I24="In progress","In progress",IF(J24&lt;&gt;"Passed","Awaiting code review",IF(OR(K24="",NOT(ISNUMBER(L24))),"Awaiting review evidence",IF(N24&lt;&gt;"Passed","Awaiting test",IF(OR(M24="",O24="",NOT(ISNUMBER(P24))),"Awaiting test evidence","Complete")))))))</ns0:f>
        <ns0:v>Not started</ns0:v>
      </ns0:c>
      <ns0:c r="I24" s="10" t="inlineStr">
        <ns0:is>
          <ns0:t xml:space="preserve">Not started</ns0:t>
        </ns0:is>
      </ns0:c>
      <ns0:c r="J24" s="10" t="inlineStr">
        <ns0:is>
          <ns0:t xml:space="preserve">Not reviewed</ns0:t>
        </ns0:is>
      </ns0:c>
      <ns0:c r="K24" s="10" t="str">
        <ns0:v>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24" s="30" t="n"/>
      <ns0:c r="M24" s="10" t="n"/>
      <ns0:c r="N24" s="10" t="inlineStr">
        <ns0:is>
          <ns0:t xml:space="preserve">Not tested</ns0:t>
        </ns0:is>
      </ns0:c>
      <ns0:c r="O24" s="10" t="str">
        <ns0:v>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24" s="30" t="n"/>
      <ns0:c r="Q24" s="10" t="str">
        <ns0:v>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24" s="10" t="str">
        <ns0:v>Before starting/resuming this item or feature: reread AGENTS.md from disk; apply teaching/testing rules. Continue Stock Management planning one decision at a time: package-management permissions first, then summary ownership and classification locks. Reconcile catalogue FB-048/067 evidence and discuss visible product codes at FB-035 before stock implementation FB-034. Preserve pending sidebar checks and project-end deferrals.</ns0:v>
      </ns0:c>
      <ns0:c r="S24" s="10" t="str">
        <ns0:v>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ns0:v>
      </ns0:c>
    </ns0:row>
    <ns0:row r="25" ht="105" customHeight="1">
      <ns0:c r="A25" s="9" t="n">
        <ns0:v>22</ns0:v>
      </ns0:c>
      <ns0:c r="B25" s="9" t="inlineStr">
        <ns0:is>
          <ns0:t xml:space="preserve">FB-021</ns0:t>
        </ns0:is>
      </ns0:c>
      <ns0:c r="C25" s="9" t="inlineStr">
        <ns0:is>
          <ns0:t xml:space="preserve">Accounts</ns0:t>
        </ns0:is>
      </ns0:c>
      <ns0:c r="D25" s="9" t="inlineStr">
        <ns0:is>
          <ns0:t xml:space="preserve">Build and save the separate edit page</ns0:t>
        </ns0:is>
      </ns0:c>
      <ns0:c r="E25" s="9" t="inlineStr">
        <ns0:is>
          <ns0: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ns0:t>
        </ns0:is>
      </ns0:c>
      <ns0:c r="F25" s="9" t="inlineStr">
        <ns0:is>
          <ns0:t xml:space="preserve">FB-015</ns0:t>
        </ns0:is>
      </ns0:c>
      <ns0:c r="G25" s="9" t="str">
        <ns0:f>IF(H25="Complete","Complete",IF(I25="Blocked","Blocked",IF(I25="In progress","Ready",IF(F25="","Ready",IF(COUNTIFS($B$4:$B$73,F25,$H$4:$H$73,"Complete")=1,"Ready","Waiting")))))</ns0:f>
        <ns0:v>Ready</ns0:v>
      </ns0:c>
      <ns0:c r="H25" s="9" t="str">
        <ns0:f>IF(I25="Not started","Not started",IF(I25="Blocked","Blocked",IF(I25="In progress","In progress",IF(J25&lt;&gt;"Passed","Awaiting code review",IF(OR(K25="",NOT(ISNUMBER(L25))),"Awaiting review evidence",IF(N25&lt;&gt;"Passed","Awaiting test",IF(OR(M25="",O25="",NOT(ISNUMBER(P25))),"Awaiting test evidence","Complete")))))))</ns0:f>
        <ns0:v>In progress</ns0:v>
      </ns0:c>
      <ns0:c r="I25" s="11" t="inlineStr">
        <ns0:is>
          <ns0:t xml:space="preserve">In progress</ns0:t>
        </ns0:is>
      </ns0:c>
      <ns0:c r="J25" s="11" t="inlineStr">
        <ns0:is>
          <ns0:t xml:space="preserve">Changes needed</ns0:t>
        </ns0:is>
      </ns0:c>
      <ns0:c r="K25" s="11" t="inlineStr">
        <ns0:is>
          <ns0: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5" s="31" t="n">
        <ns0:v>46324</ns0:v>
      </ns0:c>
      <ns0:c r="M25" s="11" t="inlineStr">
        <ns0:is>
          <ns0:t xml:space="preserve">Assistant (delegated; browser Cancel user-assisted)</ns0:t>
        </ns0:is>
      </ns0:c>
      <ns0:c r="N25" s="11" t="inlineStr">
        <ns0:is>
          <ns0:t xml:space="preserve">Failed</ns0:t>
        </ns0:is>
      </ns0:c>
      <ns0:c r="O25" s="11" t="inlineStr">
        <ns0:is>
          <ns0: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5" s="31" t="n">
        <ns0:v>46324</ns0:v>
      </ns0:c>
      <ns0:c r="Q25" s="11" t="inlineStr">
        <ns0:is>
          <ns0: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5" s="11"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5" s="11" t="n"/>
    </ns0:row>
    <ns0:row r="26" ht="105" customHeight="1">
      <ns0:c r="A26" s="4" t="n">
        <ns0:v>23</ns0:v>
      </ns0:c>
      <ns0:c r="B26" s="4" t="inlineStr">
        <ns0:is>
          <ns0:t xml:space="preserve">FB-022</ns0:t>
        </ns0:is>
      </ns0:c>
      <ns0:c r="C26" s="4" t="inlineStr">
        <ns0:is>
          <ns0:t xml:space="preserve">Accounts</ns0:t>
        </ns0:is>
      </ns0:c>
      <ns0:c r="D26" s="4" t="inlineStr">
        <ns0:is>
          <ns0:t xml:space="preserve">Deactivate and reactivate accounts</ns0:t>
        </ns0:is>
      </ns0:c>
      <ns0:c r="E26" s="4" t="inlineStr">
        <ns0:is>
          <ns0: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ns0:t>
        </ns0:is>
      </ns0:c>
      <ns0:c r="F26" s="4" t="inlineStr">
        <ns0:is>
          <ns0:t xml:space="preserve">FB-021</ns0:t>
        </ns0:is>
      </ns0:c>
      <ns0:c r="G26" s="4" t="str">
        <ns0:f>IF(H26="Complete","Complete",IF(I26="Blocked","Blocked",IF(I26="In progress","Ready",IF(F26="","Ready",IF(COUNTIFS($B$4:$B$73,F26,$H$4:$H$73,"Complete")=1,"Ready","Waiting")))))</ns0:f>
        <ns0:v>Ready</ns0:v>
      </ns0:c>
      <ns0:c r="H26" s="4" t="str">
        <ns0:f>IF(I26="Not started","Not started",IF(I26="Blocked","Blocked",IF(I26="In progress","In progress",IF(J26&lt;&gt;"Passed","Awaiting code review",IF(OR(K26="",NOT(ISNUMBER(L26))),"Awaiting review evidence",IF(N26&lt;&gt;"Passed","Awaiting test",IF(OR(M26="",O26="",NOT(ISNUMBER(P26))),"Awaiting test evidence","Complete")))))))</ns0:f>
        <ns0:v>In progress</ns0:v>
      </ns0:c>
      <ns0:c r="I26" s="10" t="inlineStr">
        <ns0:is>
          <ns0:t xml:space="preserve">In progress</ns0:t>
        </ns0:is>
      </ns0:c>
      <ns0:c r="J26" s="10" t="inlineStr">
        <ns0:is>
          <ns0:t xml:space="preserve">Not reviewed</ns0:t>
        </ns0:is>
      </ns0:c>
      <ns0:c r="K26" s="10" t="inlineStr">
        <ns0:is>
          <ns0: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6" s="30" t="n"/>
      <ns0:c r="M26" s="10" t="inlineStr">
        <ns0:is>
          <ns0:t xml:space="preserve">Assistant (explicit narrow test delegation)</ns0:t>
        </ns0:is>
      </ns0:c>
      <ns0:c r="N26" s="10" t="inlineStr">
        <ns0:is>
          <ns0:t xml:space="preserve">Partial</ns0:t>
        </ns0:is>
      </ns0:c>
      <ns0:c r="O26" s="10" t="inlineStr">
        <ns0:is>
          <ns0: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6" s="30" t="n">
        <ns0:v>46324</ns0:v>
      </ns0:c>
      <ns0:c r="Q26" s="10" t="inlineStr">
        <ns0:is>
          <ns0: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ns0:t>
        </ns0:is>
      </ns0:c>
      <ns0:c r="R26" s="10" t="inlineStr">
        <ns0:is>
          <ns0: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ns0:t>
        </ns0:is>
      </ns0:c>
      <ns0:c r="S26" s="10" t="n"/>
    </ns0:row>
    <ns0:row r="27" ht="105" customHeight="1">
      <ns0:c r="A27" s="9" t="n">
        <ns0:v>24</ns0:v>
      </ns0:c>
      <ns0:c r="B27" s="9" t="inlineStr">
        <ns0:is>
          <ns0:t xml:space="preserve">FB-023</ns0:t>
        </ns0:is>
      </ns0:c>
      <ns0:c r="C27" s="9" t="inlineStr">
        <ns0:is>
          <ns0:t xml:space="preserve">Accounts</ns0:t>
        </ns0:is>
      </ns0:c>
      <ns0:c r="D27" s="9" t="inlineStr">
        <ns0:is>
          <ns0:t xml:space="preserve">Reset manager and volunteer passwords</ns0:t>
        </ns0:is>
      </ns0:c>
      <ns0:c r="E27" s="9" t="inlineStr">
        <ns0:is>
          <ns0:t xml:space="preserve">Confirm reset; managers reset volunteers, Super Admin resets both roles. Set common password, invalidate old password/all sessions, require setup. Preserve Active/Inactive status. Check form/action permissions and next-login cycle.</ns0:t>
        </ns0:is>
      </ns0:c>
      <ns0:c r="F27" s="9" t="inlineStr">
        <ns0:is>
          <ns0:t xml:space="preserve">FB-008</ns0:t>
        </ns0:is>
      </ns0:c>
      <ns0:c r="G27" s="9" t="str">
        <ns0:f>IF(H27="Complete","Complete",IF(I27="Blocked","Blocked",IF(I27="In progress","Ready",IF(F27="","Ready",IF(COUNTIFS($B$4:$B$73,F27,$H$4:$H$73,"Complete")=1,"Ready","Waiting")))))</ns0:f>
        <ns0:v>Waiting</ns0:v>
      </ns0:c>
      <ns0:c r="H27" s="9" t="str">
        <ns0:f>IF(I27="Not started","Not started",IF(I27="Blocked","Blocked",IF(I27="In progress","In progress",IF(J27&lt;&gt;"Passed","Awaiting code review",IF(OR(K27="",NOT(ISNUMBER(L27))),"Awaiting review evidence",IF(N27&lt;&gt;"Passed","Awaiting test",IF(OR(M27="",O27="",NOT(ISNUMBER(P27))),"Awaiting test evidence","Complete")))))))</ns0:f>
        <ns0:v>Not started</ns0:v>
      </ns0:c>
      <ns0:c r="I27" s="11" t="inlineStr">
        <ns0:is>
          <ns0:t xml:space="preserve">Not started</ns0:t>
        </ns0:is>
      </ns0:c>
      <ns0:c r="J27" s="11" t="inlineStr">
        <ns0:is>
          <ns0:t xml:space="preserve">Not reviewed</ns0:t>
        </ns0:is>
      </ns0:c>
      <ns0:c r="K27" s="11" t="n"/>
      <ns0:c r="L27" s="31" t="n"/>
      <ns0:c r="M27" s="11" t="n"/>
      <ns0:c r="N27" s="11" t="inlineStr">
        <ns0:is>
          <ns0:t xml:space="preserve">Not tested</ns0:t>
        </ns0:is>
      </ns0:c>
      <ns0:c r="O27" s="11" t="n"/>
      <ns0:c r="P27" s="31" t="n"/>
      <ns0:c r="Q27" s="11" t="inlineStr">
        <ns0:is>
          <ns0: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7" s="11" t="inlineStr">
        <ns0:is>
          <ns0: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7" s="11" t="n"/>
    </ns0:row>
    <ns0:row r="28" ht="105" customHeight="1">
      <ns0:c r="A28" s="4" t="n">
        <ns0:v>25</ns0:v>
      </ns0:c>
      <ns0:c r="B28" s="4" t="inlineStr">
        <ns0:is>
          <ns0:t xml:space="preserve">FB-025</ns0:t>
        </ns0:is>
      </ns0:c>
      <ns0:c r="C28" s="4" t="inlineStr">
        <ns0:is>
          <ns0:t xml:space="preserve">Accounts</ns0:t>
        </ns0:is>
      </ns0:c>
      <ns0:c r="D28" s="4" t="inlineStr">
        <ns0:is>
          <ns0:t xml:space="preserve">Verify the complete account journey</ns0:t>
        </ns0:is>
      </ns0:c>
      <ns0:c r="E28" s="4" t="inlineStr">
        <ns0:is>
          <ns0:t xml:space="preserve">Developer first tests all three roles, creation/edit/details, search/filter/pagination, inactive sessions and password flows; record automated/direct-request checks as applicable. Review code and retain evidence, not assumptions.</ns0:t>
        </ns0:is>
      </ns0:c>
      <ns0:c r="F28" s="4" t="inlineStr">
        <ns0:is>
          <ns0:t xml:space="preserve">FB-022</ns0:t>
        </ns0:is>
      </ns0:c>
      <ns0:c r="G28" s="4" t="str">
        <ns0:f>IF(H28="Complete","Complete",IF(I28="Blocked","Blocked",IF(I28="In progress","Ready",IF(F28="","Ready",IF(COUNTIFS($B$4:$B$73,F28,$H$4:$H$73,"Complete")=1,"Ready","Waiting")))))</ns0:f>
        <ns0:v>Ready</ns0:v>
      </ns0:c>
      <ns0:c r="H28" s="4" t="str">
        <ns0:f>IF(I28="Not started","Not started",IF(I28="Blocked","Blocked",IF(I28="In progress","In progress",IF(J28&lt;&gt;"Passed","Awaiting code review",IF(OR(K28="",NOT(ISNUMBER(L28))),"Awaiting review evidence",IF(N28&lt;&gt;"Passed","Awaiting test",IF(OR(M28="",O28="",NOT(ISNUMBER(P28))),"Awaiting test evidence","Complete")))))))</ns0:f>
        <ns0:v>In progress</ns0:v>
      </ns0:c>
      <ns0:c r="I28" s="10" t="inlineStr">
        <ns0:is>
          <ns0:t xml:space="preserve">In progress</ns0:t>
        </ns0:is>
      </ns0:c>
      <ns0:c r="J28" s="10" t="inlineStr">
        <ns0:is>
          <ns0:t xml:space="preserve">Changes needed</ns0:t>
        </ns0:is>
      </ns0:c>
      <ns0:c r="K28" s="10" t="str">
        <ns0: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8" s="30" t="n">
        <ns0:v>46324</ns0:v>
      </ns0:c>
      <ns0:c r="M28" s="10" t="inlineStr">
        <ns0:is>
          <ns0:t xml:space="preserve">Assistant (delegated; browser Cancel user-assisted)</ns0:t>
        </ns0:is>
      </ns0:c>
      <ns0:c r="N28" s="10" t="inlineStr">
        <ns0:is>
          <ns0:t xml:space="preserve">Failed</ns0:t>
        </ns0:is>
      </ns0:c>
      <ns0:c r="O28" s="10" t="inlineStr">
        <ns0:is>
          <ns0: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8" s="30" t="n">
        <ns0:v>46324</ns0:v>
      </ns0:c>
      <ns0:c r="Q28" s="10" t="inlineStr">
        <ns0:is>
          <ns0: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8" s="10"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8" s="10" t="n"/>
    </ns0:row>
    <ns0:row r="29" ht="105" customHeight="1">
      <ns0:c r="A29" s="9" t="n">
        <ns0:v>26</ns0:v>
      </ns0:c>
      <ns0:c r="B29" s="9" t="inlineStr">
        <ns0:is>
          <ns0:t xml:space="preserve">FB-026</ns0:t>
        </ns0:is>
      </ns0:c>
      <ns0:c r="C29" s="9" t="inlineStr">
        <ns0:is>
          <ns0:t xml:space="preserve">Departments</ns0:t>
        </ns0:is>
      </ns0:c>
      <ns0:c r="D29" s="9" t="inlineStr">
        <ns0:is>
          <ns0:t xml:space="preserve">Build Department storage and complete creation</ns0:t>
        </ns0:is>
      </ns0:c>
      <ns0:c r="E29" s="9" t="inlineStr">
        <ns0:is>
          <ns0: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ns0:t>
        </ns0:is>
      </ns0:c>
      <ns0:c r="F29" s="9" t="inlineStr">
        <ns0:is>
          <ns0:t xml:space="preserve">FB-025</ns0:t>
        </ns0:is>
      </ns0:c>
      <ns0:c r="G29" s="9" t="str">
        <ns0:f>IF(H29="Complete","Complete",IF(I29="Blocked","Blocked",IF(I29="In progress","Ready",IF(F29="","Ready",IF(COUNTIFS($B$4:$B$73,F29,$H$4:$H$73,"Complete")=1,"Ready","Waiting")))))</ns0:f>
        <ns0:v>Complete</ns0:v>
      </ns0:c>
      <ns0:c r="H29" s="9" t="str">
        <ns0:f>IF(I29="Not started","Not started",IF(I29="Blocked","Blocked",IF(I29="In progress","In progress",IF(J29&lt;&gt;"Passed","Awaiting code review",IF(OR(K29="",NOT(ISNUMBER(L29))),"Awaiting review evidence",IF(N29&lt;&gt;"Passed","Awaiting test",IF(OR(M29="",O29="",NOT(ISNUMBER(P29))),"Awaiting test evidence","Complete")))))))</ns0:f>
        <ns0:v>Complete</ns0:v>
      </ns0:c>
      <ns0:c r="I29" s="11" t="inlineStr">
        <ns0:is>
          <ns0:t xml:space="preserve">Ready for review</ns0:t>
        </ns0:is>
      </ns0:c>
      <ns0:c r="J29" s="11" t="inlineStr">
        <ns0:is>
          <ns0:t xml:space="preserve">Passed</ns0:t>
        </ns0:is>
      </ns0:c>
      <ns0:c r="K29" s="11" t="str">
        <ns0: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29" s="31" t="n">
        <ns0:v>46324</ns0:v>
      </ns0:c>
      <ns0:c r="M29" s="11" t="inlineStr">
        <ns0:is>
          <ns0:t xml:space="preserve">Developer</ns0:t>
        </ns0:is>
      </ns0:c>
      <ns0:c r="N29" s="11" t="inlineStr">
        <ns0:is>
          <ns0:t xml:space="preserve">Passed</ns0:t>
        </ns0:is>
      </ns0:c>
      <ns0:c r="O29" s="11" t="str">
        <ns0:v>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29" s="31" t="n">
        <ns0:v>46324</ns0:v>
      </ns0:c>
      <ns0:c r="Q29" s="11" t="str">
        <ns0:v>2026-10-29 creation complete based on passed source review and overall developer-reported creation testing. No assistant application testing. Seeder added under explicit permission and developer ran successfully.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29" s="11" t="inlineStr">
        <ns0:is>
          <ns0:t xml:space="preserve">Before starting/resuming this item or feature: reread AGENTS.md from disk; apply teaching/testing rules. FB-026 complete; continue FB-027 Department list then rename.</ns0:t>
        </ns0:is>
      </ns0:c>
      <ns0:c r="S29" s="11" t="n"/>
    </ns0:row>
    <ns0:row r="30" ht="105" customHeight="1">
      <ns0:c r="A30" s="4" t="n">
        <ns0:v>27</ns0:v>
      </ns0:c>
      <ns0:c r="B30" s="4" t="inlineStr">
        <ns0:is>
          <ns0:t xml:space="preserve">FB-027</ns0:t>
        </ns0:is>
      </ns0:c>
      <ns0:c r="C30" s="4" t="inlineStr">
        <ns0:is>
          <ns0:t xml:space="preserve">Departments</ns0:t>
        </ns0:is>
      </ns0:c>
      <ns0:c r="D30" s="4" t="inlineStr">
        <ns0:is>
          <ns0:t xml:space="preserve">Display Department list, then rename departments</ns0:t>
        </ns0:is>
      </ns0:c>
      <ns0:c r="E30" s="4" t="inlineStr">
        <ns0:is>
          <ns0: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ns0:t>
        </ns0:is>
      </ns0:c>
      <ns0:c r="F30" s="4" t="inlineStr">
        <ns0:is>
          <ns0:t xml:space="preserve">FB-026</ns0:t>
        </ns0:is>
      </ns0:c>
      <ns0:c r="G30" s="4" t="str">
        <ns0:f>IF(H30="Complete","Complete",IF(I30="Blocked","Blocked",IF(I30="In progress","Ready",IF(F30="","Ready",IF(COUNTIFS($B$4:$B$73,F30,$H$4:$H$73,"Complete")=1,"Ready","Waiting")))))</ns0:f>
        <ns0:v>Complete</ns0:v>
      </ns0:c>
      <ns0:c r="H30" s="4" t="str">
        <ns0:f>IF(I30="Not started","Not started",IF(I30="Blocked","Blocked",IF(I30="In progress","In progress",IF(J30&lt;&gt;"Passed","Awaiting code review",IF(OR(K30="",NOT(ISNUMBER(L30))),"Awaiting review evidence",IF(N30&lt;&gt;"Passed","Awaiting test",IF(OR(M30="",O30="",NOT(ISNUMBER(P30))),"Awaiting test evidence","Complete")))))))</ns0:f>
        <ns0:v>Complete</ns0:v>
      </ns0:c>
      <ns0:c r="I30" s="10" t="inlineStr">
        <ns0:is>
          <ns0:t xml:space="preserve">Ready for review</ns0:t>
        </ns0:is>
      </ns0:c>
      <ns0:c r="J30" s="10" t="inlineStr">
        <ns0:is>
          <ns0:t xml:space="preserve">Passed</ns0:t>
        </ns0:is>
      </ns0:c>
      <ns0:c r="K30" s="10" t="str">
        <ns0: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0" s="30" t="n">
        <ns0:v>46324</ns0:v>
      </ns0:c>
      <ns0:c r="M30" s="10" t="inlineStr">
        <ns0:is>
          <ns0:t xml:space="preserve">Developer</ns0:t>
        </ns0:is>
      </ns0:c>
      <ns0:c r="N30" s="10" t="inlineStr">
        <ns0:is>
          <ns0:t xml:space="preserve">Passed</ns0:t>
        </ns0:is>
      </ns0:c>
      <ns0:c r="O30" s="10" t="str">
        <ns0:v>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0" s="30" t="n">
        <ns0:v>46324</ns0:v>
      </ns0:c>
      <ns0:c r="Q30" s="10" t="str">
        <ns0:v>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0" s="10" t="inlineStr">
        <ns0:is>
          <ns0:t xml:space="preserve">Before starting/resuming this item or feature: reread AGENTS.md from disk; apply teaching/testing rules. Developer checks full-width Department edit input and right-aligned buttons on wide and narrow screens; record result, then resume FB-028.</ns0:t>
        </ns0:is>
      </ns0:c>
      <ns0:c r="S30" s="10" t="n"/>
    </ns0:row>
    <ns0:row r="31" ht="105" customHeight="1">
      <ns0:c r="A31" s="9" t="n">
        <ns0:v>28</ns0:v>
      </ns0:c>
      <ns0:c r="B31" s="9" t="inlineStr">
        <ns0:is>
          <ns0:t xml:space="preserve">FB-028</ns0:t>
        </ns0:is>
      </ns0:c>
      <ns0:c r="C31" s="9" t="inlineStr">
        <ns0:is>
          <ns0:t xml:space="preserve">Categories</ns0:t>
        </ns0:is>
      </ns0:c>
      <ns0:c r="D31" s="9" t="inlineStr">
        <ns0:is>
          <ns0:t xml:space="preserve">Build and verify Category within Department</ns0:t>
        </ns0:is>
      </ns0:c>
      <ns0:c r="E31" s="9" t="inlineStr">
        <ns0:is>
          <ns0: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ns0:t>
        </ns0:is>
      </ns0:c>
      <ns0:c r="F31" s="9" t="inlineStr">
        <ns0:is>
          <ns0:t xml:space="preserve">FB-027</ns0:t>
        </ns0:is>
      </ns0:c>
      <ns0:c r="G31" s="9" t="str">
        <ns0:f>IF(H31="Complete","Complete",IF(I31="Blocked","Blocked",IF(I31="In progress","Ready",IF(F31="","Ready",IF(COUNTIFS($B$4:$B$73,F31,$H$4:$H$73,"Complete")=1,"Ready","Waiting")))))</ns0:f>
        <ns0:v>Complete</ns0:v>
      </ns0:c>
      <ns0:c r="H31" s="9" t="str">
        <ns0:f>IF(I31="Not started","Not started",IF(I31="Blocked","Blocked",IF(I31="In progress","In progress",IF(J31&lt;&gt;"Passed","Awaiting code review",IF(OR(K31="",NOT(ISNUMBER(L31))),"Awaiting review evidence",IF(N31&lt;&gt;"Passed","Awaiting test",IF(OR(M31="",O31="",NOT(ISNUMBER(P31))),"Awaiting test evidence","Complete")))))))</ns0:f>
        <ns0:v>Complete</ns0:v>
      </ns0:c>
      <ns0:c r="I31" s="11" t="inlineStr">
        <ns0:is>
          <ns0:t xml:space="preserve">Ready for review</ns0:t>
        </ns0:is>
      </ns0:c>
      <ns0:c r="J31" s="11" t="inlineStr">
        <ns0:is>
          <ns0:t xml:space="preserve">Passed</ns0:t>
        </ns0:is>
      </ns0:c>
      <ns0:c r="K31" s="11" t="str">
        <ns0: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1" s="31" t="n">
        <ns0:v>46324</ns0:v>
      </ns0:c>
      <ns0:c r="M31" s="11" t="inlineStr">
        <ns0:is>
          <ns0:t xml:space="preserve">Developer (create/list); Assistant (delegated edit tests and browser)</ns0:t>
        </ns0:is>
      </ns0:c>
      <ns0:c r="N31" s="11" t="inlineStr">
        <ns0:is>
          <ns0:t xml:space="preserve">Passed</ns0:t>
        </ns0:is>
      </ns0:c>
      <ns0:c r="O31" s="11" t="str">
        <ns0:v>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1" s="31" t="n">
        <ns0:v>46324</ns0:v>
      </ns0:c>
      <ns0:c r="Q31" s="11" t="str">
        <ns0:v>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1" s="11" t="inlineStr">
        <ns0:is>
          <ns0: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ns0:t>
        </ns0:is>
      </ns0:c>
      <ns0:c r="S31" s="11" t="n"/>
    </ns0:row>
    <ns0:row r="32" ht="105" customHeight="1">
      <ns0:c r="A32" s="4" t="n">
        <ns0:v>29</ns0:v>
      </ns0:c>
      <ns0:c r="B32" s="4" t="inlineStr">
        <ns0:is>
          <ns0:t xml:space="preserve">FB-029</ns0:t>
        </ns0:is>
      </ns0:c>
      <ns0:c r="C32" s="4" t="inlineStr">
        <ns0:is>
          <ns0:t xml:space="preserve">Subcategories</ns0:t>
        </ns0:is>
      </ns0:c>
      <ns0:c r="D32" s="4" t="str">
        <ns0:v>Remove Subcategory and connect Products directly to Category</ns0:v>
      </ns0:c>
      <ns0:c r="E32" s="4" t="str">
        <ns0:v>No Subcategory table/model/routes/pages; Product belongs directly to Category.</ns0:v>
      </ns0:c>
      <ns0:c r="F32" s="4" t="inlineStr">
        <ns0:is>
          <ns0:t xml:space="preserve">FB-028</ns0:t>
        </ns0:is>
      </ns0:c>
      <ns0:c r="G32" s="4" t="str">
        <ns0:f>IF(H32="Complete","Complete",IF(I32="Blocked","Blocked",IF(I32="In progress","Ready",IF(F32="","Ready",IF(COUNTIFS($B$4:$B$73,F32,$H$4:$H$73,"Complete")=1,"Ready","Waiting")))))</ns0:f>
        <ns0:v>Complete</ns0:v>
      </ns0:c>
      <ns0:c r="H32" s="4" t="str">
        <ns0:f>IF(I32="Not started","Not started",IF(I32="Blocked","Blocked",IF(I32="In progress","In progress",IF(J32&lt;&gt;"Passed","Awaiting code review",IF(OR(K32="",NOT(ISNUMBER(L32))),"Awaiting review evidence",IF(N32&lt;&gt;"Passed","Awaiting test",IF(OR(M32="",O32="",NOT(ISNUMBER(P32))),"Awaiting test evidence","Complete")))))))</ns0:f>
        <ns0:v>Complete</ns0:v>
      </ns0:c>
      <ns0:c r="I32" s="10" t="str">
        <ns0:v>Ready for review</ns0:v>
      </ns0:c>
      <ns0:c r="J32" s="10" t="str">
        <ns0:v>Passed</ns0:v>
      </ns0:c>
      <ns0:c r="K32" s="10" t="str">
        <ns0: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2" s="30" t="n">
        <ns0:v>46325</ns0:v>
      </ns0:c>
      <ns0:c r="M32" s="10" t="str">
        <ns0:v>Assistant (delegated automated + in-app browser verification)</ns0:v>
      </ns0:c>
      <ns0:c r="N32" s="10" t="str">
        <ns0:v>Passed</ns0:v>
      </ns0:c>
      <ns0:c r="O32" s="10" t="str">
        <ns0: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2" s="30" t="n">
        <ns0:v>46325</ns0:v>
      </ns0:c>
      <ns0:c r="Q32" s="10" t="str">
        <ns0: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2"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2" s="10" t="n"/>
    </ns0:row>
    <ns0:row r="33" ht="105" customHeight="1">
      <ns0:c r="A33" s="9" t="n">
        <ns0:v>30</ns0:v>
      </ns0:c>
      <ns0:c r="B33" s="9" t="inlineStr">
        <ns0:is>
          <ns0:t xml:space="preserve">FB-030</ns0:t>
        </ns0:is>
      </ns0:c>
      <ns0:c r="C33" s="9" t="inlineStr">
        <ns0:is>
          <ns0:t xml:space="preserve">Subcategories</ns0:t>
        </ns0:is>
      </ns0:c>
      <ns0:c r="D33" s="9" t="str">
        <ns0:v>Preserve Product identity and current hierarchy when moving categories</ns0:v>
      </ns0:c>
      <ns0:c r="E33" s="9" t="str">
        <ns0:v>Move Product between valid Categories preserving ID; duplicate rules apply. Current category shown; no stock lock.</ns0:v>
      </ns0:c>
      <ns0:c r="F33" s="9" t="inlineStr">
        <ns0:is>
          <ns0:t xml:space="preserve">FB-029</ns0:t>
        </ns0:is>
      </ns0:c>
      <ns0:c r="G33" s="9" t="str">
        <ns0:f>IF(H33="Complete","Complete",IF(I33="Blocked","Blocked",IF(I33="In progress","Ready",IF(F33="","Ready",IF(COUNTIFS($B$4:$B$73,F33,$H$4:$H$73,"Complete")=1,"Ready","Waiting")))))</ns0:f>
        <ns0:v>Complete</ns0:v>
      </ns0:c>
      <ns0:c r="H33" s="9" t="str">
        <ns0:f>IF(I33="Not started","Not started",IF(I33="Blocked","Blocked",IF(I33="In progress","In progress",IF(J33&lt;&gt;"Passed","Awaiting code review",IF(OR(K33="",NOT(ISNUMBER(L33))),"Awaiting review evidence",IF(N33&lt;&gt;"Passed","Awaiting test",IF(OR(M33="",O33="",NOT(ISNUMBER(P33))),"Awaiting test evidence","Complete")))))))</ns0:f>
        <ns0:v>Complete</ns0:v>
      </ns0:c>
      <ns0:c r="I33" s="11" t="str">
        <ns0:v>Ready for review</ns0:v>
      </ns0:c>
      <ns0:c r="J33" s="11" t="str">
        <ns0:v>Passed</ns0:v>
      </ns0:c>
      <ns0:c r="K33" s="11" t="str">
        <ns0: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3" s="31" t="n">
        <ns0:v>46325</ns0:v>
      </ns0:c>
      <ns0:c r="M33" s="11" t="str">
        <ns0:v>Assistant (delegated automated + in-app browser verification)</ns0:v>
      </ns0:c>
      <ns0:c r="N33" s="11" t="str">
        <ns0:v>Passed</ns0:v>
      </ns0:c>
      <ns0:c r="O33" s="11" t="str">
        <ns0: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3" s="31" t="n">
        <ns0:v>46325</ns0:v>
      </ns0:c>
      <ns0:c r="Q33" s="11" t="str">
        <ns0: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3"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3" s="11" t="n"/>
    </ns0:row>
    <ns0:row r="34" ht="105" customHeight="1">
      <ns0:c r="A34" s="4" t="n">
        <ns0:v>31</ns0:v>
      </ns0:c>
      <ns0:c r="B34" s="4" t="inlineStr">
        <ns0:is>
          <ns0:t xml:space="preserve">FB-031</ns0:t>
        </ns0:is>
      </ns0:c>
      <ns0:c r="C34" s="4" t="inlineStr">
        <ns0:is>
          <ns0:t xml:space="preserve">Tags</ns0:t>
        </ns0:is>
      </ns0:c>
      <ns0:c r="D34" s="4" t="inlineStr">
        <ns0:is>
          <ns0:t>Remove catalogue tag management; no stock tags in version one</ns0:t>
        </ns0:is>
      </ns0:c>
      <ns0:c r="E34" s="4" t="str">
        <ns0:v>No catalogue Tags routes/pages or product tag relationships/fields; stock tags reserved for later.</ns0:v>
      </ns0:c>
      <ns0:c r="F34" s="4" t="inlineStr">
        <ns0:is>
          <ns0:t xml:space="preserve">FB-030</ns0:t>
        </ns0:is>
      </ns0:c>
      <ns0:c r="G34" s="4" t="str">
        <ns0:f>IF(H34="Complete","Complete",IF(I34="Blocked","Blocked",IF(I34="In progress","Ready",IF(F34="","Ready",IF(COUNTIFS($B$4:$B$73,F34,$H$4:$H$73,"Complete")=1,"Ready","Waiting")))))</ns0:f>
        <ns0:v>Complete</ns0:v>
      </ns0:c>
      <ns0:c r="H34" s="4" t="str">
        <ns0:f>IF(I34="Not started","Not started",IF(I34="Blocked","Blocked",IF(I34="In progress","In progress",IF(J34&lt;&gt;"Passed","Awaiting code review",IF(OR(K34="",NOT(ISNUMBER(L34))),"Awaiting review evidence",IF(N34&lt;&gt;"Passed","Awaiting test",IF(OR(M34="",O34="",NOT(ISNUMBER(P34))),"Awaiting test evidence","Complete")))))))</ns0:f>
        <ns0:v>Complete</ns0:v>
      </ns0:c>
      <ns0:c r="I34" s="10" t="str">
        <ns0:v>Ready for review</ns0:v>
      </ns0:c>
      <ns0:c r="J34" s="10" t="str">
        <ns0:v>Passed</ns0:v>
      </ns0:c>
      <ns0:c r="K34" s="10" t="str">
        <ns0: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4" s="30" t="n">
        <ns0:v>46325</ns0:v>
      </ns0:c>
      <ns0:c r="M34" s="10" t="str">
        <ns0:v>Assistant (delegated automated + in-app browser verification)</ns0:v>
      </ns0:c>
      <ns0:c r="N34" s="10" t="str">
        <ns0:v>Passed</ns0:v>
      </ns0:c>
      <ns0:c r="O34" s="10" t="str">
        <ns0: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4" s="30" t="n">
        <ns0:v>46325</ns0:v>
      </ns0:c>
      <ns0:c r="Q34" s="10" t="str">
        <ns0:v>2026-10-30 FB-031 complete: implemented/reviewed/tested tag creation, paginated search list and rename. Product-related tag work remains at FB-037/048.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4"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4" s="10" t="str"/>
    </ns0:row>
    <ns0:row r="35" ht="105" customHeight="1">
      <ns0:c r="A35" s="9" t="n">
        <ns0:v>32</ns0:v>
      </ns0:c>
      <ns0:c r="B35" s="9" t="inlineStr">
        <ns0:is>
          <ns0:t xml:space="preserve">FB-032</ns0:t>
        </ns0:is>
      </ns0:c>
      <ns0:c r="C35" s="9" t="inlineStr">
        <ns0:is>
          <ns0:t xml:space="preserve">Products</ns0:t>
        </ns0:is>
      </ns0:c>
      <ns0:c r="D35" s="9" t="str">
        <ns0:v>Build three-level Product storage and hierarchy form</ns0:v>
      </ns0:c>
      <ns0:c r="E35" s="9" t="inlineStr">
        <ns0:is>
          <ns0:t>Product category_id/name only, internal ID; original create-table migration, normalized within-category unique key.
2026-10-31 final scope: remove all Product activation/status fields and behaviour; catalogue identity/duplicates/permissions unchanged. Reverification required; see FB-048/067.</ns0:t>
        </ns0:is>
      </ns0:c>
      <ns0:c r="F35" s="9" t="str">
        <ns0:v>FB-031</ns0:v>
      </ns0:c>
      <ns0:c r="G35" s="9" t="str">
        <ns0:f>IF(H35="Complete","Complete",IF(I35="Blocked","Blocked",IF(I35="In progress","Ready",IF(F35="","Ready",IF(COUNTIFS($B$4:$B$73,F35,$H$4:$H$73,"Complete")=1,"Ready","Waiting")))))</ns0:f>
        <ns0:v>Ready</ns0:v>
      </ns0:c>
      <ns0:c r="H35" s="9" t="str">
        <ns0:f>IF(I35="Not started","Not started",IF(I35="Blocked","Blocked",IF(I35="In progress","In progress",IF(J35&lt;&gt;"Passed","Awaiting code review",IF(OR(K35="",NOT(ISNUMBER(L35))),"Awaiting review evidence",IF(N35&lt;&gt;"Passed","Awaiting test",IF(OR(M35="",O35="",NOT(ISNUMBER(P35))),"Awaiting test evidence","Complete")))))))</ns0:f>
        <ns0:v>In progress</ns0:v>
      </ns0:c>
      <ns0:c r="I35" s="11" t="inlineStr">
        <ns0:is>
          <ns0:t>In progress</ns0:t>
        </ns0:is>
      </ns0:c>
      <ns0:c r="J35" s="11" t="inlineStr">
        <ns0:is>
          <ns0:t>Not reviewed</ns0:t>
        </ns0:is>
      </ns0:c>
      <ns0:c r="K35" s="11" t="inlineStr">
        <ns0:is>
          <ns0:t>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35" s="31" t="n">
        <ns0:v>46325</ns0:v>
      </ns0:c>
      <ns0:c r="M35" s="11" t="str">
        <ns0:v>Assistant (delegated automated + in-app browser verification)</ns0:v>
      </ns0:c>
      <ns0:c r="N35" s="11" t="inlineStr">
        <ns0:is>
          <ns0:t>Not tested</ns0:t>
        </ns0:is>
      </ns0:c>
      <ns0:c r="O35" s="11" t="inlineStr">
        <ns0:is>
          <ns0:t>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35" s="31" t="n">
        <ns0:v>46325</ns0:v>
      </ns0:c>
      <ns0:c r="Q35" s="11" t="inlineStr">
        <ns0:is>
          <ns0:t>2026-10-31 approved plan removes existing Product status. Historical review/test evidence retained; changed scope is open pending implementation and verification. No source changes during tracker finalization.</ns0:t>
        </ns0:is>
      </ns0:c>
      <ns0:c r="R35" s="11"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35" s="11" t="str"/>
    </ns0:row>
    <ns0:row r="36" ht="105" customHeight="1">
      <ns0:c r="A36" s="4" t="n">
        <ns0:v>33</ns0:v>
      </ns0:c>
      <ns0:c r="B36" s="4" t="inlineStr">
        <ns0:is>
          <ns0:t xml:space="preserve">FB-033</ns0:t>
        </ns0:is>
      </ns0:c>
      <ns0:c r="C36" s="4" t="inlineStr">
        <ns0:is>
          <ns0:t xml:space="preserve">Products</ns0:t>
        </ns0:is>
      </ns0:c>
      <ns0:c r="D36" s="4" t="str">
        <ns0:v>Share Product form fields, layout and input state</ns0:v>
      </ns0:c>
      <ns0:c r="E36" s="4" t="str">
        <ns0:v>Shared form Department/Category/name/status, responsive layout, reset on Create success, retain errors and reset confirmation after identity edits.</ns0:v>
      </ns0:c>
      <ns0:c r="F36" s="4" t="inlineStr">
        <ns0:is>
          <ns0:t xml:space="preserve">FB-032</ns0:t>
        </ns0:is>
      </ns0:c>
      <ns0:c r="G36" s="4" t="str">
        <ns0:f>IF(H36="Complete","Complete",IF(I36="Blocked","Blocked",IF(I36="In progress","Ready",IF(F36="","Ready",IF(COUNTIFS($B$4:$B$73,F36,$H$4:$H$73,"Complete")=1,"Ready","Waiting")))))</ns0:f>
        <ns0:v>Complete</ns0:v>
      </ns0:c>
      <ns0:c r="H36" s="4" t="str">
        <ns0:f>IF(I36="Not started","Not started",IF(I36="Blocked","Blocked",IF(I36="In progress","In progress",IF(J36&lt;&gt;"Passed","Awaiting code review",IF(OR(K36="",NOT(ISNUMBER(L36))),"Awaiting review evidence",IF(N36&lt;&gt;"Passed","Awaiting test",IF(OR(M36="",O36="",NOT(ISNUMBER(P36))),"Awaiting test evidence","Complete")))))))</ns0:f>
        <ns0:v>Complete</ns0:v>
      </ns0:c>
      <ns0:c r="I36" s="10" t="str">
        <ns0:v>Ready for review</ns0:v>
      </ns0:c>
      <ns0:c r="J36" s="10" t="str">
        <ns0:v>Passed</ns0:v>
      </ns0:c>
      <ns0:c r="K36"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6" s="30" t="n">
        <ns0:v>46325</ns0:v>
      </ns0:c>
      <ns0:c r="M36" s="10" t="str">
        <ns0:v>Assistant (delegated automated + in-app browser verification)</ns0:v>
      </ns0:c>
      <ns0:c r="N36" s="10" t="str">
        <ns0:v>Passed</ns0:v>
      </ns0:c>
      <ns0:c r="O36"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6" s="30" t="n">
        <ns0:v>46325</ns0:v>
      </ns0:c>
      <ns0:c r="Q36" s="10" t="str">
        <ns0: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6"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6" s="10" t="str"/>
    </ns0:row>
    <ns0:row r="37" ht="100" customHeight="1">
      <ns0:c r="A37" s="4">
        <ns0:v>46</ns0:v>
      </ns0:c>
      <ns0:c r="B37" s="4" t="inlineStr">
        <ns0:is>
          <ns0:t xml:space="preserve">FB-035</ns0:t>
        </ns0:is>
      </ns0:c>
      <ns0:c r="C37" s="4" t="inlineStr">
        <ns0:is>
          <ns0:t xml:space="preserve">Products</ns0:t>
        </ns0:is>
      </ns0:c>
      <ns0:c r="D37" s="4" t="inlineStr">
        <ns0:is>
          <ns0:t>Finalize version-one stock plan and omit Product codes</ns0:t>
        </ns0:is>
      </ns0:c>
      <ns0:c r="E37" s="4" t="inlineStr">
        <ns0:is>
          <ns0:t>Developer approves final requirements: no visible codes; approved stock setup/screens/permissions/locks/corrections/deletion and future boundaries recorded. No application implementation required to complete this planning item.</ns0:t>
        </ns0:is>
      </ns0:c>
      <ns0:c r="F37" s="4" t="inlineStr">
        <ns0:is>
          <ns0:t>FB-047</ns0:t>
        </ns0:is>
      </ns0:c>
      <ns0:c r="G37" s="4" t="str">
        <ns0:f>IF(H37="Complete","Complete",IF(I37="Blocked","Blocked",IF(I37="In progress","Ready",IF(F37="","Ready",IF(COUNTIFS($B$4:$B$73,F37,$H$4:$H$73,"Complete")=1,"Ready","Waiting")))))</ns0:f>
        <ns0:v>Complete</ns0:v>
      </ns0:c>
      <ns0:c r="H37" s="4" t="str">
        <ns0:f>IF(I37="Not started","Not started",IF(I37="Blocked","Blocked",IF(I37="In progress","In progress",IF(J37&lt;&gt;"Passed","Awaiting code review",IF(OR(K37="",NOT(ISNUMBER(L37))),"Awaiting review evidence",IF(N37&lt;&gt;"Passed","Awaiting test",IF(OR(M37="",O37="",NOT(ISNUMBER(P37))),"Awaiting test evidence","Complete")))))))</ns0:f>
        <ns0:v>Complete</ns0:v>
      </ns0:c>
      <ns0:c r="I37" s="10" t="inlineStr">
        <ns0:is>
          <ns0:t>Ready for review</ns0:t>
        </ns0:is>
      </ns0:c>
      <ns0:c r="J37" s="10" t="inlineStr">
        <ns0:is>
          <ns0:t>Passed</ns0:t>
        </ns0:is>
      </ns0:c>
      <ns0:c r="K37" s="10" t="inlineStr">
        <ns0:is>
          <ns0:t>2026-10-31 planning-artifact review: checked final Requirements and related Stories against explicit decisions in this chat. No application code required/reviewed by FB-035 planning closure. Existing catalogue review remains historical and scoped status-removal follow-up is open.</ns0:t>
        </ns0:is>
      </ns0:c>
      <ns0:c r="L37" s="30">
        <ns0:v>46326.0</ns0:v>
      </ns0:c>
      <ns0:c r="M37" s="10" t="inlineStr">
        <ns0:is>
          <ns0:t>Developer</ns0:t>
        </ns0:is>
      </ns0:c>
      <ns0:c r="N37" s="10" t="inlineStr">
        <ns0:is>
          <ns0:t>Passed</ns0:t>
        </ns0:is>
      </ns0:c>
      <ns0:c r="O37" s="10" t="inlineStr">
        <ns0:is>
          <ns0:t>2026-10-31 developer explicitly confirmed final version-one plan matches intended scope and requested tracker finalization. This is planning acceptance, not application behaviour testing.</ns0:t>
        </ns0:is>
      </ns0:c>
      <ns0:c r="P37" s="30">
        <ns0:v>46326.0</ns0:v>
      </ns0:c>
      <ns0:c r="Q37" s="10" t="inlineStr">
        <ns0:is>
          <ns0:t>Final stock plan approved and recorded. Version-one codes/tags/Product and stock-item activation excluded. Version-two measurement-family repair REQ-190 remains deferred. Await explicit permission before implementation.</ns0:t>
        </ns0:is>
      </ns0:c>
      <ns0:c r="R37" s="10" t="inlineStr">
        <ns0:is>
          <ns0:t>Before starting/resuming this item or feature: reread AGENTS.md from disk; apply teaching/testing rules. Planning finalized. Next FB-048 aligns existing Product status,then FB-067 recheck,then Package sizes first within FB-034. Ask developer before first implementation lesson.</ns0:t>
        </ns0:is>
      </ns0:c>
      <ns0:c r="S37" s="10" t="inlineStr">
        <ns0:is>
          <ns0:t/>
        </ns0:is>
      </ns0:c>
    </ns0:row>
    <ns0:row r="38" ht="105" customHeight="1">
      <ns0:c r="A38" s="9" t="n">
        <ns0:v>34</ns0:v>
      </ns0:c>
      <ns0:c r="B38" s="9" t="inlineStr">
        <ns0:is>
          <ns0:t xml:space="preserve">FB-036</ns0:t>
        </ns0:is>
      </ns0:c>
      <ns0:c r="C38" s="9" t="inlineStr">
        <ns0:is>
          <ns0:t xml:space="preserve">Products</ns0:t>
        </ns0:is>
      </ns0:c>
      <ns0:c r="D38" s="9" t="str">
        <ns0:v>Block within-category duplicates and confirm same names elsewhere</ns0:v>
      </ns0:c>
      <ns0:c r="E38" s="9" t="str">
        <ns0:v>Block same normalized name in destination Category including inactive. Warn with matching full paths elsewhere; confirm Create/rename/category move. No repeat warning for status-only edits.</ns0:v>
      </ns0:c>
      <ns0:c r="F38" s="9" t="str">
        <ns0:v>FB-033</ns0:v>
      </ns0:c>
      <ns0:c r="G38" s="9" t="str">
        <ns0:f>IF(H38="Complete","Complete",IF(I38="Blocked","Blocked",IF(I38="In progress","Ready",IF(F38="","Ready",IF(COUNTIFS($B$4:$B$73,F38,$H$4:$H$73,"Complete")=1,"Ready","Waiting")))))</ns0:f>
        <ns0:v>Complete</ns0:v>
      </ns0:c>
      <ns0:c r="H38" s="9" t="str">
        <ns0:f>IF(I38="Not started","Not started",IF(I38="Blocked","Blocked",IF(I38="In progress","In progress",IF(J38&lt;&gt;"Passed","Awaiting code review",IF(OR(K38="",NOT(ISNUMBER(L38))),"Awaiting review evidence",IF(N38&lt;&gt;"Passed","Awaiting test",IF(OR(M38="",O38="",NOT(ISNUMBER(P38))),"Awaiting test evidence","Complete")))))))</ns0:f>
        <ns0:v>Complete</ns0:v>
      </ns0:c>
      <ns0:c r="I38" s="11" t="str">
        <ns0:v>Ready for review</ns0:v>
      </ns0:c>
      <ns0:c r="J38" s="11" t="str">
        <ns0:v>Passed</ns0:v>
      </ns0:c>
      <ns0:c r="K38"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8" s="31" t="n">
        <ns0:v>46325</ns0:v>
      </ns0:c>
      <ns0:c r="M38" s="11" t="str">
        <ns0:v>Assistant (delegated automated + in-app browser verification)</ns0:v>
      </ns0:c>
      <ns0:c r="N38" s="11" t="str">
        <ns0:v>Passed</ns0:v>
      </ns0:c>
      <ns0:c r="O38" s="11"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8" s="31" t="n">
        <ns0:v>46325</ns0:v>
      </ns0:c>
      <ns0:c r="Q38" s="11" t="str">
        <ns0: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8"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8" s="11" t="str"/>
    </ns0:row>
    <ns0:row r="39" ht="105" customHeight="1">
      <ns0:c r="A39" s="4" t="n">
        <ns0:v>35</ns0:v>
      </ns0:c>
      <ns0:c r="B39" s="4" t="inlineStr">
        <ns0:is>
          <ns0:t xml:space="preserve">FB-037</ns0:t>
        </ns0:is>
      </ns0:c>
      <ns0:c r="C39" s="4" t="inlineStr">
        <ns0:is>
          <ns0:t xml:space="preserve">Products</ns0:t>
        </ns0:is>
      </ns0:c>
      <ns0:c r="D39" s="4" t="str">
        <ns0:v>Save generic Products without brand/tag/package fields</ns0:v>
      </ns0:c>
      <ns0:c r="E39" s="4" t="inlineStr">
        <ns0:is>
          <ns0:t>Save generic Product directly under Category; no brand/tags/package/code fields; request validation, route/request/action policy checks.
2026-10-31 final scope: remove all Product activation/status fields and behaviour; catalogue identity/duplicates/permissions unchanged. Reverification required; see FB-048/067.</ns0:t>
        </ns0:is>
      </ns0:c>
      <ns0:c r="F39" s="4" t="inlineStr">
        <ns0:is>
          <ns0:t xml:space="preserve">FB-036</ns0:t>
        </ns0:is>
      </ns0:c>
      <ns0:c r="G39" s="4" t="str">
        <ns0:f>IF(H39="Complete","Complete",IF(I39="Blocked","Blocked",IF(I39="In progress","Ready",IF(F39="","Ready",IF(COUNTIFS($B$4:$B$73,F39,$H$4:$H$73,"Complete")=1,"Ready","Waiting")))))</ns0:f>
        <ns0:v>Ready</ns0:v>
      </ns0:c>
      <ns0:c r="H39" s="4" t="str">
        <ns0:f>IF(I39="Not started","Not started",IF(I39="Blocked","Blocked",IF(I39="In progress","In progress",IF(J39&lt;&gt;"Passed","Awaiting code review",IF(OR(K39="",NOT(ISNUMBER(L39))),"Awaiting review evidence",IF(N39&lt;&gt;"Passed","Awaiting test",IF(OR(M39="",O39="",NOT(ISNUMBER(P39))),"Awaiting test evidence","Complete")))))))</ns0:f>
        <ns0:v>In progress</ns0:v>
      </ns0:c>
      <ns0:c r="I39" s="10" t="inlineStr">
        <ns0:is>
          <ns0:t>In progress</ns0:t>
        </ns0:is>
      </ns0:c>
      <ns0:c r="J39" s="10" t="inlineStr">
        <ns0:is>
          <ns0:t>Not reviewed</ns0:t>
        </ns0:is>
      </ns0:c>
      <ns0:c r="K39" s="10" t="inlineStr">
        <ns0:is>
          <ns0:t>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39" s="30" t="n">
        <ns0:v>46325</ns0:v>
      </ns0:c>
      <ns0:c r="M39" s="10" t="str">
        <ns0:v>Assistant (delegated automated + in-app browser verification)</ns0:v>
      </ns0:c>
      <ns0:c r="N39" s="10" t="inlineStr">
        <ns0:is>
          <ns0:t>Not tested</ns0:t>
        </ns0:is>
      </ns0:c>
      <ns0:c r="O39" s="10" t="inlineStr">
        <ns0:is>
          <ns0:t>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39" s="30" t="n">
        <ns0:v>46325</ns0:v>
      </ns0:c>
      <ns0:c r="Q39" s="10" t="inlineStr">
        <ns0:is>
          <ns0:t>2026-10-31 approved plan removes existing Product status. Historical review/test evidence retained; changed scope is open pending implementation and verification. No source changes during tracker finalization.</ns0:t>
        </ns0:is>
      </ns0:c>
      <ns0:c r="R39" s="10"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39" s="10" t="str"/>
    </ns0:row>
    <ns0:row r="40" ht="105" customHeight="1">
      <ns0:c r="A40" s="9" t="n">
        <ns0:v>36</ns0:v>
      </ns0:c>
      <ns0:c r="B40" s="9" t="inlineStr">
        <ns0:is>
          <ns0:t xml:space="preserve">FB-038</ns0:t>
        </ns0:is>
      </ns0:c>
      <ns0:c r="C40" s="9" t="inlineStr">
        <ns0:is>
          <ns0:t xml:space="preserve">Products</ns0:t>
        </ns0:is>
      </ns0:c>
      <ns0:c r="D40" s="9" t="str">
        <ns0:v>Display generic Products and their current category paths</ns0:v>
      </ns0:c>
      <ns0:c r="E40" s="9" t="inlineStr">
        <ns0:is>
          <ns0:t>All roles browse Product name/current Department/Category/status; Manager/SuperAdmin Create/Edit only.
2026-10-31 final scope: remove all Product activation/status fields and behaviour; catalogue identity/duplicates/permissions unchanged. Reverification required; see FB-048/067.</ns0:t>
        </ns0:is>
      </ns0:c>
      <ns0:c r="F40" s="9" t="inlineStr">
        <ns0:is>
          <ns0:t xml:space="preserve">FB-037</ns0:t>
        </ns0:is>
      </ns0:c>
      <ns0:c r="G40" s="9" t="str">
        <ns0:f>IF(H40="Complete","Complete",IF(I40="Blocked","Blocked",IF(I40="In progress","Ready",IF(F40="","Ready",IF(COUNTIFS($B$4:$B$73,F40,$H$4:$H$73,"Complete")=1,"Ready","Waiting")))))</ns0:f>
        <ns0:v>Ready</ns0:v>
      </ns0:c>
      <ns0:c r="H40" s="9" t="str">
        <ns0:f>IF(I40="Not started","Not started",IF(I40="Blocked","Blocked",IF(I40="In progress","In progress",IF(J40&lt;&gt;"Passed","Awaiting code review",IF(OR(K40="",NOT(ISNUMBER(L40))),"Awaiting review evidence",IF(N40&lt;&gt;"Passed","Awaiting test",IF(OR(M40="",O40="",NOT(ISNUMBER(P40))),"Awaiting test evidence","Complete")))))))</ns0:f>
        <ns0:v>In progress</ns0:v>
      </ns0:c>
      <ns0:c r="I40" s="11" t="inlineStr">
        <ns0:is>
          <ns0:t>In progress</ns0:t>
        </ns0:is>
      </ns0:c>
      <ns0:c r="J40" s="11" t="inlineStr">
        <ns0:is>
          <ns0:t>Not reviewed</ns0:t>
        </ns0:is>
      </ns0:c>
      <ns0:c r="K40"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0" s="31" t="n">
        <ns0:v>46325</ns0:v>
      </ns0:c>
      <ns0:c r="M40" s="11" t="str">
        <ns0:v>Assistant (delegated automated + in-app browser verification)</ns0:v>
      </ns0:c>
      <ns0:c r="N40" s="11" t="inlineStr">
        <ns0:is>
          <ns0:t>Not tested</ns0:t>
        </ns0:is>
      </ns0:c>
      <ns0:c r="O40"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0" s="31" t="n">
        <ns0:v>46325</ns0:v>
      </ns0:c>
      <ns0:c r="Q40" s="11" t="inlineStr">
        <ns0:is>
          <ns0:t>2026-10-31 approved plan removes existing Product status. Historical review/test evidence retained; changed scope is open pending implementation and verification. No source changes during tracker finalization.</ns0:t>
        </ns0:is>
      </ns0:c>
      <ns0:c r="R40" s="11"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40" s="11" t="n"/>
    </ns0:row>
    <ns0:row r="41" ht="105" customHeight="1">
      <ns0:c r="A41" s="4" t="n">
        <ns0:v>37</ns0:v>
      </ns0:c>
      <ns0:c r="B41" s="4" t="inlineStr">
        <ns0:is>
          <ns0:t xml:space="preserve">FB-039</ns0:t>
        </ns0:is>
      </ns0:c>
      <ns0:c r="C41" s="4" t="inlineStr">
        <ns0:is>
          <ns0:t xml:space="preserve">Products</ns0:t>
        </ns0:is>
      </ns0:c>
      <ns0:c r="D41" s="4" t="str">
        <ns0:v>Arrange catalogue rows and responsive filter toolbar</ns0:v>
      </ns0:c>
      <ns0:c r="E41" s="4" t="inlineStr">
        <ns0:is>
          <ns0:t xml:space="preserve">Teach responsive widths, wrapping/table overflow/stacked toolbar for product identity/classification. No stock/size columns.</ns0:t>
        </ns0:is>
      </ns0:c>
      <ns0:c r="F41" s="4" t="inlineStr">
        <ns0:is>
          <ns0:t xml:space="preserve">FB-038</ns0:t>
        </ns0:is>
      </ns0:c>
      <ns0:c r="G41" s="4" t="str">
        <ns0:f>IF(H41="Complete","Complete",IF(I41="Blocked","Blocked",IF(I41="In progress","Ready",IF(F41="","Ready",IF(COUNTIFS($B$4:$B$73,F41,$H$4:$H$73,"Complete")=1,"Ready","Waiting")))))</ns0:f>
        <ns0:v>Complete</ns0:v>
      </ns0:c>
      <ns0:c r="H41" s="4" t="str">
        <ns0:f>IF(I41="Not started","Not started",IF(I41="Blocked","Blocked",IF(I41="In progress","In progress",IF(J41&lt;&gt;"Passed","Awaiting code review",IF(OR(K41="",NOT(ISNUMBER(L41))),"Awaiting review evidence",IF(N41&lt;&gt;"Passed","Awaiting test",IF(OR(M41="",O41="",NOT(ISNUMBER(P41))),"Awaiting test evidence","Complete")))))))</ns0:f>
        <ns0:v>Complete</ns0:v>
      </ns0:c>
      <ns0:c r="I41" s="10" t="str">
        <ns0:v>Ready for review</ns0:v>
      </ns0:c>
      <ns0:c r="J41" s="10" t="str">
        <ns0:v>Passed</ns0:v>
      </ns0:c>
      <ns0:c r="K41"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1" s="30" t="n">
        <ns0:v>46325</ns0:v>
      </ns0:c>
      <ns0:c r="M41" s="10" t="str">
        <ns0:v>Assistant (delegated automated + in-app browser verification)</ns0:v>
      </ns0:c>
      <ns0:c r="N41" s="10" t="str">
        <ns0:v>Passed</ns0:v>
      </ns0:c>
      <ns0:c r="O41"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1" s="30" t="n">
        <ns0:v>46325</ns0:v>
      </ns0:c>
      <ns0:c r="Q41"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1"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1" s="10" t="n"/>
    </ns0:row>
    <ns0:row r="42" ht="105" customHeight="1">
      <ns0:c r="A42" s="9" t="n">
        <ns0:v>38</ns0:v>
      </ns0:c>
      <ns0:c r="B42" s="9" t="inlineStr">
        <ns0:is>
          <ns0:t xml:space="preserve">FB-040</ns0:t>
        </ns0:is>
      </ns0:c>
      <ns0:c r="C42" s="9" t="inlineStr">
        <ns0:is>
          <ns0:t xml:space="preserve">Products</ns0:t>
        </ns0:is>
      </ns0:c>
      <ns0:c r="D42" s="9" t="str">
        <ns0:v>Search by Product name</ns0:v>
      </ns0:c>
      <ns0:c r="E42" s="9" t="str">
        <ns0:v>Partial Product name search only; no tag/code search.</ns0:v>
      </ns0:c>
      <ns0:c r="F42" s="9" t="inlineStr">
        <ns0:is>
          <ns0:t xml:space="preserve">FB-039</ns0:t>
        </ns0:is>
      </ns0:c>
      <ns0:c r="G42" s="9" t="str">
        <ns0:f>IF(H42="Complete","Complete",IF(I42="Blocked","Blocked",IF(I42="In progress","Ready",IF(F42="","Ready",IF(COUNTIFS($B$4:$B$73,F42,$H$4:$H$73,"Complete")=1,"Ready","Waiting")))))</ns0:f>
        <ns0:v>Complete</ns0:v>
      </ns0:c>
      <ns0:c r="H42" s="9" t="str">
        <ns0:f>IF(I42="Not started","Not started",IF(I42="Blocked","Blocked",IF(I42="In progress","In progress",IF(J42&lt;&gt;"Passed","Awaiting code review",IF(OR(K42="",NOT(ISNUMBER(L42))),"Awaiting review evidence",IF(N42&lt;&gt;"Passed","Awaiting test",IF(OR(M42="",O42="",NOT(ISNUMBER(P42))),"Awaiting test evidence","Complete")))))))</ns0:f>
        <ns0:v>Complete</ns0:v>
      </ns0:c>
      <ns0:c r="I42" s="11" t="str">
        <ns0:v>Ready for review</ns0:v>
      </ns0:c>
      <ns0:c r="J42" s="11" t="str">
        <ns0:v>Passed</ns0:v>
      </ns0:c>
      <ns0:c r="K42"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2" s="31" t="n">
        <ns0:v>46325</ns0:v>
      </ns0:c>
      <ns0:c r="M42" s="11" t="str">
        <ns0:v>Assistant (delegated automated + in-app browser verification)</ns0:v>
      </ns0:c>
      <ns0:c r="N42" s="11" t="str">
        <ns0:v>Passed</ns0:v>
      </ns0:c>
      <ns0:c r="O42"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2" s="31" t="n">
        <ns0:v>46325</ns0:v>
      </ns0:c>
      <ns0:c r="Q42"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2"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2" s="11" t="n"/>
    </ns0:row>
    <ns0:row r="43" ht="105" customHeight="1">
      <ns0:c r="A43" s="4" t="n">
        <ns0:v>39</ns0:v>
      </ns0:c>
      <ns0:c r="B43" s="4" t="inlineStr">
        <ns0:is>
          <ns0:t xml:space="preserve">FB-041</ns0:t>
        </ns0:is>
      </ns0:c>
      <ns0:c r="C43" s="4" t="inlineStr">
        <ns0:is>
          <ns0:t xml:space="preserve">Products</ns0:t>
        </ns0:is>
      </ns0:c>
      <ns0:c r="D43" s="4" t="inlineStr">
        <ns0:is>
          <ns0:t xml:space="preserve">Add the department filter</ns0:t>
        </ns0:is>
      </ns0:c>
      <ns0:c r="E43" s="4" t="inlineStr">
        <ns0:is>
          <ns0:t xml:space="preserve">Filter by department alone and with search. Explain selected state and request values; do not introduce remaining filters yet.</ns0:t>
        </ns0:is>
      </ns0:c>
      <ns0:c r="F43" s="4" t="inlineStr">
        <ns0:is>
          <ns0:t xml:space="preserve">FB-040</ns0:t>
        </ns0:is>
      </ns0:c>
      <ns0:c r="G43" s="4" t="str">
        <ns0:f>IF(H43="Complete","Complete",IF(I43="Blocked","Blocked",IF(I43="In progress","Ready",IF(F43="","Ready",IF(COUNTIFS($B$4:$B$73,F43,$H$4:$H$73,"Complete")=1,"Ready","Waiting")))))</ns0:f>
        <ns0:v>Complete</ns0:v>
      </ns0:c>
      <ns0:c r="H43" s="4" t="str">
        <ns0:f>IF(I43="Not started","Not started",IF(I43="Blocked","Blocked",IF(I43="In progress","In progress",IF(J43&lt;&gt;"Passed","Awaiting code review",IF(OR(K43="",NOT(ISNUMBER(L43))),"Awaiting review evidence",IF(N43&lt;&gt;"Passed","Awaiting test",IF(OR(M43="",O43="",NOT(ISNUMBER(P43))),"Awaiting test evidence","Complete")))))))</ns0:f>
        <ns0:v>Complete</ns0:v>
      </ns0:c>
      <ns0:c r="I43" s="10" t="str">
        <ns0:v>Ready for review</ns0:v>
      </ns0:c>
      <ns0:c r="J43" s="10" t="str">
        <ns0:v>Passed</ns0:v>
      </ns0:c>
      <ns0:c r="K43"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3" s="30" t="n">
        <ns0:v>46325</ns0:v>
      </ns0:c>
      <ns0:c r="M43" s="10" t="str">
        <ns0:v>Assistant (delegated automated + in-app browser verification)</ns0:v>
      </ns0:c>
      <ns0:c r="N43" s="10" t="str">
        <ns0:v>Passed</ns0:v>
      </ns0:c>
      <ns0:c r="O43"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3" s="30" t="n">
        <ns0:v>46325</ns0:v>
      </ns0:c>
      <ns0:c r="Q43"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3"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3" s="10" t="n"/>
    </ns0:row>
    <ns0:row r="44" ht="105" customHeight="1">
      <ns0:c r="A44" s="9" t="n">
        <ns0:v>40</ns0:v>
      </ns0:c>
      <ns0:c r="B44" s="9" t="inlineStr">
        <ns0:is>
          <ns0:t xml:space="preserve">FB-042</ns0:t>
        </ns0:is>
      </ns0:c>
      <ns0:c r="C44" s="9" t="inlineStr">
        <ns0:is>
          <ns0:t xml:space="preserve">Products</ns0:t>
        </ns0:is>
      </ns0:c>
      <ns0:c r="D44" s="9" t="inlineStr">
        <ns0:is>
          <ns0:t xml:space="preserve">Add the category filter</ns0:t>
        </ns0:is>
      </ns0:c>
      <ns0:c r="E44" s="9" t="inlineStr">
        <ns0:is>
          <ns0:t xml:space="preserve">Filter by category and combine with department/search; changing parent must not leave incompatible selections.</ns0:t>
        </ns0:is>
      </ns0:c>
      <ns0:c r="F44" s="9" t="inlineStr">
        <ns0:is>
          <ns0:t xml:space="preserve">FB-041</ns0:t>
        </ns0:is>
      </ns0:c>
      <ns0:c r="G44" s="9" t="str">
        <ns0:f>IF(H44="Complete","Complete",IF(I44="Blocked","Blocked",IF(I44="In progress","Ready",IF(F44="","Ready",IF(COUNTIFS($B$4:$B$73,F44,$H$4:$H$73,"Complete")=1,"Ready","Waiting")))))</ns0:f>
        <ns0:v>Complete</ns0:v>
      </ns0:c>
      <ns0:c r="H44" s="9" t="str">
        <ns0:f>IF(I44="Not started","Not started",IF(I44="Blocked","Blocked",IF(I44="In progress","In progress",IF(J44&lt;&gt;"Passed","Awaiting code review",IF(OR(K44="",NOT(ISNUMBER(L44))),"Awaiting review evidence",IF(N44&lt;&gt;"Passed","Awaiting test",IF(OR(M44="",O44="",NOT(ISNUMBER(P44))),"Awaiting test evidence","Complete")))))))</ns0:f>
        <ns0:v>Complete</ns0:v>
      </ns0:c>
      <ns0:c r="I44" s="11" t="str">
        <ns0:v>Ready for review</ns0:v>
      </ns0:c>
      <ns0:c r="J44" s="11" t="str">
        <ns0:v>Passed</ns0:v>
      </ns0:c>
      <ns0:c r="K44"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4" s="31" t="n">
        <ns0:v>46325</ns0:v>
      </ns0:c>
      <ns0:c r="M44" s="11" t="str">
        <ns0:v>Assistant (delegated automated + in-app browser verification)</ns0:v>
      </ns0:c>
      <ns0:c r="N44" s="11" t="str">
        <ns0:v>Passed</ns0:v>
      </ns0:c>
      <ns0:c r="O44"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4" s="31" t="n">
        <ns0:v>46325</ns0:v>
      </ns0:c>
      <ns0:c r="Q44"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4"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4" s="11" t="n"/>
    </ns0:row>
    <ns0:row r="45" ht="105" customHeight="1">
      <ns0:c r="A45" s="4" t="n">
        <ns0:v>41</ns0:v>
      </ns0:c>
      <ns0:c r="B45" s="4" t="inlineStr">
        <ns0:is>
          <ns0:t xml:space="preserve">FB-043</ns0:t>
        </ns0:is>
      </ns0:c>
      <ns0:c r="C45" s="4" t="inlineStr">
        <ns0:is>
          <ns0:t xml:space="preserve">Products</ns0:t>
        </ns0:is>
      </ns0:c>
      <ns0:c r="D45" s="4" t="str">
        <ns0:v>Remove obsolete Subcategory pages, routes and filter</ns0:v>
      </ns0:c>
      <ns0:c r="E45" s="4" t="str">
        <ns0:v>No Subcategory filter/pages/routes; check Department/Category selections remain valid.</ns0:v>
      </ns0:c>
      <ns0:c r="F45" s="4" t="inlineStr">
        <ns0:is>
          <ns0:t xml:space="preserve">FB-042</ns0:t>
        </ns0:is>
      </ns0:c>
      <ns0:c r="G45" s="4" t="str">
        <ns0:f>IF(H45="Complete","Complete",IF(I45="Blocked","Blocked",IF(I45="In progress","Ready",IF(F45="","Ready",IF(COUNTIFS($B$4:$B$73,F45,$H$4:$H$73,"Complete")=1,"Ready","Waiting")))))</ns0:f>
        <ns0:v>Complete</ns0:v>
      </ns0:c>
      <ns0:c r="H45" s="4" t="str">
        <ns0:f>IF(I45="Not started","Not started",IF(I45="Blocked","Blocked",IF(I45="In progress","In progress",IF(J45&lt;&gt;"Passed","Awaiting code review",IF(OR(K45="",NOT(ISNUMBER(L45))),"Awaiting review evidence",IF(N45&lt;&gt;"Passed","Awaiting test",IF(OR(M45="",O45="",NOT(ISNUMBER(P45))),"Awaiting test evidence","Complete")))))))</ns0:f>
        <ns0:v>Complete</ns0:v>
      </ns0:c>
      <ns0:c r="I45" s="10" t="str">
        <ns0:v>Ready for review</ns0:v>
      </ns0:c>
      <ns0:c r="J45" s="10" t="str">
        <ns0:v>Passed</ns0:v>
      </ns0:c>
      <ns0:c r="K45"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5" s="30" t="n">
        <ns0:v>46325</ns0:v>
      </ns0:c>
      <ns0:c r="M45" s="10" t="str">
        <ns0:v>Assistant (delegated automated + in-app browser verification)</ns0:v>
      </ns0:c>
      <ns0:c r="N45" s="10" t="str">
        <ns0:v>Passed</ns0:v>
      </ns0:c>
      <ns0:c r="O45"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5" s="30" t="n">
        <ns0:v>46325</ns0:v>
      </ns0:c>
      <ns0:c r="Q45"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5"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5" s="10" t="n"/>
    </ns0:row>
    <ns0:row r="46" ht="105" customHeight="1">
      <ns0:c r="A46" s="9" t="n">
        <ns0:v>42</ns0:v>
      </ns0:c>
      <ns0:c r="B46" s="9" t="inlineStr">
        <ns0:is>
          <ns0:t xml:space="preserve">FB-044</ns0:t>
        </ns0:is>
      </ns0:c>
      <ns0:c r="C46" s="9" t="inlineStr">
        <ns0:is>
          <ns0:t xml:space="preserve">Products</ns0:t>
        </ns0:is>
      </ns0:c>
      <ns0:c r="D46" s="9" t="str">
        <ns0:v>Remove catalogue tag search/filter and brand/tag columns</ns0:v>
      </ns0:c>
      <ns0:c r="E46" s="9" t="str">
        <ns0:v>No tag filter/search/brand/tag columns; catalogue list keeps only identity/path/status.</ns0:v>
      </ns0:c>
      <ns0:c r="F46" s="9" t="inlineStr">
        <ns0:is>
          <ns0:t xml:space="preserve">FB-043</ns0:t>
        </ns0:is>
      </ns0:c>
      <ns0:c r="G46" s="9" t="str">
        <ns0:f>IF(H46="Complete","Complete",IF(I46="Blocked","Blocked",IF(I46="In progress","Ready",IF(F46="","Ready",IF(COUNTIFS($B$4:$B$73,F46,$H$4:$H$73,"Complete")=1,"Ready","Waiting")))))</ns0:f>
        <ns0:v>Complete</ns0:v>
      </ns0:c>
      <ns0:c r="H46" s="9" t="str">
        <ns0:f>IF(I46="Not started","Not started",IF(I46="Blocked","Blocked",IF(I46="In progress","In progress",IF(J46&lt;&gt;"Passed","Awaiting code review",IF(OR(K46="",NOT(ISNUMBER(L46))),"Awaiting review evidence",IF(N46&lt;&gt;"Passed","Awaiting test",IF(OR(M46="",O46="",NOT(ISNUMBER(P46))),"Awaiting test evidence","Complete")))))))</ns0:f>
        <ns0:v>Complete</ns0:v>
      </ns0:c>
      <ns0:c r="I46" s="11" t="str">
        <ns0:v>Ready for review</ns0:v>
      </ns0:c>
      <ns0:c r="J46" s="11" t="str">
        <ns0:v>Passed</ns0:v>
      </ns0:c>
      <ns0:c r="K46"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6" s="31" t="n">
        <ns0:v>46325</ns0:v>
      </ns0:c>
      <ns0:c r="M46" s="11" t="str">
        <ns0:v>Assistant (delegated automated + in-app browser verification)</ns0:v>
      </ns0:c>
      <ns0:c r="N46" s="11" t="str">
        <ns0:v>Passed</ns0:v>
      </ns0:c>
      <ns0:c r="O46"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6" s="31" t="n">
        <ns0:v>46325</ns0:v>
      </ns0:c>
      <ns0:c r="Q46"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6"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6" s="11" t="n"/>
    </ns0:row>
    <ns0:row r="47" ht="100" customHeight="1">
      <ns0:c r="A47" s="4" t="n">
        <ns0:v>43</ns0:v>
      </ns0:c>
      <ns0:c r="B47" s="4" t="inlineStr">
        <ns0:is>
          <ns0:t xml:space="preserve">FB-045</ns0:t>
        </ns0:is>
      </ns0:c>
      <ns0:c r="C47" s="4" t="inlineStr">
        <ns0:is>
          <ns0:t xml:space="preserve">Products</ns0:t>
        </ns0:is>
      </ns0:c>
      <ns0:c r="D47" s="4" t="inlineStr">
        <ns0:is>
          <ns0:t>Remove Product status filter</ns0:t>
        </ns0:is>
      </ns0:c>
      <ns0:c r="E47" s="4" t="inlineStr">
        <ns0:is>
          <ns0:t>Remove Product status filter and its query/validation/UI behaviour; retain catalogue Product-name search and Department/Category filters with10/page. Account status unchanged.</ns0:t>
        </ns0:is>
      </ns0:c>
      <ns0:c r="F47" s="4" t="inlineStr">
        <ns0:is>
          <ns0:t xml:space="preserve">FB-044</ns0:t>
        </ns0:is>
      </ns0:c>
      <ns0:c r="G47" s="4" t="str">
        <ns0:f>IF(H47="Complete","Complete",IF(I47="Blocked","Blocked",IF(I47="In progress","Ready",IF(F47="","Ready",IF(COUNTIFS($B$4:$B$73,F47,$H$4:$H$73,"Complete")=1,"Ready","Waiting")))))</ns0:f>
        <ns0:v>Ready</ns0:v>
      </ns0:c>
      <ns0:c r="H47" s="4" t="str">
        <ns0:f>IF(I47="Not started","Not started",IF(I47="Blocked","Blocked",IF(I47="In progress","In progress",IF(J47&lt;&gt;"Passed","Awaiting code review",IF(OR(K47="",NOT(ISNUMBER(L47))),"Awaiting review evidence",IF(N47&lt;&gt;"Passed","Awaiting test",IF(OR(M47="",O47="",NOT(ISNUMBER(P47))),"Awaiting test evidence","Complete")))))))</ns0:f>
        <ns0:v>In progress</ns0:v>
      </ns0:c>
      <ns0:c r="I47" s="10" t="inlineStr">
        <ns0:is>
          <ns0:t>In progress</ns0:t>
        </ns0:is>
      </ns0:c>
      <ns0:c r="J47" s="10" t="inlineStr">
        <ns0:is>
          <ns0:t>Not reviewed</ns0:t>
        </ns0:is>
      </ns0:c>
      <ns0:c r="K47"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7" s="30" t="n">
        <ns0:v>46325</ns0:v>
      </ns0:c>
      <ns0:c r="M47" s="10" t="str">
        <ns0:v>Assistant (delegated automated + in-app browser verification)</ns0:v>
      </ns0:c>
      <ns0:c r="N47" s="10" t="inlineStr">
        <ns0:is>
          <ns0:t>Not tested</ns0:t>
        </ns0:is>
      </ns0:c>
      <ns0:c r="O47"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7" s="30" t="n">
        <ns0:v>46325</ns0:v>
      </ns0:c>
      <ns0:c r="Q47" s="10" t="inlineStr">
        <ns0:is>
          <ns0:t>2026-10-31 approved plan removes existing Product status. Historical review/test evidence retained; changed scope is open pending implementation and verification. No source changes during tracker finalization.</ns0:t>
        </ns0:is>
      </ns0:c>
      <ns0:c r="R47" s="10" t="inlineStr">
        <ns0:is>
          <ns0:t>Before starting/resuming this item or feature: reread AGENTS.md from disk; apply teaching/testing rules. Align with FB-048 no-status change, developer test catalogue filtering then completed-feature review at FB-067.</ns0:t>
        </ns0:is>
      </ns0:c>
      <ns0:c r="S47" s="10" t="n"/>
    </ns0:row>
    <ns0:row r="48" ht="105" customHeight="1">
      <ns0:c r="A48" s="9" t="n">
        <ns0:v>44</ns0:v>
      </ns0:c>
      <ns0:c r="B48" s="9" t="inlineStr">
        <ns0:is>
          <ns0:t xml:space="preserve">FB-046</ns0:t>
        </ns0:is>
      </ns0:c>
      <ns0:c r="C48" s="9" t="inlineStr">
        <ns0:is>
          <ns0:t xml:space="preserve">Products</ns0:t>
        </ns0:is>
      </ns0:c>
      <ns0:c r="D48" s="9" t="inlineStr">
        <ns0:is>
          <ns0:t xml:space="preserve">Paginate and verify the full product list</ns0:t>
        </ns0:is>
      </ns0:c>
      <ns0:c r="E48" s="9" t="inlineStr">
        <ns0:is>
          <ns0:t xml:space="preserve">10 products per page after all search/filters. Preserve selections across pages; all roles may list/search/filter. Verify combinations and boundary/empty pages.</ns0:t>
        </ns0:is>
      </ns0:c>
      <ns0:c r="F48" s="9" t="inlineStr">
        <ns0:is>
          <ns0:t xml:space="preserve">FB-045</ns0:t>
        </ns0:is>
      </ns0:c>
      <ns0:c r="G48" s="9" t="str">
        <ns0:f>IF(H48="Complete","Complete",IF(I48="Blocked","Blocked",IF(I48="In progress","Ready",IF(F48="","Ready",IF(COUNTIFS($B$4:$B$73,F48,$H$4:$H$73,"Complete")=1,"Ready","Waiting")))))</ns0:f>
        <ns0:v>Complete</ns0:v>
      </ns0:c>
      <ns0:c r="H48" s="9" t="str">
        <ns0:f>IF(I48="Not started","Not started",IF(I48="Blocked","Blocked",IF(I48="In progress","In progress",IF(J48&lt;&gt;"Passed","Awaiting code review",IF(OR(K48="",NOT(ISNUMBER(L48))),"Awaiting review evidence",IF(N48&lt;&gt;"Passed","Awaiting test",IF(OR(M48="",O48="",NOT(ISNUMBER(P48))),"Awaiting test evidence","Complete")))))))</ns0:f>
        <ns0:v>Complete</ns0:v>
      </ns0:c>
      <ns0:c r="I48" s="11" t="str">
        <ns0:v>Ready for review</ns0:v>
      </ns0:c>
      <ns0:c r="J48" s="11" t="str">
        <ns0:v>Passed</ns0:v>
      </ns0:c>
      <ns0:c r="K48"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8" s="31" t="n">
        <ns0:v>46325</ns0:v>
      </ns0:c>
      <ns0:c r="M48" s="11" t="str">
        <ns0:v>Assistant (delegated automated + in-app browser verification)</ns0:v>
      </ns0:c>
      <ns0:c r="N48" s="11" t="str">
        <ns0:v>Passed</ns0:v>
      </ns0:c>
      <ns0:c r="O48"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8" s="31" t="n">
        <ns0:v>46325</ns0:v>
      </ns0:c>
      <ns0:c r="Q48"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8"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8" s="11" t="n"/>
    </ns0:row>
    <ns0:row r="49" ht="100" customHeight="1">
      <ns0:c r="A49" s="4" t="n">
        <ns0:v>45</ns0:v>
      </ns0:c>
      <ns0:c r="B49" s="4" t="inlineStr">
        <ns0:is>
          <ns0:t xml:space="preserve">FB-047</ns0:t>
        </ns0:is>
      </ns0:c>
      <ns0:c r="C49" s="4" t="inlineStr">
        <ns0:is>
          <ns0:t xml:space="preserve">Products</ns0:t>
        </ns0:is>
      </ns0:c>
      <ns0:c r="D49" s="4" t="inlineStr">
        <ns0:is>
          <ns0:t>Edit Product name/category without status controls</ns0:t>
        </ns0:is>
      </ns0:c>
      <ns0:c r="E49" s="4" t="inlineStr">
        <ns0:is>
          <ns0:t>Product Edit allows name/category and existing duplicate confirmation, no activation/status. Preserve identity/stock links and catalogue permissions.</ns0:t>
        </ns0:is>
      </ns0:c>
      <ns0:c r="F49" s="4" t="inlineStr">
        <ns0:is>
          <ns0:t xml:space="preserve">FB-046</ns0:t>
        </ns0:is>
      </ns0:c>
      <ns0:c r="G49" s="4" t="str">
        <ns0:f>IF(H49="Complete","Complete",IF(I49="Blocked","Blocked",IF(I49="In progress","Ready",IF(F49="","Ready",IF(COUNTIFS($B$4:$B$73,F49,$H$4:$H$73,"Complete")=1,"Ready","Waiting")))))</ns0:f>
        <ns0:v>Ready</ns0:v>
      </ns0:c>
      <ns0:c r="H49" s="4" t="str">
        <ns0:f>IF(I49="Not started","Not started",IF(I49="Blocked","Blocked",IF(I49="In progress","In progress",IF(J49&lt;&gt;"Passed","Awaiting code review",IF(OR(K49="",NOT(ISNUMBER(L49))),"Awaiting review evidence",IF(N49&lt;&gt;"Passed","Awaiting test",IF(OR(M49="",O49="",NOT(ISNUMBER(P49))),"Awaiting test evidence","Complete")))))))</ns0:f>
        <ns0:v>In progress</ns0:v>
      </ns0:c>
      <ns0:c r="I49" s="10" t="inlineStr">
        <ns0:is>
          <ns0:t>In progress</ns0:t>
        </ns0:is>
      </ns0:c>
      <ns0:c r="J49" s="10" t="inlineStr">
        <ns0:is>
          <ns0:t>Not reviewed</ns0:t>
        </ns0:is>
      </ns0:c>
      <ns0:c r="K49" s="10" t="inlineStr">
        <ns0:is>
          <ns0:t>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9" s="30" t="n">
        <ns0:v>46325</ns0:v>
      </ns0:c>
      <ns0:c r="M49" s="10" t="str">
        <ns0:v>Assistant (delegated automated + in-app browser verification)</ns0:v>
      </ns0:c>
      <ns0:c r="N49" s="10" t="inlineStr">
        <ns0:is>
          <ns0:t>Not tested</ns0:t>
        </ns0:is>
      </ns0:c>
      <ns0:c r="O49" s="10" t="inlineStr">
        <ns0:is>
          <ns0:t>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9" s="30" t="n">
        <ns0:v>46325</ns0:v>
      </ns0:c>
      <ns0:c r="Q49" s="10" t="inlineStr">
        <ns0:is>
          <ns0:t>2026-10-31 approved plan removes existing Product status. Historical review/test evidence retained; changed scope is open pending implementation and verification. No source changes during tracker finalization.</ns0:t>
        </ns0:is>
      </ns0:c>
      <ns0:c r="R49" s="10" t="inlineStr">
        <ns0:is>
          <ns0:t>Before starting/resuming this item or feature: reread AGENTS.md from disk; apply teaching/testing rules. Align status removal under FB-048; verify edits/confirmation in scoped catalogue recheck.</ns0:t>
        </ns0:is>
      </ns0:c>
      <ns0:c r="S49" s="10" t="str">
        <ns0:v>2026-10-30 relevant Poker reference inspected: app/Policies/PlayerPolicy.php update checks role; routes/web.php edit and update use can(update, player); PlayerController::edit passes selected fields to Inertia Edit. FoodBank ProductPolicy::update currently false; ProductController currently index/create/store only. First permission lesson only; no application edits made.
2026-10-30 developer explicitly delegated successive steps: ProductPolicy::update, protected GET products/{product}/edit route, ProductController::edit, then products/Edit.vue. Implemented only these authorized steps. Page receives saved values, copies reactive local state, retains dependent dropdowns and searchable tags/status layout from Create. Save disabled and form submit prevented until update backend exists; Cancel returns /products. PHP syntax checks passed for policy/route/controller; vue-tsc and scoped Vue formatting passed. No browser/application tests run. Feature-wide review and behaviour tests remain pending.
2026-10-30 developer confirmed saved values display correctly (yes); this confirms that scaffold only. Then explicitly delegated server-side validation: added UpdateProductRequest matching Create field/hierarchy/tag rules, bound-product update permission, normalized name+brand+subcategory duplicate check excluding current product, typed productData. PHP syntax/Pint/PHPStan0 errors passed. Next explicitly delegated save operation: added UpdateProduct action following Create transaction/locks/permission checks, excluding current product in duplicate check, locking saved product, updating only catalogue fields and syncing tag links. PHP syntax/Pint/PHPStan0 errors/whitespace passed. No application tests or browser acceptance checks performed by assistant; no full feature review yet. Controller update, PATCH route and Vue submission are not built.
2026-10-30 developer explicitly delegated controller update method (connect UpdateProductRequest/productData/UpdateProduct, success toast and products.index redirect), then protected numeric PATCH products/{product} route with can(update, product); PHP syntax/Pint/scoped PHPStan0 errors passed where applicable. Then delegated Vue Save/errors/Saving state: Edit.vue now uses useForm initialized from saved props, guarded PATCH submission with preserveScroll, field/tag-array validation errors and accessible field error links, processing disabled Save/Saving text, retained input on validation failure, no reset. Removed temporary disabled-save notice. Vue type checking, scoped formatting and whitespace checks PASS. No application tests/browser checks run by assistant. Product Edit browser saved-values scaffold was developer-confirmed earlier; saving/error/denied-access journey not yet developer-tested. Whole-feature review pending; no completion claimed.
2026-10-30 developer delegated checks (you check). Assistant reviewed ProductPolicy, GET/PATCH routes, ProductController edit/update, UpdateProductRequest, UpdateProduct, Edit.vue and Index.vue at HEAD7c24b5cf9e6a50e730d746ad821ee76d9e26671d plus current uncommitted editing files. Core save flow source review passed; completion finding: Index.vue has no Edit link, so direct URL currently required. No application source fixes authorized or made in this checking turn. Temporary checks outside repo: /tmp/foodbank-lesson-tracker/ProductEditCheckTest.php PASS19 tests126 assertions, isolated in-memory SQLite: both permitted roles GET/PATCH, saved props, unchanged identity, tag replacement/removal, blank brand, invalid input, normalized duplicate identities including inactive, denied volunteer/guest access, independent action permission/duplicate checks, transaction rollback, hierarchy move/mismatch. Existing ProductCreateTest+ProductListTest PASS68 tests589 assertions. Scoped PHPStan0 errors, Vue types and production build PASS. Built browser assets because open tab showed prior disabled-save scaffold. Brave foodbank.test/products/100/edit as Super Admin: required-name error appeared, temporary Chocolate Milk Check save redirected/products with success toast, reopening showed saved name, original Chocolate Milk restored and reopening verified; original Neilson brand, active status, Refrigerated/Snack tags retained. Saving state code-reviewed but not visually captured due fast response. No phone or concurrent MySQL race tests performed. Functional checks pass for implemented edit flow; feature stays open pending permitted list Edit entry point and final verification of that change.
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ns0:v>
      </ns0:c>
    </ns0:row>
    <ns0:row r="50" ht="125.8" customHeight="1">
      <ns0:c r="A50" s="9">
        <ns0:v>47</ns0:v>
      </ns0:c>
      <ns0:c r="B50" s="9" t="inlineStr">
        <ns0:is>
          <ns0:t xml:space="preserve">FB-048</ns0:t>
        </ns0:is>
      </ns0:c>
      <ns0:c r="C50" s="9" t="inlineStr">
        <ns0:is>
          <ns0:t xml:space="preserve">Products</ns0:t>
        </ns0:is>
      </ns0:c>
      <ns0:c r="D50" s="9" t="inlineStr">
        <ns0:is>
          <ns0:t xml:space="preserve">Hide Product status while retaining active database default</ns0:t>
        </ns0:is>
      </ns0:c>
      <ns0:c r="E50" s="9" t="inlineStr">
        <ns0:is>
          <ns0:t xml:space="preserve">REQ-197: keep existing products.is_active schema/cast/default true; remove Create/Edit controls and list status column/filter. Create active on server without client status; prevent submitted status changes; list all Products independent of stored status. Preserve identity, hierarchy, duplicates, permissions and account status. Authorized existing-data normalization verified separately (111 active, zero inactive). Feature completion still requires source review and developer-first behaviour checks.</ns0:t>
        </ns0:is>
      </ns0:c>
      <ns0:c r="F50" s="9" t="inlineStr">
        <ns0:is>
          <ns0:t>FB-035</ns0:t>
        </ns0:is>
      </ns0:c>
      <ns0:c r="G50" s="9" t="str">
        <ns0:f>IF(H50="Complete","Complete",IF(I50="Blocked","Blocked",IF(I50="In progress","Ready",IF(F50="","Ready",IF(COUNTIFS($B$4:$B$73,F50,$H$4:$H$73,"Complete")=1,"Ready","Waiting")))))</ns0:f>
        <ns0:v>Complete</ns0:v>
      </ns0:c>
      <ns0:c r="H50" s="9" t="str">
        <ns0:f>IF(I50="Not started","Not started",IF(I50="Blocked","Blocked",IF(I50="In progress","In progress",IF(J50&lt;&gt;"Passed","Awaiting code review",IF(OR(K50="",NOT(ISNUMBER(L50))),"Awaiting review evidence",IF(N50&lt;&gt;"Passed","Awaiting test",IF(OR(M50="",O50="",NOT(ISNUMBER(P50))),"Awaiting test evidence","Complete")))))))</ns0:f>
        <ns0:v>Complete</ns0:v>
      </ns0:c>
      <ns0:c r="I50" s="11" t="inlineStr">
        <ns0:is>
          <ns0:t xml:space="preserve">Ready for review</ns0:t>
        </ns0:is>
      </ns0:c>
      <ns0:c r="J50" s="11" t="inlineStr">
        <ns0:is>
          <ns0:t xml:space="preserve">Passed</ns0:t>
        </ns0:is>
      </ns0:c>
      <ns0:c r="K50" s="11" t="inlineStr">
        <ns0:is>
          <ns0:t xml:space="preserve">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explicitly delegated all Product-status code with comments. Implemented REQ-197 across ProductForm/products Edit/Index, ProductController, Product Store/Update/Index requests, CreateProduct/UpdateProduct/ListProducts and CheckProductName; retained Product schema/default/cast and added explanatory model comment. Forms/props no status, no list status filter/column, responsive two-column hierarchy filters and corrected empty-table colspan. Create forces true independent of supplied status; edit ignores submitted status and preserves stored value; list includes all stored flags. Updated ProductCreateTest/ProductListTest expectations and regression coverage for missing/forged status, action calls, legacy inactive edit and ignored list status. Completed-feature source review PASS against working snapshot on HEAD 8e02225c01342cc598712b990636f057b15f4951; authorization unchanged (viewAny on list; create/update policies on form/save plus request/action checks). PHPStan PASS0, Vue types PASS, production build PASS, scoped Pint and test-file syntax/whitespace PASS. Application tests/browser checks NOT executed: developer-first verification required. Earlier database normalization remains 111 active,1 changed; no additional live-data changes this turn.</ns0:t>
        </ns0:is>
      </ns0:c>
      <ns0:c r="L50" s="31" t="n">
        <ns0:v>46326.0</ns0:v>
      </ns0:c>
      <ns0:c r="M50" s="11" t="inlineStr">
        <ns0:is>
          <ns0:t xml:space="preserve">Developer (reported automated suite and browser checks)</ns0:t>
        </ns0:is>
      </ns0:c>
      <ns0:c r="N50" s="11" t="inlineStr">
        <ns0:is>
          <ns0:t xml:space="preserve">Passed</ns0:t>
        </ns0:is>
      </ns0:c>
      <ns0:c r="O50" s="11" t="inlineStr">
        <ns0:is>
          <ns0:t xml:space="preserve">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ns0:t>
        </ns0:is>
      </ns0:c>
      <ns0:c r="P50" s="31" t="n">
        <ns0:v>46326</ns0:v>
      </ns0:c>
      <ns0:c r="Q50" s="11" t="inlineStr">
        <ns0:is>
          <ns0:t xml:space="preserve">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ns0:t>
        </ns0:is>
      </ns0:c>
      <ns0:c r="R50" s="11" t="inlineStr">
        <ns0:is>
          <ns0:t xml:space="preserve">Before starting/resuming this item or feature: reread AGENTS.md from disk; apply teaching/testing rules. FB-048 verified. Continue FB-067 scoped catalogue checkpoint, then Package sizes FB-034. Developer performs commit; suggested message: Hide product status controls and default new products to active.</ns0:t>
        </ns0:is>
      </ns0:c>
      <ns0:c r="S50" s="11" t="str">
        <ns0:v>2026-10-30 developer explicitly delegated checking status changes/tag removal. Read AGENTS and FB-048/related requirements. Targeted isolated in-memory SQLite HTTP tests outside repo PASS2 tests86 assertions (Manager and SuperAdmin). Verified deactivate persists false, saved edit props false/tag IDs, inactive list inclusion, removal of one selected shared tag leaves shared tag record and other inactive product link unchanged, reactivation true, remove-all tags supported with both tag records retained, active list inclusion, reattach existing tags, products not deleted. Source review of current UpdateProduct sync/update implementation supports this subset. No application source or permanent test changes. Browser attempt interrupted by user browser activity before executing status/tag changes; no browser status/tag acceptance claimed and no browser record changes performed. Shared-tag deletion not implemented/verified in this check. Stock-based deactivation guard remains unimplemented/unverified until FB-053; full FB-048 not complete.
2026-10-30 developer explicitly authorized unused shared tag deletion, blocking all product usage. Inspected Poker DeactivatePlayer action and FoodBank TagController/TagPolicy/ListTags/tags Index/product_tag RESTRICT foreign key. Implemented DeleteTag action: independent delete Gate, transaction and exclusive tag lock interoperating with Product save shared tag locks, products()-&gt;exists without active filter, ValidationException blocked message, delete only unused tag; no detach/cascade. TagPolicy delete Manager/SuperAdmin; protected numeric DELETE /tags/{tag} route and controller destroy success toast/back. ListTags canDelete per policy; Vue Delete confirmation, useForm deletion/errors, disabled concurrent deletion and Deleting label, accessible labels, flex-wrap/gap actions, alert on used-tag failure. Source review PASS for this change; PHPStan0 errors, Vue types, scoped Pint/Vue format, production build and whitespace PASS. No browser deletion or application behaviour tests executed: developer-first check pending. Prior delegated status/tag-removal evidence retained. No migrations or existing data changes. FB-048 remains in progress: shared deletion behaviour and later stock guard not verified.
2026-10-30 developer explicitly delegated tag-deletion checks including active/inactive usage. Added temporary isolated checks outside repo /tmp/foodbank-lesson-tracker/TagDeleteCheckTest.php, in-memory SQLite. New11 checks PASS: Manager and SuperAdmin delete unused tag and keep unrelated tag; both roles blocked for active and inactive linked product preserving tag/pivot/status; independent action blocks mixed active+inactive usage and still blocks after active link removed, permits only after last inactive link removed without deleting products; guests/Volunteers denied; direct action denies Volunteer; missing/nonnumeric IDs404. Combined with existing TagTest:30 tests29 passed1 failed311 assertions. Sole failure existing tests/Feature/TagTest.php line118 expects405 deletion not exposed, now actual302 success redirect by approved feature; obsolete assertion, not a failed active/inactive guard. No permanent tests or application source modified in checking turn. Shared-tag deletion backend guards/source reviewed PASS; browser confirmation/cancel/loading/error display not exercised in this turn. No current catalogue records modified. Stock guard remains unverified at FB-053; FB-048 stays open pending obsolete regression-test repair and full remaining checks.
2026-10-30 developer explicitly authorized updating outdated TagTest and rerunning tests. Changed only tests/Feature/TagTest.php: removed obsolete405 deletion-not-exposed expectation; retained missing-tag checks and added missing/nonnumeric DELETE404; added permanent Manager/SuperAdmin unused deletion, both roles active/inactive usage rejection preserving links/status, mixed-user last-link release action coverage and direct Volunteer action denial; existing guest/Volunteer write tests now include DELETE. Reviewed focused test diff PASS; Pint/whitespace PASS. Delegated run php artisan test tests/Feature/TagTest.php tests/Feature/ProductCreateTest.php tests/Feature/ProductListTest.php PASS95 tests898 assertions. This resolves prior obsolete regression failure; no application source changes. Previous temporary guard tests/status tests preserved. Browser confirmation/Cancel/loading/error flow still unverified; stock-dependent deactivation remains later FB-053. FB-048 not marked complete.
2026-10-30 developer explicitly delegated browser tag-deletion screen then whole catalogue review. Read current AGENTS and related catalogue Requirements. Reviewed current hierarchy/tag/product models, migrations, protected routes, policies, controllers, form requests/actions and Vue state/layout/filter/error flows against current scope at HEADf26f5989a4ba56a2d76c2381f3d8690caeec8e36 plus current Tag deletion/test working changes. No blocking finding in reviewed current-phase code; stock-dependent deactivation remains explicit later checkpoint, not passed. Automated catalogue suite PASS191 tests1579 assertions (DepartmentEdit,CategoryEdit,SubcategoryCreate/Edit/List,Tag,ProductCreate/List); focused outside-repo edit/status/list-permission checks PASS24 tests248 assertions. Full PHPStan0 errors, Vue types and whitespace PASS. Browser as SuperAdmin foodbank.test/tags: clicked Delete Cooking Required, confirmation named exact tag; Cancel returned with row preserved. Created unused disposable tag ZZ Browser Deletion Practice1030 via Create screen (actual exact name ZZ Browser Deletion Practice 1030, id69), search isolated it; Delete confirmation now open, not confirmed. Browser-use policy requires action-time confirmation before permanent deletion. Pending async question authorizes deleting ONLY this exact test tag; no response yet. No existing tag deleted. Browser successful deletion/blocked error and phone layout remain unverified in this review. No application source edits. Do not mark FB-048/067 complete pending browser evidence and scope-specific deferred guard accounting.
2026-10-30 user approved permanent deletion of ONLY unused test tag ZZ Browser Deletion Practice 1030. On reacquiring FoodBank tab after approval, confirmation was no longer open and filtered list already showed No tags found. Reload confirmed absence; read-only live Tag query by exact name returned false. Assistant did not click OK or delete anything after approval, and did not observe success toast; cannot attribute deletion or claim full successful-deletion interaction observed. Disposable tag absent and no cleanup needed. Previous source/tests/Cancel confirmation evidence remains valid. Remaining browser blocked-error and narrow-screen verification still open; no whole-catalogue completion claimed.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ns0:v>
      </ns0:c>
    </ns0:row>
    <ns0:row r="51" ht="111.2" customHeight="1">
      <ns0:c r="A51" s="4">
        <ns0:v>48</ns0:v>
      </ns0:c>
      <ns0:c r="B51" s="4" t="inlineStr">
        <ns0:is>
          <ns0:t xml:space="preserve">FB-067</ns0:t>
        </ns0:is>
      </ns0:c>
      <ns0:c r="C51" s="4" t="inlineStr">
        <ns0:is>
          <ns0:t xml:space="preserve">Verification</ns0:t>
        </ns0:is>
      </ns0:c>
      <ns0:c r="D51" s="4" t="inlineStr">
        <ns0:is>
          <ns0:t xml:space="preserve">Reverify catalogue with hidden Product status and retained database field</ns0:t>
        </ns0:is>
      </ns0:c>
      <ns0:c r="E51" s="4" t="inlineStr">
        <ns0:is>
          <ns0:t xml:space="preserve">REQ-197 supersedes storage removal: review and developer-test Create/Edit/List/search/hierarchy filters/pagination/duplicates/permissions. Verify automatic active creation without status input, submitted status cannot deactivate, no status UI/filter/column and all Products listed regardless of stored flag. Retain schema/default/cast. No codes/tags/stock fields in catalogue; account status unchanged. Historical evidence retained; new behaviour not verified.</ns0:t>
        </ns0:is>
      </ns0:c>
      <ns0:c r="F51" s="4" t="inlineStr">
        <ns0:is>
          <ns0:t>FB-048</ns0:t>
        </ns0:is>
      </ns0:c>
      <ns0:c r="G51" s="4" t="str">
        <ns0:f>IF(H51="Complete","Complete",IF(I51="Blocked","Blocked",IF(I51="In progress","Ready",IF(F51="","Ready",IF(COUNTIFS($B$4:$B$73,F51,$H$4:$H$73,"Complete")=1,"Ready","Waiting")))))</ns0:f>
        <ns0:v>Complete</ns0:v>
      </ns0:c>
      <ns0:c r="H51" s="4" t="str">
        <ns0:f>IF(I51="Not started","Not started",IF(I51="Blocked","Blocked",IF(I51="In progress","In progress",IF(J51&lt;&gt;"Passed","Awaiting code review",IF(OR(K51="",NOT(ISNUMBER(L51))),"Awaiting review evidence",IF(N51&lt;&gt;"Passed","Awaiting test",IF(OR(M51="",O51="",NOT(ISNUMBER(P51))),"Awaiting test evidence","Complete")))))))</ns0:f>
        <ns0:v>Complete</ns0:v>
      </ns0:c>
      <ns0:c r="I51" s="10" t="inlineStr">
        <ns0:is>
          <ns0:t xml:space="preserve">Ready for review</ns0:t>
        </ns0:is>
      </ns0:c>
      <ns0:c r="J51" s="10" t="inlineStr">
        <ns0:is>
          <ns0:t xml:space="preserve">Passed</ns0:t>
        </ns0:is>
      </ns0:c>
      <ns0:c r="K51" s="10" t="inlineStr">
        <ns0:is>
          <ns0:t xml:space="preserve">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Browser usability findings: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FB-067 scoped completed-feature source review PASS on HEAD 8e02225c01342cc598712b990636f057b15f4951 plus existing three-level catalogue and delegated Product status working changes. Rechecked ProductPolicy, Product routes GET/POST/PATCH abilities, Product model/migration (category FK, retained default true, name_key uniqueness), StoreProductRequest editable allowlist, CreateProduct/UpdateProduct Gates and transactions, CheckProductName including stored-inactive duplicate checks. Reused same-chat completed-feature review of ListProducts, ProductController, ProductForm and products Edit/Index, updated tests; no changes since reported checks. No blocking finding. Earlier Department/Category baseline review retained; this is scoped re-verification of REQ-197, not new stock or account verification.</ns0:t>
        </ns0:is>
      </ns0:c>
      <ns0:c r="L51" s="30" t="n">
        <ns0:v>46326</ns0:v>
      </ns0:c>
      <ns0:c r="M51" s="10" t="inlineStr">
        <ns0:is>
          <ns0:t xml:space="preserve">Developer (reported automated and browser checks)</ns0:t>
        </ns0:is>
      </ns0:c>
      <ns0:c r="N51" s="10" t="inlineStr">
        <ns0:is>
          <ns0:t xml:space="preserve">Passed</ns0:t>
        </ns0:is>
      </ns0:c>
      <ns0:c r="O51" s="10" t="inlineStr">
        <ns0:is>
          <ns0:t xml:space="preserve">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Final 2026-10-30 delegated catalogue suite PASS57 tests434 assertions after adding default DatabaseSeeder integration coverage. All migrations created in temporary SQLite, default seeder creates configured accounts plus exactly4 Departments/25 Categories/110 Products. Earlier commentary count115 corrected by direct seed-data count:110. No local MySQL reset or browser acceptance performed. Current source review remains PASS; browser checks pending.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developer-reported PASS: all requested ProductCreateTest/ProductListTest/CatalogueSeederTest automated checks and browser Create/Edit/List/status absence/save/search/hierarchy/pagination (previous all passed), plus explicit Volunteer list visible with no Create/Edit buttons and direct /products/create403 (done,both work). Product suite covers missing/forged status, action status protection, legacy inactive values, duplicates/confirmation and role denied requests. No assistant application/browser tests executed and no counts invented. Preserves historical catalogue evidence and unrelated account deferrals.</ns0:t>
        </ns0:is>
      </ns0:c>
      <ns0:c r="P51" s="30" t="n">
        <ns0:v>46326</ns0:v>
      </ns0:c>
      <ns0:c r="Q51" s="10" t="inlineStr">
        <ns0:is>
          <ns0:t xml:space="preserve">2026-10-31 FB-067 complete after scoped source review and developer-reported passing checks. Proceed to Package sizes FB-034.</ns0:t>
        </ns0:is>
      </ns0:c>
      <ns0:c r="R51" s="10" t="inlineStr">
        <ns0:is>
          <ns0:t xml:space="preserve">Before starting/resuming this item or feature: reread AGENTS.md from disk; apply teaching/testing rules. Catalogue checkpoint verified. Continue Package sizes FB-034; preserve account deferrals and final FB-070.</ns0:t>
        </ns0:is>
      </ns0:c>
      <ns0:c r="S51" s="10" t="str">
        <ns0:v>Prior browser Create-link/mobile-sidebar findings resolved2026-10-30. Stock deactivation integration explicitly deferred FB-053; unrelated account/project-end checks remain deferred.</ns0:v>
      </ns0:c>
    </ns0:row>
    <ns0:row r="52" ht="185.4" customHeight="1">
      <ns0:c r="A52" s="9">
        <ns0:v>49</ns0:v>
      </ns0:c>
      <ns0:c r="B52" s="9" t="inlineStr">
        <ns0:is>
          <ns0:t xml:space="preserve">FB-034</ns0:t>
        </ns0:is>
      </ns0:c>
      <ns0:c r="C52" s="9" t="inlineStr">
        <ns0:is>
          <ns0:t xml:space="preserve">Stock Management</ns0:t>
        </ns0:is>
      </ns0:c>
      <ns0:c r="D52" s="9" t="inlineStr">
        <ns0:is>
          <ns0:t>Build and verify Package sizes, then stock-item setup</ns0:t>
        </ns0:is>
      </ns0:c>
      <ns0:c r="E52" s="9" t="inlineStr">
        <ns0:is>
          <ns0:t>Complete reusable Package sizes model/storage, create, list, pre-reference edit and unused-only delete as one coherent module before stock-item setup. Manager/Super Admin authorization on pages and writes; equivalent definition duplicate guard. Then Stock items Product/optional brand/package setup, unique combination, unused-only delete, first-item kg/L/items unit initialization and sole-unused edit/delete recalculation. Show stock table with row totals, zero items, one Product/brand search, no dropdown filters and 10 rows/page. All-role read, Manager/Super Admin management. No stock movements enabled until safeguards exist. REQ-095/106/107/113/117/119/138/185/191–195.</ns0:t>
        </ns0:is>
      </ns0:c>
      <ns0:c r="F52" s="9" t="inlineStr">
        <ns0:is>
          <ns0:t>FB-067</ns0:t>
        </ns0:is>
      </ns0:c>
      <ns0:c r="G52" s="9" t="str">
        <ns0:f>IF(H52="Complete","Complete",IF(I52="Blocked","Blocked",IF(I52="In progress","Ready",IF(F52="","Ready",IF(COUNTIFS($B$4:$B$73,F52,$H$4:$H$73,"Complete")=1,"Ready","Waiting")))))</ns0:f>
        <ns0:v>Ready</ns0:v>
      </ns0:c>
      <ns0:c r="H52" s="9" t="str">
        <ns0:f>IF(I52="Not started","Not started",IF(I52="Blocked","Blocked",IF(I52="In progress","In progress",IF(J52&lt;&gt;"Passed","Awaiting code review",IF(OR(K52="",NOT(ISNUMBER(L52))),"Awaiting review evidence",IF(N52&lt;&gt;"Passed","Awaiting test",IF(OR(M52="",O52="",NOT(ISNUMBER(P52))),"Awaiting test evidence","Complete")))))))</ns0:f>
        <ns0:v>In progress</ns0:v>
      </ns0:c>
      <ns0:c r="I52" s="11" t="inlineStr">
        <ns0:is>
          <ns0:t xml:space="preserve">In progress</ns0:t>
        </ns0:is>
      </ns0:c>
      <ns0:c r="J52" s="11" t="inlineStr">
        <ns0:is>
          <ns0:t xml:space="preserve">Not reviewed</ns0:t>
        </ns0:is>
      </ns0:c>
      <ns0:c r="K52" s="11" t="inlineStr">
        <ns0:is>
          <ns0:t xml:space="preserve">2026-10-31 scoped source review over HEAD e08b6b6d5652909ad14cad745425e16c0ac8f9d6 + package working tree: app/Actions/PackageSizes/*, PackageSize model/policy, PackageSize requests/controller, routes/web.php, HandleInertiaRequests, AppSidebar/auth types, PackageSizeForm, package-sizes/Create/Edit/Index, shared choices, PackageSizeSeeder/DatabaseSeeder and migration. Finding: Create.vue18 and Edit.vue26 Head title is literal +title+, reproduced in browser. No application source fixes authorized/performed during test run. Create/edit/search/permissions behaviour verified as described in test evidence. Delete logic explicitly deferred to actual Stock items dependency; button disabled. Keep full FB-034 open (includes Stock items), no module-wide Passed review/test claim.
2026-10-31 follow-up: title finding corrected by explicit authorization;2 literal Head titles source-reviewed PASS, Vue type and whitespace checks PASS. Scoped source review has no remaining finding; overall stock setup/deletion integration remains pending.</ns0:t>
        </ns0:is>
      </ns0:c>
      <ns0:c r="L52" s="31" t="n"/>
      <ns0:c r="M52" s="11" t="n"/>
      <ns0:c r="N52" s="11" t="inlineStr">
        <ns0:is>
          <ns0:t xml:space="preserve">Not tested</ns0:t>
        </ns0:is>
      </ns0:c>
      <ns0:c r="O52" s="11" t="inlineStr">
        <ns0:is>
          <ns0:t xml:space="preserve">2026-10-31 assistant-delegated checks: dedicated IAB browser only, Brave untouched. Existing PackageSizeManagementTest PASS12 tests129 assertions (list, edit, validation, roles, guest, simulated reference fixture). Additional temporary isolated SQLite CreateAndSearchTest PASS18 tests89 assertions (create roles/validation, g-kg/ml-L/item equivalence, protected submissions, search-before-pagination, repeat seeder without changes). Initial extra test count assumption36 corrected to37 after inspecting developer-added Can1kg seed; application source unchanged. Total focused30 tests218 assertions pass. Full current suite105 tests87 pass17 failures1 error; clean HEAD temporary copy93 tests75 pass has identical18 failing/error names, no new failures. PHPStan0 errors, Vue type check, scoped Pint and whitespace PASS. Browser PASS Manager create/reset/toast, exact kg/g and L/ml duplicates+retained input, distinct package types, fractional items/zero/negative/excess precision/missing input browser validity, whole items, edit/self-equivalent/no duplicate/redirect/cancel, live/case/space/empty search, ten-row pages/query persistence/reset, sidebar permissions, Volunteer403 list/create/edit, guest login redirects, SuperAdmin edit, simultaneous two-tab creation gives one success/one duplicate with DB count1, disabled Delete, 1440px desktop and390px phone stacked fields/table overflow contained (page width390/table463/container306). Real stock_items table absent: reference fixture does not prove later real concurrent integration. Browser title review finding remains. Five tracked browser test definitions and three temporary accounts removed; baseline SHA256 comparisons confirmed EVERY row unchanged in categories25,departments4,products110,package_sizes37,users14,roles3,migrations8 and other business tables; runtime sessions/cache excluded. Original data never edited; no stock schema created on live DB. All browser tabs closed and viewport restored.</ns0:t>
        </ns0:is>
      </ns0:c>
      <ns0:c r="P52" s="31" t="n"/>
      <ns0:c r="Q52" s="11" t="inlineStr">
        <ns0:is>
          <ns0:t xml:space="preserve">2026-10-31: visible Product codes excluded from version one. Latest approved Stock Management design in REQ-185 supersedes historical Subcategory/classification-lock proposals. Continue planning only; ask developer before first implementation lesson.
2026-10-31 developer-approved brand decision: brand is an optional text field stored on each stock choice, not a shared brand list or separate Brand resource. Empty means unbranded. Ignore extra spaces and letter case when checking duplicate Product/brand/package combinations. Manager/Super Admin enter brand during stock-choice setup; Volunteers select existing choices only. Preserve approved brand spelling corrections subject to duplicate checks.
2026-10-31 developer-approved scope change: leave stock tags out of version one. No stock tag fields, tables, management screens, selection, filters or tag editing required. This supersedes earlier optional shared stock-tag requirements. Reconsider tags only through a later scope decision.
2026-10-31 developer-approved inactive-choice rule: block inactive stock choices from all three movement types: Receive, Distribute and Adjust. Manager/Super Admin must reactivate before further movements. Preserve history. Enforce on server at submission, including stale forms; hiding choices alone is insufficient. Existing zero-balance deactivation rule remains.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
2026-10-31 developer-approved stock-list decision: show stock items with zero quantity as well as positive balances; clearly display 0 available. Zero-balance items may receive stock; distribution requires positive available balance and may not exceed it. No Active/Inactive behaviour in version one. Planning decision only; no implementation or testing performed.
2026-10-31 developer rejected Department/Category dropdown filters for Stock list; prefers only one search bar. Product-name/brand search shown in proposed interactive stock-table mockup with category path, package size and separate stock-item balances including zero. Mockup layout and exact search scope await developer feedback; do not treat 10-row pagination proposal as approved. No application implementation; ask before first lesson.
2026-10-31 developer approved proposed Stock items table layout: one search bar matching Product name or optional brand; no Department/Category dropdown filters. Columns Product (with Department/Category path beneath), Brand (Unbranded when empty), Package size and Available whole-package count. Include zero balances clearly shown as 0 available. Mockup sample data only. Pagination size not explicitly agreed. Next planning topic: placement of already-approved combined Product measurement totals alongside separate stock-item balances. Planning only; ask developer before first implementation lesson.
2026-10-31 developer explicitly requested all table views have accent-background headers before returning to stock questions. Assistant changed resources/css/app.css only: shared base thead rule applies bg-accent text-accent-foreground, using existing light/dark theme. Inspected all four existing table pages (Users/Departments/Categories/Products), no per-page overrides. Scoped source/diff review and production build PASS; developer visual check pending, no browser acceptance tests performed. Ask developer to check headers in both themes. Stock planning paused: Product totals tab proposal remains UNANSWERED/unapproved; resume that question after styling confirmation. Ask before first stock implementation lesson.
2026-10-31 developer explicitly authorized horizontal separators in all tables. Added shared app.css header-cell/body-cell border-b border-border rule, skipping final body row to avoid doubled outer border. Theme colours support light/dark. Scoped source review, build and diff whitespace PASS. Developer visual check pending for accent headers and separators; no browser acceptance check run. Stock planning still paused; Product totals tabs proposal unapproved. Ask before first stock implementation lesson.
2026-10-31 developer reported table styling looks good after explicit visual-check request; accent table headers and horizontal row separators developer-reported PASS. Assistant source review/build/whitespace checks previously passed. Stock planning resumed: next unanswered question is whether to use Stock items and Product totals tabs within Stock Management. No approval of totals layout yet. Ask developer before first implementation lesson; reread AGENTS.md before starting/resuming any item.
2026-10-31 developer approved two tabs within Stock Management as demonstrated: Stock items shows separate Product/optional brand/package balances including zero, with one Product-name/brand search bar; Product totals shows one row per Product, Department/Category path and combined available quantity in its configured compatible summary unit, with one Product-name search bar. Both use accent headers and horizontal row dividers; no dropdown filters. Totals include all brands/packages for each Product and are not partial totals from a brand-filtered items table. Tab layout approved; pagination size pending. Planning only; ask developer before first stock implementation lesson.
2026-10-31 developer revised approved stock layout: replace two-tab design with separate Stock items and Product totals screens inside Stock Management. Stock items columns: Product with Department/Category path, optional Brand, Package size, Available whole-package count, and Total quantity (available packages times contents per package, displayed in Product summary unit). Example Tilda Rice Bag5kg,6 bags,30kg. Product totals screen combines all brands/packages per Product (e.g. Rice40kg). Preserve one search bar on each screen, no dropdown filters, zero-quantity rows, accent headers and horizontal dividers. Product totals means physical weight/volume/item quantity, not monetary valuation. Separate-screen layout supersedes tabs; no navigation placement agreed yet. Ten rows per page remains unanswered. Planning only; ask developer before first implementation lesson.
2026-10-31 developer approved 10 rows per page on both separate Stock items and Product totals screens. Search applies to all matching records before pagination. Per-stock-item total quantity and combined Product totals use all relevant balances, never only current-page rows. Prior pending-pagination notes superseded. Planning continues; ask developer before first implementation lesson.
2026-10-31 developer approved stock-item deletion only with no movement history, restricted to Manager/Super Admin. Check existence of any stock_movements referencing stock_item_id, not zero balance. Any Receive/Distribute/Adjust history permanently blocks deletion, even at zero balance. Enforce policy on delete request and database restrictive foreign key so concurrent saves cannot orphan history; no cascade deletion of movements. Saved movements remain immutable. Package-definition deletion is a separate unresolved decision. Planning only; ask before first implementation lesson.
2026-10-31 developer approved package-definition deletion only if no stock item references it, restricted to Manager/Super Admin. Check existence of stock_items referencing package_size_id, regardless of balances or movement history; enforce permission and restrictive database foreign key, no cascading deletion. Used stock items retain history at zero and continue protecting referenced definitions. Existing package-field immutability after reference remains. Planning only; ask before first implementation lesson.
2026-10-31 developer approved Product totals inclusion: show only catalogue Products with at least one stock item, including Products whose stock-item balances are all zero. Catalogue-only Products without stock items do not appear. Combined totals include all linked stock items across pages/brands/packages. Planning only; ask before first implementation lesson.
2026-10-31 developer chose pounds (lb), litres (L) and individual items as Product total-unit choices, replacing prior kilogram-based weight summary proposal/examples. Both Stock items Total quantity and separate Product totals screen must use configured Product summary unit. Existing kg mockups are illustrative superseded weight-display examples. Compatibility rules for gram/kilogram package contents to pound summaries require focused confirmation next; do not silently assume approval of broader general conversion or loose-weight movements. Preserve whole-package movements and first-receipt summary-setting lock. Planning only; ask developer before first implementation lesson.
2026-10-31 developer revised summary-unit decision: keep kilograms (kg), litres (L) and individual items as the three Product total-unit choices. Supersedes immediately prior pounds proposal; pound summary/conversion is not current scope. Preserve approved g/kg and ml/L compatible conversions, whole-package movements, three-decimal display limit and first-receipt summary lock. Applies to Stock items Total quantity and separate Product totals screen. No application changes or tests performed. Planning only; ask before first implementation lesson.
2026-10-31 developer approved separate Package sizes setup screen within Stock Management, restricted to Manager/Super Admin. Reusable definitions show package type, positive contents and contents unit, selected when creating stock items; same definition reusable across Products. Preserve reference immutability and unused-only deletion rules. Next planning question: manual versus automatic choice of Product total measurement during first stock-item setup. Planning only; ask developer before first implementation lesson.
2026-10-31 developer approved automatic Product summary-unit initialization from first stock item package: g/kg contents -&gt; kg totals; ml/litre contents -&gt; litre totals; individual-item contents -&gt; individual-item totals. No separate manual summary-unit selection at first setup. Later stock items must match Product measurement family. Preserve before-first-receipt compatibility and permanent lock after first receipt, even at zero. Managers/Super Admin set up stock items; Volunteers select existing. Planning only; ask before first implementation lesson.
2026-10-31 developer approved separate movement-history screen per stock item, opened by View history link in stock-item row. Manager/Super Admin only; Volunteers cannot browse history. Server authorization required on history route; hiding link insufficient. Show agreed Receive/Distribute/Adjust details, quantities, recording timestamp, recorder, resulting balance and receipt/household/reason context, scoped to stock_item_id. Different brand/package stock items have separate histories. No implementation/testing yet; ask before first stock implementation lesson.
2026-10-31 developer explicitly deferred controlled correction of wrong measurement-family stock setup after movements to version two (##FUTURE). Version one retains permanent Product summary-unit lock after first receipt and stock-item identity/history protections; adjustments fix recorded counts but cannot convert kg to litres or unlock configuration. Do not implement repair/replace/close workflow or ordinary Active/Inactive behaviour. Last-unused-stock-item deletion clearing summary unit remains UNANSWERED; resume that planning decision. Ask before first implementation lesson.
2026-10-31 developer approved clearing Product total unit when its last unused stock item is deleted. Delete still requires no movement history; retain Product and catalogue identity. If another stock item remains, retain configured compatible total unit. Receipt-locked settings cannot be cleared through this rule because history-bearing items cannot be deleted. Next planning question: automatic recalculation when editing sole unused item to a different package measurement family; not yet approved. Version-two post-movement correction remains ##FUTURE. Ask before first implementation lesson.
2026-10-31 developer approved automatic Product total-unit update when editing its only unused stock item to a different compatible package family: only one item, no movement history, Product never received stock. If other stock items remain, retain compatibility; no history-based locks bypassed. Next unresolved safeguard: existing lock triggers first receipt but Add adjustment could create history first; propose locking Product total unit and stock-item Product/package identity at first successful movement of any type, pending developer approval. Version-two post-movement setup correction stays deferred. Ask before first implementation lesson.
2026-10-31 developer approved locking stock-item Product and package identity after ANY saved movement (Receive, Distribute or Adjust), superseding first-receipt-only identity lock. Balance returning to zero never unlocks identity. Same-measurement package mistake uses reasoned Remove adjustment of physically remaining incorrect-choice count and new receipt on separate correct stock item, preserving history; no physical repacking/lost-weight conversion implied. Cross-family setup repair remains ##FUTURE version two. Product summary-unit lock timing (first movement versus existing first-receipt rule) remains separately pending; do not infer its approval from identity-only answer. Ask before first implementation lesson.
2026-10-31 developer approved permanently fixing Product total unit after first saved movement on ANY linked stock item (Receive/Distribute/Adjust), superseding first-receipt-only summary lock. Remains locked at zero stock. Same-family alternative package stock items remain allowed; cross-family setup correction after history remains version-two ##FUTURE. No stock implementation started; ask before first implementation lesson.
2026-10-31 developer approved Volunteers viewing Product totals, alongside Managers/Super Admin. Supersedes earlier manager-only summary permission. All three roles may view Stock items and combined Product totals. This is read access only: stock/package setup and permitted unused deletion remain Manager/Super Admin; movement history remains Manager/Super Admin only. Enforce permissions on routes and requests, not only links. Planning only; ask before first implementation lesson.
2026-10-31 developer approved one searchable stock-item picker for Receive, Distribute and Adjust, as demoed. Search Product name/optional brand, results identify Product+brand+package and current whole-package availability. Receive/Adjust include zero-stock items; Distribute only positive balances. Replaces prior Product-first then stock-choice distribution selection. Retain household selection before distribution, multiple stock items for Receive/Distribute, one row per stock_item_id, single-item Adjust with Add/Remove and required reason, whole-package validation and final server stock recheck. Picker demo is selection-only, not full form implementation. No stock code authorization; ask before first implementation lesson.
2026-10-31 developer explicitly confirmed Receive, Distribute and Adjust are separate screens, sharing searchable stock-item picker behaviour only; demo mode buttons are not proposed application tabs. Receive supports multiple items/optional whole-entry note; Distribute one household/multiple items/review before save; Adjust one item/Add-or-Remove/required reason. Developer approved stock-item history newest first, 10 movements per page. Retain Manager/Super Admin history permissions and all movement safeguards. Stock planning continues; ask before first implementation lesson.
2026-10-31 FB-034 first small lesson assigned after verified catalogue: developer runs php artisan make:model PackageSize -m. Explain model as Laravel representation of one reusable package definition and migration as table blueprint. This command only generates two files; no table creation or data mutation until a later explained migrate step. Await developer confirmation without reviewing generated code after ordinary done. Do not add speculative stock relationships. Prior all-status-code authorization was scoped to Product status; no stock source edits delegated.
2026-10-31 progress: developer generated PackageSize/model/migration, policy/controller/requests and CreatePackageSize. Assistant moved requests into PackageSizes with namespaces/imports by explicit authorization. Developer reported migration runs and empty-table rollback/recreation; definition_key folded into original create migration and extra pending migration deleted by explicit instruction. Create form/action implemented incrementally on request; definition_key uses exact thousandths for weight/volume and unscaled whole counts for items (box:item:12). Server rejects fractional item contents; duplicate precheck + unique constraint + readable race error. User requested short references for previously taught FoodBank patterns; explain new concepts, restart explanations in any new project. Developer reported minimal page and button layout looked correct, but explicitly postponed creation behaviour checks (save/reset, equivalent duplicates, fractional items). Latest explicit instruction: implement full list/edit/sidebar despite deferred tests. Added ListPackageSizes, UpdatePackageSize (transaction/row lock, policy recheck, equivalent duplicate exclusion of self), Index request, shared inherited Store/Update validation, decimal:3 model cast, typed validated packageData, shared GetPackageSizeDefinitionKey and PackageSizeForm, Index/Edit pages, route permissions, sidebar permission/type. Manager/Super Admin only; viewAny on list, update on GET/PATCH and action. Sidebar Stock Management &gt; Package sizes. Ten-row deterministic pagination, no extra filters. isReferenced uses existing stock_items table only if present; no stock schema/models created. Actual FK and concurrent reference-writer lock integration must be verified at stock-item checkpoint. Added tests/Feature/PackageSizeManagementTest.php but did not run it: developer-first testing not delegated. Scoped syntax/format and full PHPStan/Vue type checks PASS. No DB mutation or acceptance checks by assistant this request. Package deletion and stock-item setup remain unimplemented; FB-034 stays In progress, Not reviewed, Not tested. Upcoming module-wide review remains pending; current implementation inspection is not final-feature signoff. Working snapshot over HEAD e08b6b6d5652909ad14cad745425e16c0ac8f9d6. Inspected reference: Poker routes/web.php policy middleware; PlayerController list/Inertia flow; Actions/Games/CorrectCashout.php transaction/lock/recheck convention.
2026-10-31 developer explicitly requested package-type search on Package sizes list. Implemented validated search (100 characters), case-insensitive partial type match with individual_item treated as individual item, filtering before pagination, retained search in page links and 300ms Vue debounce/reset to page one. Scoped format, full PHPStan and Vue type checks PASS; behaviour checks remain deferred/not run. PackageSizeSeeder was also explicitly authorized, written with36 reusable definitions, registered in DatabaseSeeder and later run alone on explicit user request; database total37 afterward, box:item:12 confirmed present. No creation/edit/list acceptance tests implied by seeding.
2026-10-31 superseding testing state: developer explicitly delegated all tests in assistant browser (not Brave), cleanup only new test data and preserve existing records. See review/test evidence K/O. Browser+focused tests passed apart from title presentation finding; full-suite18 failures reproduced exactly on committed baseline. Deleted all5 owned test packages and3 owned test users, complete original business-row checksum verification PASS. User also explicitly deferred delete implementation until dependencies are ready; Delete button is disabled in every row, no DELETE route/action added. Later real stock-item FK/lock/reference verification remains required.
2026-10-31 developer explicitly authorized necessary title fixes and requested exact changes. Assistant changed ONLY Head title literals: resources/js/pages/package-sizes/Create.vue18 +title+ -&gt; Create Package Size; Edit.vue26 +title+ -&gt; Edit Package Size. Source review confirms correct literals; npm run types:check and git diff --check PASS. No DB mutations, browser rerun, unrelated application edits or baseline test repairs. Previous30 focused tests218 assertions/browser/data-preservation evidence remains valid; title fix verified statically only. Title review finding resolved; package delete and actual stock-item integration remain explicit later checkpoints, so whole FB-034 not complete.</ns0:t>
        </ns0:is>
      </ns0:c>
      <ns0:c r="R52" s="11" t="inlineStr">
        <ns0:is>
          <ns0:t xml:space="preserve">Before starting/resuming this item or feature: reread AGENTS.md from disk; apply teaching/testing rules. Scoped Package sizes create/list/edit/search milestone has passed delegated browser and30 focused tests; title review finding corrected by explicit authorization with exact before/after shown. TypeScript/whitespace checks pass after2 literal-title changes; no browser rerun claimed. Suitable scoped commit checkpoint, then continue Stock items prerequisites within FB-034. Actual package deletion stays disabled until stock_items dependencies and restrictive FK/reference/concurrency safeguards can be implemented and verified. Full FB-034 remains In progress; preserve18 identical baseline account/auth failures.</ns0:t>
        </ns0:is>
      </ns0:c>
      <ns0:c r="S52" s="11" t="inlineStr">
        <ns0:is>
          <ns0:t xml:space="preserve">No current package-screen blocker. Actual Stock items dependencies and delete/reference/concurrency integration remain pending.</ns0:t>
        </ns0:is>
      </ns0:c>
    </ns0:row>
    <ns0:row r="53" ht="100" customHeight="1">
      <ns0:c r="A53" s="9" t="n">
        <ns0:v>50</ns0:v>
      </ns0:c>
      <ns0:c r="B53" s="9" t="inlineStr">
        <ns0:is>
          <ns0:t xml:space="preserve">FB-049</ns0:t>
        </ns0:is>
      </ns0:c>
      <ns0:c r="C53" s="9" t="inlineStr">
        <ns0:is>
          <ns0:t xml:space="preserve">Receive</ns0:t>
        </ns0:is>
      </ns0:c>
      <ns0:c r="D53" s="9" t="inlineStr">
        <ns0:is>
          <ns0:t>Display separate Receive screen and one searchable stock item</ns0:t>
        </ns0:is>
      </ns0:c>
      <ns0:c r="E53" s="9" t="inlineStr">
        <ns0:is>
          <ns0:t>All three permitted roles open separate Receive screen; one stock-item Product/brand picker including zero availability; complete identity/count. One row first; responsive layout gradually. No inline stock setup or codes/status/tags.</ns0:t>
        </ns0:is>
      </ns0:c>
      <ns0:c r="F53" s="9" t="inlineStr">
        <ns0:is>
          <ns0:t xml:space="preserve">FB-034</ns0:t>
        </ns0:is>
      </ns0:c>
      <ns0:c r="G53" s="9" t="str">
        <ns0:f>IF(H53="Complete","Complete",IF(I53="Blocked","Blocked",IF(I53="In progress","Ready",IF(F53="","Ready",IF(COUNTIFS($B$4:$B$73,F53,$H$4:$H$73,"Complete")=1,"Ready","Waiting")))))</ns0:f>
        <ns0:v>Waiting</ns0:v>
      </ns0:c>
      <ns0:c r="H53" s="9" t="str">
        <ns0:f>IF(I53="Not started","Not started",IF(I53="Blocked","Blocked",IF(I53="In progress","In progress",IF(J53&lt;&gt;"Passed","Awaiting code review",IF(OR(K53="",NOT(ISNUMBER(L53))),"Awaiting review evidence",IF(N53&lt;&gt;"Passed","Awaiting test",IF(OR(M53="",O53="",NOT(ISNUMBER(P53))),"Awaiting test evidence","Complete")))))))</ns0:f>
        <ns0:v>Not started</ns0:v>
      </ns0:c>
      <ns0:c r="I53" s="11" t="inlineStr">
        <ns0:is>
          <ns0:t xml:space="preserve">Not started</ns0:t>
        </ns0:is>
      </ns0:c>
      <ns0:c r="J53" s="11" t="inlineStr">
        <ns0:is>
          <ns0:t xml:space="preserve">Not reviewed</ns0:t>
        </ns0:is>
      </ns0:c>
      <ns0:c r="K53" s="11" t="n"/>
      <ns0:c r="L53" s="31" t="n"/>
      <ns0:c r="M53" s="11" t="n"/>
      <ns0:c r="N53" s="11" t="inlineStr">
        <ns0:is>
          <ns0:t xml:space="preserve">Not tested</ns0:t>
        </ns0:is>
      </ns0:c>
      <ns0:c r="O53" s="11" t="n"/>
      <ns0:c r="P53" s="31" t="n"/>
      <ns0:c r="Q53" s="11" t="n"/>
      <ns0:c r="R53" s="11" t="inlineStr">
        <ns0:is>
          <ns0:t>Before starting/resuming this item or feature: reread AGENTS.md from disk; apply teaching/testing rules. After verified stock setup, introduce separate Receive page then one picker row; developer writes and observes one behaviour at a time.</ns0:t>
        </ns0:is>
      </ns0:c>
      <ns0:c r="S53" s="11" t="n"/>
    </ns0:row>
    <ns0:row r="54" ht="100" customHeight="1">
      <ns0:c r="A54" s="4" t="n">
        <ns0:v>51</ns0:v>
      </ns0:c>
      <ns0:c r="B54" s="4" t="inlineStr">
        <ns0:is>
          <ns0:t xml:space="preserve">FB-050</ns0:t>
        </ns0:is>
      </ns0:c>
      <ns0:c r="C54" s="4" t="inlineStr">
        <ns0:is>
          <ns0:t xml:space="preserve">Receive</ns0:t>
        </ns0:is>
      </ns0:c>
      <ns0:c r="D54" s="4" t="inlineStr">
        <ns0:is>
          <ns0:t>Add multiple stock-item rows with whole-package quantities</ns0:t>
        </ns0:is>
      </ns0:c>
      <ns0:c r="E54" s="4" t="inlineStr">
        <ns0:is>
          <ns0:t>Multiple different stock items; each stock_item_id once per entry including different brands/packages of same Product. Update existing row quantity on reselection; reject zero/negative/fractional/duplicate rows. One optional receipt note.</ns0:t>
        </ns0:is>
      </ns0:c>
      <ns0:c r="F54" s="4" t="inlineStr">
        <ns0:is>
          <ns0:t xml:space="preserve">FB-049</ns0:t>
        </ns0:is>
      </ns0:c>
      <ns0:c r="G54" s="4" t="str">
        <ns0:f>IF(H54="Complete","Complete",IF(I54="Blocked","Blocked",IF(I54="In progress","Ready",IF(F54="","Ready",IF(COUNTIFS($B$4:$B$73,F54,$H$4:$H$73,"Complete")=1,"Ready","Waiting")))))</ns0:f>
        <ns0:v>Waiting</ns0:v>
      </ns0:c>
      <ns0:c r="H54" s="4" t="str">
        <ns0:f>IF(I54="Not started","Not started",IF(I54="Blocked","Blocked",IF(I54="In progress","In progress",IF(J54&lt;&gt;"Passed","Awaiting code review",IF(OR(K54="",NOT(ISNUMBER(L54))),"Awaiting review evidence",IF(N54&lt;&gt;"Passed","Awaiting test",IF(OR(M54="",O54="",NOT(ISNUMBER(P54))),"Awaiting test evidence","Complete")))))))</ns0:f>
        <ns0:v>Not started</ns0:v>
      </ns0:c>
      <ns0:c r="I54" s="10" t="inlineStr">
        <ns0:is>
          <ns0:t xml:space="preserve">Not started</ns0:t>
        </ns0:is>
      </ns0:c>
      <ns0:c r="J54" s="10" t="inlineStr">
        <ns0:is>
          <ns0:t xml:space="preserve">Not reviewed</ns0:t>
        </ns0:is>
      </ns0:c>
      <ns0:c r="K54" s="10" t="n"/>
      <ns0:c r="L54" s="30" t="n"/>
      <ns0:c r="M54" s="10" t="n"/>
      <ns0:c r="N54" s="10" t="inlineStr">
        <ns0:is>
          <ns0:t xml:space="preserve">Not tested</ns0:t>
        </ns0:is>
      </ns0:c>
      <ns0:c r="O54" s="10" t="n"/>
      <ns0:c r="P54" s="30" t="n"/>
      <ns0:c r="Q54" s="10" t="n"/>
      <ns0:c r="R54" s="10" t="inlineStr">
        <ns0:is>
          <ns0:t>Before starting/resuming this item or feature: reread AGENTS.md from disk; apply teaching/testing rules. Teach quantity binding then additional rows and duplicate prevention separately. Keep lesson evidence open until Receive completed-feature review.</ns0:t>
        </ns0:is>
      </ns0:c>
      <ns0:c r="S54" s="10" t="n"/>
    </ns0:row>
    <ns0:row r="55" ht="112.6" customHeight="1">
      <ns0:c r="A55" s="9" t="n">
        <ns0:v>52</ns0:v>
      </ns0:c>
      <ns0:c r="B55" s="9" t="inlineStr">
        <ns0:is>
          <ns0:t xml:space="preserve">FB-051</ns0:t>
        </ns0:is>
      </ns0:c>
      <ns0:c r="C55" s="9" t="inlineStr">
        <ns0:is>
          <ns0:t xml:space="preserve">Receive</ns0:t>
        </ns0:is>
      </ns0:c>
      <ns0:c r="D55" s="9" t="inlineStr">
        <ns0:is>
          <ns0:t>Save complete receipt with movement locks and integrity</ns0:t>
        </ns0:is>
      </ns0:c>
      <ns0:c r="E55" s="9" t="inlineStr">
        <ns0:is>
          <ns0:t xml:space="preserve">All-or-none receipt; stock increases via immutable movements, recording authenticated recorder/time/result. Enforce server permissions, account restrictions, compatible package and first-movement identity/summary locks from first enabled save. No Product/stock-item status checks. Check rollback/concurrent saves.
REQ-196: verify stock_entries shared context and linked stock_movements per item; entry and movements save atomically, and history obtains shared context through the entry. Receive/Distribute support multiple distinct items; Adjust one.</ns0:t>
        </ns0:is>
      </ns0:c>
      <ns0:c r="F55" s="9" t="inlineStr">
        <ns0:is>
          <ns0:t xml:space="preserve">FB-050</ns0:t>
        </ns0:is>
      </ns0:c>
      <ns0:c r="G55" s="9" t="str">
        <ns0:f>IF(H55="Complete","Complete",IF(I55="Blocked","Blocked",IF(I55="In progress","Ready",IF(F55="","Ready",IF(COUNTIFS($B$4:$B$73,F55,$H$4:$H$73,"Complete")=1,"Ready","Waiting")))))</ns0:f>
        <ns0:v>Waiting</ns0:v>
      </ns0:c>
      <ns0:c r="H55" s="9" t="str">
        <ns0:f>IF(I55="Not started","Not started",IF(I55="Blocked","Blocked",IF(I55="In progress","In progress",IF(J55&lt;&gt;"Passed","Awaiting code review",IF(OR(K55="",NOT(ISNUMBER(L55))),"Awaiting review evidence",IF(N55&lt;&gt;"Passed","Awaiting test",IF(OR(M55="",O55="",NOT(ISNUMBER(P55))),"Awaiting test evidence","Complete")))))))</ns0:f>
        <ns0:v>Not started</ns0:v>
      </ns0:c>
      <ns0:c r="I55" s="11" t="inlineStr">
        <ns0:is>
          <ns0:t xml:space="preserve">Not started</ns0:t>
        </ns0:is>
      </ns0:c>
      <ns0:c r="J55" s="11" t="inlineStr">
        <ns0:is>
          <ns0:t xml:space="preserve">Not reviewed</ns0:t>
        </ns0:is>
      </ns0:c>
      <ns0:c r="K55" s="11" t="n"/>
      <ns0:c r="L55" s="31" t="n"/>
      <ns0:c r="M55" s="11" t="n"/>
      <ns0:c r="N55" s="11" t="inlineStr">
        <ns0:is>
          <ns0:t xml:space="preserve">Not tested</ns0:t>
        </ns0:is>
      </ns0:c>
      <ns0:c r="O55" s="11" t="n"/>
      <ns0:c r="P55" s="31" t="n"/>
      <ns0:c r="Q55" s="11" t="n"/>
      <ns0:c r="R55" s="11" t="inlineStr">
        <ns0:is>
          <ns0:t xml:space="preserve">Before starting/resuming this item or feature: reread AGENTS.md from disk; apply teaching/testing rules. Explain relationships and all-or-none transaction before enabling save. Attach first-movement locks now; FB-053 verifies rather than postpones them.
2026-10-31 approved two-table decision: teach/use stock_entries -&gt; stock_movements via stock_entry_id, with stock_item_id on movements (REQ-196). Planning only; preserve existing prerequisite order and evidence gates.</ns0:t>
        </ns0:is>
      </ns0:c>
      <ns0:c r="S55" s="11" t="n"/>
    </ns0:row>
    <ns0:row r="56" ht="100.2" customHeight="1">
      <ns0:c r="A56" s="4" t="n">
        <ns0:v>53</ns0:v>
      </ns0:c>
      <ns0:c r="B56" s="4" t="inlineStr">
        <ns0:is>
          <ns0:t xml:space="preserve">FB-052</ns0:t>
        </ns0:is>
      </ns0:c>
      <ns0:c r="C56" s="4" t="inlineStr">
        <ns0:is>
          <ns0:t xml:space="preserve">Receive</ns0:t>
        </ns0:is>
      </ns0:c>
      <ns0:c r="D56" s="4" t="inlineStr">
        <ns0:is>
          <ns0:t>Connect Receive feedback and verify full receipt journey</ns0:t>
        </ns0:is>
      </ns0:c>
      <ns0:c r="E56" s="4" t="inlineStr">
        <ns0:is>
          <ns0:t>Processing/duplicate-click prevention, errors/retained input/success. Opening counts through Receive. Developer-first multi-stock-item tests; completed Receive code review and evidence. All-role permissions, account checks and movement locks enforced.</ns0:t>
        </ns0:is>
      </ns0:c>
      <ns0:c r="F56" s="4" t="inlineStr">
        <ns0:is>
          <ns0:t xml:space="preserve">FB-051</ns0:t>
        </ns0:is>
      </ns0:c>
      <ns0:c r="G56" s="4" t="str">
        <ns0:f>IF(H56="Complete","Complete",IF(I56="Blocked","Blocked",IF(I56="In progress","Ready",IF(F56="","Ready",IF(COUNTIFS($B$4:$B$73,F56,$H$4:$H$73,"Complete")=1,"Ready","Waiting")))))</ns0:f>
        <ns0:v>Waiting</ns0:v>
      </ns0:c>
      <ns0:c r="H56" s="4" t="str">
        <ns0:f>IF(I56="Not started","Not started",IF(I56="Blocked","Blocked",IF(I56="In progress","In progress",IF(J56&lt;&gt;"Passed","Awaiting code review",IF(OR(K56="",NOT(ISNUMBER(L56))),"Awaiting review evidence",IF(N56&lt;&gt;"Passed","Awaiting test",IF(OR(M56="",O56="",NOT(ISNUMBER(P56))),"Awaiting test evidence","Complete")))))))</ns0:f>
        <ns0:v>Not started</ns0:v>
      </ns0:c>
      <ns0:c r="I56" s="10" t="inlineStr">
        <ns0:is>
          <ns0:t xml:space="preserve">Not started</ns0:t>
        </ns0:is>
      </ns0:c>
      <ns0:c r="J56" s="10" t="inlineStr">
        <ns0:is>
          <ns0:t xml:space="preserve">Not reviewed</ns0:t>
        </ns0:is>
      </ns0:c>
      <ns0:c r="K56" s="10" t="n"/>
      <ns0:c r="L56" s="30" t="n"/>
      <ns0:c r="M56" s="10" t="n"/>
      <ns0:c r="N56" s="10" t="inlineStr">
        <ns0:is>
          <ns0:t xml:space="preserve">Not tested</ns0:t>
        </ns0:is>
      </ns0:c>
      <ns0:c r="O56" s="10" t="n"/>
      <ns0:c r="P56" s="30" t="n"/>
      <ns0:c r="Q56" s="10" t="n"/>
      <ns0:c r="R56" s="10" t="inlineStr">
        <ns0:is>
          <ns0:t>Before starting/resuming this item or feature: reread AGENTS.md from disk; apply teaching/testing rules. Finish Receive; ask developer to test, then review feature and correct before moving to lock-verification checkpoint.</ns0:t>
        </ns0:is>
      </ns0:c>
      <ns0:c r="S56" s="10" t="n"/>
    </ns0:row>
    <ns0:row r="57" ht="127.8" customHeight="1">
      <ns0:c r="A57" s="9" t="n">
        <ns0:v>54</ns0:v>
      </ns0:c>
      <ns0:c r="B57" s="9" t="inlineStr">
        <ns0:is>
          <ns0:t xml:space="preserve">FB-053</ns0:t>
        </ns0:is>
      </ns0:c>
      <ns0:c r="C57" s="9" t="inlineStr">
        <ns0:is>
          <ns0:t xml:space="preserve">Receive</ns0:t>
        </ns0:is>
      </ns0:c>
      <ns0:c r="D57" s="9" t="inlineStr">
        <ns0:is>
          <ns0:t>Verify movement locks, unit reset and protected deletion</ns0:t>
        </ns0:is>
      </ns0:c>
      <ns0:c r="E57" s="9" t="inlineStr">
        <ns0:is>
          <ns0:t>Package definitions immutable once referenced; Product/package identity locks after any stock-item movement; Product total unit locks after first movement across items, even at zero. Pre-use sole-item edit recalculates unit; last-unused delete clears it. Foreign keys block used item/definition deletion under concurrent requests. No status/deactivation guard. REQ-117/138/139/149/192/193.</ns0:t>
        </ns0:is>
      </ns0:c>
      <ns0:c r="F57" s="9" t="inlineStr">
        <ns0:is>
          <ns0:t xml:space="preserve">FB-052</ns0:t>
        </ns0:is>
      </ns0:c>
      <ns0:c r="G57" s="9" t="str">
        <ns0:f>IF(H57="Complete","Complete",IF(I57="Blocked","Blocked",IF(I57="In progress","Ready",IF(F57="","Ready",IF(COUNTIFS($B$4:$B$73,F57,$H$4:$H$73,"Complete")=1,"Ready","Waiting")))))</ns0:f>
        <ns0:v>Waiting</ns0:v>
      </ns0:c>
      <ns0:c r="H57" s="9" t="str">
        <ns0:f>IF(I57="Not started","Not started",IF(I57="Blocked","Blocked",IF(I57="In progress","In progress",IF(J57&lt;&gt;"Passed","Awaiting code review",IF(OR(K57="",NOT(ISNUMBER(L57))),"Awaiting review evidence",IF(N57&lt;&gt;"Passed","Awaiting test",IF(OR(M57="",O57="",NOT(ISNUMBER(P57))),"Awaiting test evidence","Complete")))))))</ns0:f>
        <ns0:v>Not started</ns0:v>
      </ns0:c>
      <ns0:c r="I57" s="11" t="inlineStr">
        <ns0:is>
          <ns0:t xml:space="preserve">Not started</ns0:t>
        </ns0:is>
      </ns0:c>
      <ns0:c r="J57" s="11" t="inlineStr">
        <ns0:is>
          <ns0:t xml:space="preserve">Not reviewed</ns0:t>
        </ns0:is>
      </ns0:c>
      <ns0:c r="K57" s="11" t="n"/>
      <ns0:c r="L57" s="31" t="n"/>
      <ns0:c r="M57" s="11" t="n"/>
      <ns0:c r="N57" s="11" t="inlineStr">
        <ns0:is>
          <ns0:t xml:space="preserve">Not tested</ns0:t>
        </ns0:is>
      </ns0:c>
      <ns0:c r="O57" s="11" t="n"/>
      <ns0:c r="P57" s="31" t="n"/>
      <ns0:c r="Q57" s="11" t="inlineStr">
        <ns0:is>
          <ns0:t>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ns0:t>
        </ns0:is>
      </ns0:c>
      <ns0:c r="R57" s="11" t="inlineStr">
        <ns0:is>
          <ns0:t>Before starting/resuming this item or feature: reread AGENTS.md from disk; apply teaching/testing rules. Locks must already run at first Receive save. Ask developer to verify lock/reset/delete scenarios; feature-level review supplies evidence before completion.</ns0:t>
        </ns0:is>
      </ns0:c>
      <ns0:c r="S57" s="11" t="n"/>
    </ns0:row>
    <ns0:row r="58" ht="100" customHeight="1">
      <ns0:c r="A58" s="4" t="n">
        <ns0:v>55</ns0:v>
      </ns0:c>
      <ns0:c r="B58" s="4" t="inlineStr">
        <ns0:is>
          <ns0:t xml:space="preserve">FB-054</ns0:t>
        </ns0:is>
      </ns0:c>
      <ns0:c r="C58" s="4" t="inlineStr">
        <ns0:is>
          <ns0:t xml:space="preserve">History</ns0:t>
        </ns0:is>
      </ns0:c>
      <ns0:c r="D58" s="4" t="inlineStr">
        <ns0:is>
          <ns0:t>Build separate per-stock-item history screen</ns0:t>
        </ns0:is>
      </ns0:c>
      <ns0:c r="E58" s="4" t="inlineStr">
        <ns0:is>
          <ns0:t xml:space="preserve">Manager/Super Admin View history link and protected direct route. Scope movements to item; newest first,10/page. Show type/count/time/result/recorder/receipt/household/reason. Volunteers denied. Preserve originals.
REQ-196: verify stock_entries shared context and linked stock_movements per item; entry and movements save atomically, and history obtains shared context through the entry. Receive/Distribute support multiple distinct items; Adjust one.</ns0:t>
        </ns0:is>
      </ns0:c>
      <ns0:c r="F58" s="4" t="inlineStr">
        <ns0:is>
          <ns0:t xml:space="preserve">FB-053</ns0:t>
        </ns0:is>
      </ns0:c>
      <ns0:c r="G58" s="4" t="str">
        <ns0:f>IF(H58="Complete","Complete",IF(I58="Blocked","Blocked",IF(I58="In progress","Ready",IF(F58="","Ready",IF(COUNTIFS($B$4:$B$73,F58,$H$4:$H$73,"Complete")=1,"Ready","Waiting")))))</ns0:f>
        <ns0:v>Waiting</ns0:v>
      </ns0:c>
      <ns0:c r="H58" s="4" t="str">
        <ns0:f>IF(I58="Not started","Not started",IF(I58="Blocked","Blocked",IF(I58="In progress","In progress",IF(J58&lt;&gt;"Passed","Awaiting code review",IF(OR(K58="",NOT(ISNUMBER(L58))),"Awaiting review evidence",IF(N58&lt;&gt;"Passed","Awaiting test",IF(OR(M58="",O58="",NOT(ISNUMBER(P58))),"Awaiting test evidence","Complete")))))))</ns0:f>
        <ns0:v>Not started</ns0:v>
      </ns0:c>
      <ns0:c r="I58" s="10" t="inlineStr">
        <ns0:is>
          <ns0:t xml:space="preserve">Not started</ns0:t>
        </ns0:is>
      </ns0:c>
      <ns0:c r="J58" s="10" t="inlineStr">
        <ns0:is>
          <ns0:t xml:space="preserve">Not reviewed</ns0:t>
        </ns0:is>
      </ns0:c>
      <ns0:c r="K58" s="10" t="n"/>
      <ns0:c r="L58" s="30" t="n"/>
      <ns0:c r="M58" s="10" t="n"/>
      <ns0:c r="N58" s="10" t="inlineStr">
        <ns0:is>
          <ns0:t xml:space="preserve">Not tested</ns0:t>
        </ns0:is>
      </ns0:c>
      <ns0:c r="O58" s="10" t="n"/>
      <ns0:c r="P58" s="30" t="n"/>
      <ns0:c r="Q58" s="10" t="n"/>
      <ns0:c r="R58" s="10" t="inlineStr">
        <ns0:is>
          <ns0:t xml:space="preserve">Before starting/resuming this item or feature: reread AGENTS.md from disk; apply teaching/testing rules. Build basic item history, then pagination/layout/access in small lessons; future Adjust/Distribute checkpoints verify new context.
2026-10-31 approved two-table decision: teach/use stock_entries -&gt; stock_movements via stock_entry_id, with stock_item_id on movements (REQ-196). Planning only; preserve existing prerequisite order and evidence gates.</ns0:t>
        </ns0:is>
      </ns0:c>
      <ns0:c r="S58" s="10" t="n"/>
    </ns0:row>
    <ns0:row r="59" ht="101.0" customHeight="1">
      <ns0:c r="A59" s="9" t="n">
        <ns0:v>56</ns0:v>
      </ns0:c>
      <ns0:c r="B59" s="9" t="inlineStr">
        <ns0:is>
          <ns0:t xml:space="preserve">FB-065</ns0:t>
        </ns0:is>
      </ns0:c>
      <ns0:c r="C59" s="9" t="inlineStr">
        <ns0:is>
          <ns0:t xml:space="preserve">Totals</ns0:t>
        </ns0:is>
      </ns0:c>
      <ns0:c r="D59" s="9" t="inlineStr">
        <ns0:is>
          <ns0:t>Calculate row quantities and Product totals</ns0:t>
        </ns0:is>
      </ns0:c>
      <ns0:c r="E59" s="9" t="inlineStr">
        <ns0:is>
          <ns0:t>Exact whole-package count times contents; g/kg-&gt;kg,ml/L-&gt;L,item counts-&gt;items. Per-item totals and combined Product totals include all relevant balances across pages, at most3 displayed decimals. Reject incompatible packages; no catalogue units or pounds.</ns0:t>
        </ns0:is>
      </ns0:c>
      <ns0:c r="F59" s="9" t="inlineStr">
        <ns0:is>
          <ns0:t xml:space="preserve">FB-054</ns0:t>
        </ns0:is>
      </ns0:c>
      <ns0:c r="G59" s="9" t="str">
        <ns0:f>IF(H59="Complete","Complete",IF(I59="Blocked","Blocked",IF(I59="In progress","Ready",IF(F59="","Ready",IF(COUNTIFS($B$4:$B$73,F59,$H$4:$H$73,"Complete")=1,"Ready","Waiting")))))</ns0:f>
        <ns0:v>Waiting</ns0:v>
      </ns0:c>
      <ns0:c r="H59" s="9" t="str">
        <ns0:f>IF(I59="Not started","Not started",IF(I59="Blocked","Blocked",IF(I59="In progress","In progress",IF(J59&lt;&gt;"Passed","Awaiting code review",IF(OR(K59="",NOT(ISNUMBER(L59))),"Awaiting review evidence",IF(N59&lt;&gt;"Passed","Awaiting test",IF(OR(M59="",O59="",NOT(ISNUMBER(P59))),"Awaiting test evidence","Complete")))))))</ns0:f>
        <ns0:v>Not started</ns0:v>
      </ns0:c>
      <ns0:c r="I59" s="11" t="inlineStr">
        <ns0:is>
          <ns0:t xml:space="preserve">Not started</ns0:t>
        </ns0:is>
      </ns0:c>
      <ns0:c r="J59" s="11" t="inlineStr">
        <ns0:is>
          <ns0:t xml:space="preserve">Not reviewed</ns0:t>
        </ns0:is>
      </ns0:c>
      <ns0:c r="K59" s="11" t="n"/>
      <ns0:c r="L59" s="31" t="n"/>
      <ns0:c r="M59" s="11" t="n"/>
      <ns0:c r="N59" s="11" t="inlineStr">
        <ns0:is>
          <ns0:t xml:space="preserve">Not tested</ns0:t>
        </ns0:is>
      </ns0:c>
      <ns0:c r="O59" s="11" t="n"/>
      <ns0:c r="P59" s="31" t="n"/>
      <ns0:c r="Q59" s="11" t="n"/>
      <ns0:c r="R59" s="11" t="inlineStr">
        <ns0:is>
          <ns0:t>Before starting/resuming this item or feature: reread AGENTS.md from disk; apply teaching/testing rules. Use completed Receive data to explain row quantity then combined Product calculation; test fractional compatible conversions and all-page aggregation.</ns0:t>
        </ns0:is>
      </ns0:c>
      <ns0:c r="S59" s="11" t="n"/>
    </ns0:row>
    <ns0:row r="60" ht="115.2" customHeight="1">
      <ns0:c r="A60" s="4" t="n">
        <ns0:v>57</ns0:v>
      </ns0:c>
      <ns0:c r="B60" s="4" t="inlineStr">
        <ns0:is>
          <ns0:t xml:space="preserve">FB-066</ns0:t>
        </ns0:is>
      </ns0:c>
      <ns0:c r="C60" s="4" t="inlineStr">
        <ns0:is>
          <ns0:t xml:space="preserve">Totals</ns0:t>
        </ns0:is>
      </ns0:c>
      <ns0:c r="D60" s="4" t="inlineStr">
        <ns0:is>
          <ns0:t>Display separate Product totals screen for all roles</ns0:t>
        </ns0:is>
      </ns0:c>
      <ns0:c r="E60" s="4" t="inlineStr">
        <ns0:is>
          <ns0:t>Separate screen, no tabs; one Product row/current hierarchy/combined total, only Products with at least one item including zero totals. One Product-name search, no dropdowns,10 rows/page, accent headers/row dividers. Volunteer/Manager/Super Admin permitted. Stock items retain separate available counts and row Total quantity.</ns0:t>
        </ns0:is>
      </ns0:c>
      <ns0:c r="F60" s="4" t="inlineStr">
        <ns0:is>
          <ns0:t xml:space="preserve">FB-065</ns0:t>
        </ns0:is>
      </ns0:c>
      <ns0:c r="G60" s="4" t="str">
        <ns0:f>IF(H60="Complete","Complete",IF(I60="Blocked","Blocked",IF(I60="In progress","Ready",IF(F60="","Ready",IF(COUNTIFS($B$4:$B$73,F60,$H$4:$H$73,"Complete")=1,"Ready","Waiting")))))</ns0:f>
        <ns0:v>Waiting</ns0:v>
      </ns0:c>
      <ns0:c r="H60" s="4" t="str">
        <ns0:f>IF(I60="Not started","Not started",IF(I60="Blocked","Blocked",IF(I60="In progress","In progress",IF(J60&lt;&gt;"Passed","Awaiting code review",IF(OR(K60="",NOT(ISNUMBER(L60))),"Awaiting review evidence",IF(N60&lt;&gt;"Passed","Awaiting test",IF(OR(M60="",O60="",NOT(ISNUMBER(P60))),"Awaiting test evidence","Complete")))))))</ns0:f>
        <ns0:v>Not started</ns0:v>
      </ns0:c>
      <ns0:c r="I60" s="10" t="inlineStr">
        <ns0:is>
          <ns0:t xml:space="preserve">Not started</ns0:t>
        </ns0:is>
      </ns0:c>
      <ns0:c r="J60" s="10" t="inlineStr">
        <ns0:is>
          <ns0:t xml:space="preserve">Not reviewed</ns0:t>
        </ns0:is>
      </ns0:c>
      <ns0:c r="K60" s="10" t="n"/>
      <ns0:c r="L60" s="30" t="n"/>
      <ns0:c r="M60" s="10" t="n"/>
      <ns0:c r="N60" s="10" t="inlineStr">
        <ns0:is>
          <ns0:t xml:space="preserve">Not tested</ns0:t>
        </ns0:is>
      </ns0:c>
      <ns0:c r="O60" s="10" t="n"/>
      <ns0:c r="P60" s="30" t="n"/>
      <ns0:c r="Q60" s="10" t="n"/>
      <ns0:c r="R60" s="10" t="inlineStr">
        <ns0:is>
          <ns0:t>Before starting/resuming this item or feature: reread AGENTS.md from disk; apply teaching/testing rules. Teach data/props/basic rows, then search/pagination/layout gradually. Ask developer to test then review; later movements must update both screens.</ns0:t>
        </ns0:is>
      </ns0:c>
      <ns0:c r="S60" s="10" t="n"/>
    </ns0:row>
    <ns0:row r="61" ht="100" customHeight="1">
      <ns0:c r="A61" s="9" t="n">
        <ns0:v>58</ns0:v>
      </ns0:c>
      <ns0:c r="B61" s="9" t="inlineStr">
        <ns0:is>
          <ns0:t xml:space="preserve">FB-055</ns0:t>
        </ns0:is>
      </ns0:c>
      <ns0:c r="C61" s="9" t="inlineStr">
        <ns0:is>
          <ns0:t xml:space="preserve">Adjust</ns0:t>
        </ns0:is>
      </ns0:c>
      <ns0:c r="D61" s="9" t="inlineStr">
        <ns0:is>
          <ns0:t>Display separate single-stock-item Adjust screen</ns0:t>
        </ns0:is>
      </ns0:c>
      <ns0:c r="E61" s="9" t="inlineStr">
        <ns0:is>
          <ns0:t>All three roles choose one existing stock item via same Product/brand picker including zero; display saved package/current count; Add/Remove,positive whole quantity,required reason. No stock status.</ns0:t>
        </ns0:is>
      </ns0:c>
      <ns0:c r="F61" s="9" t="inlineStr">
        <ns0:is>
          <ns0:t xml:space="preserve">FB-066</ns0:t>
        </ns0:is>
      </ns0:c>
      <ns0:c r="G61" s="9" t="str">
        <ns0:f>IF(H61="Complete","Complete",IF(I61="Blocked","Blocked",IF(I61="In progress","Ready",IF(F61="","Ready",IF(COUNTIFS($B$4:$B$73,F61,$H$4:$H$73,"Complete")=1,"Ready","Waiting")))))</ns0:f>
        <ns0:v>Waiting</ns0:v>
      </ns0:c>
      <ns0:c r="H61" s="9" t="str">
        <ns0:f>IF(I61="Not started","Not started",IF(I61="Blocked","Blocked",IF(I61="In progress","In progress",IF(J61&lt;&gt;"Passed","Awaiting code review",IF(OR(K61="",NOT(ISNUMBER(L61))),"Awaiting review evidence",IF(N61&lt;&gt;"Passed","Awaiting test",IF(OR(M61="",O61="",NOT(ISNUMBER(P61))),"Awaiting test evidence","Complete")))))))</ns0:f>
        <ns0:v>Not started</ns0:v>
      </ns0:c>
      <ns0:c r="I61" s="11" t="inlineStr">
        <ns0:is>
          <ns0:t xml:space="preserve">Not started</ns0:t>
        </ns0:is>
      </ns0:c>
      <ns0:c r="J61" s="11" t="inlineStr">
        <ns0:is>
          <ns0:t xml:space="preserve">Not reviewed</ns0:t>
        </ns0:is>
      </ns0:c>
      <ns0:c r="K61" s="11" t="n"/>
      <ns0:c r="L61" s="31" t="n"/>
      <ns0:c r="M61" s="11" t="n"/>
      <ns0:c r="N61" s="11" t="inlineStr">
        <ns0:is>
          <ns0:t xml:space="preserve">Not tested</ns0:t>
        </ns0:is>
      </ns0:c>
      <ns0:c r="O61" s="11" t="n"/>
      <ns0:c r="P61" s="31" t="n"/>
      <ns0:c r="Q61" s="11" t="n"/>
      <ns0:c r="R61" s="11" t="inlineStr">
        <ns0:is>
          <ns0:t>Before starting/resuming this item or feature: reread AGENTS.md from disk; apply teaching/testing rules. Build one visible Adjust behaviour at a time; teach state/layout before save.</ns0:t>
        </ns0:is>
      </ns0:c>
      <ns0:c r="S61" s="11" t="n"/>
    </ns0:row>
    <ns0:row r="62" ht="110.0" customHeight="1">
      <ns0:c r="A62" s="4" t="n">
        <ns0:v>59</ns0:v>
      </ns0:c>
      <ns0:c r="B62" s="4" t="inlineStr">
        <ns0:is>
          <ns0:t xml:space="preserve">FB-056</ns0:t>
        </ns0:is>
      </ns0:c>
      <ns0:c r="C62" s="4" t="inlineStr">
        <ns0:is>
          <ns0:t xml:space="preserve">Adjust</ns0:t>
        </ns0:is>
      </ns0:c>
      <ns0:c r="D62" s="4" t="inlineStr">
        <ns0:is>
          <ns0:t>Save adjustments without negative stock and preserve history</ns0:t>
        </ns0:is>
      </ns0:c>
      <ns0:c r="E62" s="4" t="inlineStr">
        <ns0:is>
          <ns0:t xml:space="preserve">Add increases/Remove decreases; prevent insufficient stock,missing reason,fractional quantities. Immutable recorder/time/result and first-movement locks apply even if first stock arrives via Add adjustment. History and row/Product totals update; original records retained. Concurrent saves protected.
REQ-196: verify stock_entries shared context and linked stock_movements per item; entry and movements save atomically, and history obtains shared context through the entry. Receive/Distribute support multiple distinct items; Adjust one.</ns0:t>
        </ns0:is>
      </ns0:c>
      <ns0:c r="F62" s="4" t="inlineStr">
        <ns0:is>
          <ns0:t xml:space="preserve">FB-055</ns0:t>
        </ns0:is>
      </ns0:c>
      <ns0:c r="G62" s="4" t="str">
        <ns0:f>IF(H62="Complete","Complete",IF(I62="Blocked","Blocked",IF(I62="In progress","Ready",IF(F62="","Ready",IF(COUNTIFS($B$4:$B$73,F62,$H$4:$H$73,"Complete")=1,"Ready","Waiting")))))</ns0:f>
        <ns0:v>Waiting</ns0:v>
      </ns0:c>
      <ns0:c r="H62" s="4" t="str">
        <ns0:f>IF(I62="Not started","Not started",IF(I62="Blocked","Blocked",IF(I62="In progress","In progress",IF(J62&lt;&gt;"Passed","Awaiting code review",IF(OR(K62="",NOT(ISNUMBER(L62))),"Awaiting review evidence",IF(N62&lt;&gt;"Passed","Awaiting test",IF(OR(M62="",O62="",NOT(ISNUMBER(P62))),"Awaiting test evidence","Complete")))))))</ns0:f>
        <ns0:v>Not started</ns0:v>
      </ns0:c>
      <ns0:c r="I62" s="10" t="inlineStr">
        <ns0:is>
          <ns0:t xml:space="preserve">Not started</ns0:t>
        </ns0:is>
      </ns0:c>
      <ns0:c r="J62" s="10" t="inlineStr">
        <ns0:is>
          <ns0:t xml:space="preserve">Not reviewed</ns0:t>
        </ns0:is>
      </ns0:c>
      <ns0:c r="K62" s="10" t="n"/>
      <ns0:c r="L62" s="30" t="n"/>
      <ns0:c r="M62" s="10" t="n"/>
      <ns0:c r="N62" s="10" t="inlineStr">
        <ns0:is>
          <ns0:t xml:space="preserve">Not tested</ns0:t>
        </ns0:is>
      </ns0:c>
      <ns0:c r="O62" s="10" t="n"/>
      <ns0:c r="P62" s="30" t="n"/>
      <ns0:c r="Q62" s="10" t="n"/>
      <ns0:c r="R62" s="10" t="inlineStr">
        <ns0:is>
          <ns0:t xml:space="preserve">Before starting/resuming this item or feature: reread AGENTS.md from disk; apply teaching/testing rules. Connect permissions/validation/save, then developer tests connected Adjust journey and feature review, including first-movement lock via adjustment.
2026-10-31 approved two-table decision: teach/use stock_entries -&gt; stock_movements via stock_entry_id, with stock_item_id on movements (REQ-196). Planning only; preserve existing prerequisite order and evidence gates.</ns0:t>
        </ns0:is>
      </ns0:c>
      <ns0:c r="S62" s="10" t="n"/>
    </ns0:row>
    <ns0:row r="63" ht="105" customHeight="1">
      <ns0:c r="A63" s="9" t="n">
        <ns0:v>60</ns0:v>
      </ns0:c>
      <ns0:c r="B63" s="9" t="inlineStr">
        <ns0:is>
          <ns0:t xml:space="preserve">FB-057</ns0:t>
        </ns0:is>
      </ns0:c>
      <ns0:c r="C63" s="9" t="inlineStr">
        <ns0:is>
          <ns0:t xml:space="preserve">Household samples</ns0:t>
        </ns0:is>
      </ns0:c>
      <ns0:c r="D63" s="9" t="inlineStr">
        <ns0:is>
          <ns0:t xml:space="preserve">Prepare and verify 20 fictional households</ns0:t>
        </ns0:is>
      </ns0:c>
      <ns0:c r="E63" s="9" t="inlineStr">
        <ns0:is>
          <ns0:t xml:space="preserve">Unique reference, contact first/last name, address, positive household size, required unique Canadian phone, optional unique supplied email; multiple blanks allowed. No household management screens or automatic allowances. Developer runs explained data-changing commands.</ns0:t>
        </ns0:is>
      </ns0:c>
      <ns0:c r="F63" s="9" t="inlineStr">
        <ns0:is>
          <ns0:t xml:space="preserve">FB-056</ns0:t>
        </ns0:is>
      </ns0:c>
      <ns0:c r="G63" s="9" t="str">
        <ns0:f>IF(H63="Complete","Complete",IF(I63="Blocked","Blocked",IF(I63="In progress","Ready",IF(F63="","Ready",IF(COUNTIFS($B$4:$B$73,F63,$H$4:$H$73,"Complete")=1,"Ready","Waiting")))))</ns0:f>
        <ns0:v>Waiting</ns0:v>
      </ns0:c>
      <ns0:c r="H63" s="9" t="str">
        <ns0:f>IF(I63="Not started","Not started",IF(I63="Blocked","Blocked",IF(I63="In progress","In progress",IF(J63&lt;&gt;"Passed","Awaiting code review",IF(OR(K63="",NOT(ISNUMBER(L63))),"Awaiting review evidence",IF(N63&lt;&gt;"Passed","Awaiting test",IF(OR(M63="",O63="",NOT(ISNUMBER(P63))),"Awaiting test evidence","Complete")))))))</ns0:f>
        <ns0:v>Not started</ns0:v>
      </ns0:c>
      <ns0:c r="I63" s="11" t="inlineStr">
        <ns0:is>
          <ns0:t xml:space="preserve">Not started</ns0:t>
        </ns0:is>
      </ns0:c>
      <ns0:c r="J63" s="11" t="inlineStr">
        <ns0:is>
          <ns0:t xml:space="preserve">Not reviewed</ns0:t>
        </ns0:is>
      </ns0:c>
      <ns0:c r="K63" s="11" t="n"/>
      <ns0:c r="L63" s="31" t="n"/>
      <ns0:c r="M63" s="11" t="n"/>
      <ns0:c r="N63" s="11" t="inlineStr">
        <ns0:is>
          <ns0:t xml:space="preserve">Not tested</ns0:t>
        </ns0:is>
      </ns0:c>
      <ns0:c r="O63" s="11" t="n"/>
      <ns0:c r="P63" s="31" t="n"/>
      <ns0:c r="Q63" s="11" t="n"/>
      <ns0:c r="R63" s="11" t="inlineStr">
        <ns0:is>
          <ns0:t xml:space="preserve">Before starting this item or feature: reread AGENTS.md from disk; apply its teaching and testing rules.
Next: Start this item after the previous item is complete.</ns0:t>
        </ns0:is>
      </ns0:c>
      <ns0:c r="S63" s="11" t="n"/>
    </ns0:row>
    <ns0:row r="64" ht="105" customHeight="1">
      <ns0:c r="A64" s="4" t="n">
        <ns0:v>61</ns0:v>
      </ns0:c>
      <ns0:c r="B64" s="4" t="inlineStr">
        <ns0:is>
          <ns0:t xml:space="preserve">FB-058</ns0:t>
        </ns0:is>
      </ns0:c>
      <ns0:c r="C64" s="4" t="inlineStr">
        <ns0:is>
          <ns0:t xml:space="preserve">Distribute</ns0:t>
        </ns0:is>
      </ns0:c>
      <ns0:c r="D64" s="4" t="inlineStr">
        <ns0:is>
          <ns0:t xml:space="preserve">Search and select one household</ns0:t>
        </ns0:is>
      </ns0:c>
      <ns0:c r="E64" s="4" t="inlineStr">
        <ns0:is>
          <ns0:t xml:space="preserve">All roles performing distribution can search by reference/contact name/phone. Show enough details to distinguish households. Appointments checked outside app; no scheduling/appointment records or account-management access.</ns0:t>
        </ns0:is>
      </ns0:c>
      <ns0:c r="F64" s="4" t="inlineStr">
        <ns0:is>
          <ns0:t xml:space="preserve">FB-057</ns0:t>
        </ns0:is>
      </ns0:c>
      <ns0:c r="G64" s="4" t="str">
        <ns0:f>IF(H64="Complete","Complete",IF(I64="Blocked","Blocked",IF(I64="In progress","Ready",IF(F64="","Ready",IF(COUNTIFS($B$4:$B$73,F64,$H$4:$H$73,"Complete")=1,"Ready","Waiting")))))</ns0:f>
        <ns0:v>Waiting</ns0:v>
      </ns0:c>
      <ns0:c r="H64" s="4" t="str">
        <ns0:f>IF(I64="Not started","Not started",IF(I64="Blocked","Blocked",IF(I64="In progress","In progress",IF(J64&lt;&gt;"Passed","Awaiting code review",IF(OR(K64="",NOT(ISNUMBER(L64))),"Awaiting review evidence",IF(N64&lt;&gt;"Passed","Awaiting test",IF(OR(M64="",O64="",NOT(ISNUMBER(P64))),"Awaiting test evidence","Complete")))))))</ns0:f>
        <ns0:v>Not started</ns0:v>
      </ns0:c>
      <ns0:c r="I64" s="10" t="inlineStr">
        <ns0:is>
          <ns0:t xml:space="preserve">Not started</ns0:t>
        </ns0:is>
      </ns0:c>
      <ns0:c r="J64" s="10" t="inlineStr">
        <ns0:is>
          <ns0:t xml:space="preserve">Not reviewed</ns0:t>
        </ns0:is>
      </ns0:c>
      <ns0:c r="K64" s="10" t="n"/>
      <ns0:c r="L64" s="30" t="n"/>
      <ns0:c r="M64" s="10" t="n"/>
      <ns0:c r="N64" s="10" t="inlineStr">
        <ns0:is>
          <ns0:t xml:space="preserve">Not tested</ns0:t>
        </ns0:is>
      </ns0:c>
      <ns0:c r="O64" s="10" t="n"/>
      <ns0:c r="P64" s="30" t="n"/>
      <ns0:c r="Q64" s="10" t="n"/>
      <ns0:c r="R64" s="10" t="inlineStr">
        <ns0:is>
          <ns0: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ns0:t>
        </ns0:is>
      </ns0:c>
      <ns0:c r="S64" s="10" t="n"/>
    </ns0:row>
    <ns0:row r="65" ht="100" customHeight="1">
      <ns0:c r="A65" s="9" t="n">
        <ns0:v>62</ns0:v>
      </ns0:c>
      <ns0:c r="B65" s="9" t="inlineStr">
        <ns0:is>
          <ns0:t xml:space="preserve">FB-059</ns0:t>
        </ns0:is>
      </ns0:c>
      <ns0:c r="C65" s="9" t="inlineStr">
        <ns0:is>
          <ns0:t xml:space="preserve">Distribute</ns0:t>
        </ns0:is>
      </ns0:c>
      <ns0:c r="D65" s="9" t="inlineStr">
        <ns0:is>
          <ns0:t>Select available stock item directly after household</ns0:t>
        </ns0:is>
      </ns0:c>
      <ns0:c r="E65" s="9" t="inlineStr">
        <ns0:is>
          <ns0:t>After one household is selected, show searchable complete stock-item choices with positive available balance. Product/brand/package/count identify each. No preliminary Product/Subcategory selection,codes,status or tags.</ns0:t>
        </ns0:is>
      </ns0:c>
      <ns0:c r="F65" s="9" t="inlineStr">
        <ns0:is>
          <ns0:t xml:space="preserve">FB-058</ns0:t>
        </ns0:is>
      </ns0:c>
      <ns0:c r="G65" s="9" t="str">
        <ns0:f>IF(H65="Complete","Complete",IF(I65="Blocked","Blocked",IF(I65="In progress","Ready",IF(F65="","Ready",IF(COUNTIFS($B$4:$B$73,F65,$H$4:$H$73,"Complete")=1,"Ready","Waiting")))))</ns0:f>
        <ns0:v>Waiting</ns0:v>
      </ns0:c>
      <ns0:c r="H65" s="9" t="str">
        <ns0:f>IF(I65="Not started","Not started",IF(I65="Blocked","Blocked",IF(I65="In progress","In progress",IF(J65&lt;&gt;"Passed","Awaiting code review",IF(OR(K65="",NOT(ISNUMBER(L65))),"Awaiting review evidence",IF(N65&lt;&gt;"Passed","Awaiting test",IF(OR(M65="",O65="",NOT(ISNUMBER(P65))),"Awaiting test evidence","Complete")))))))</ns0:f>
        <ns0:v>Not started</ns0:v>
      </ns0:c>
      <ns0:c r="I65" s="11" t="inlineStr">
        <ns0:is>
          <ns0:t xml:space="preserve">Not started</ns0:t>
        </ns0:is>
      </ns0:c>
      <ns0:c r="J65" s="11" t="inlineStr">
        <ns0:is>
          <ns0:t xml:space="preserve">Not reviewed</ns0:t>
        </ns0:is>
      </ns0:c>
      <ns0:c r="K65" s="11" t="n"/>
      <ns0:c r="L65" s="31" t="n"/>
      <ns0:c r="M65" s="11" t="n"/>
      <ns0:c r="N65" s="11" t="inlineStr">
        <ns0:is>
          <ns0:t xml:space="preserve">Not tested</ns0:t>
        </ns0:is>
      </ns0:c>
      <ns0:c r="O65" s="11" t="n"/>
      <ns0:c r="P65" s="31" t="n"/>
      <ns0:c r="Q65" s="11"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5" s="11" t="inlineStr">
        <ns0:is>
          <ns0:t>Before starting/resuming this item or feature: reread AGENTS.md from disk; apply teaching/testing rules. Introduce direct stock-item selection after household; connect chosen stock_item_id to visible package/count.</ns0:t>
        </ns0:is>
      </ns0:c>
      <ns0:c r="S65" s="11" t="n"/>
    </ns0:row>
    <ns0:row r="66" ht="100" customHeight="1">
      <ns0:c r="A66" s="4" t="n">
        <ns0:v>63</ns0:v>
      </ns0:c>
      <ns0:c r="B66" s="4" t="inlineStr">
        <ns0:is>
          <ns0:t xml:space="preserve">FB-060</ns0:t>
        </ns0:is>
      </ns0:c>
      <ns0:c r="C66" s="4" t="inlineStr">
        <ns0:is>
          <ns0:t xml:space="preserve">Distribute</ns0:t>
        </ns0:is>
      </ns0:c>
      <ns0:c r="D66" s="4" t="inlineStr">
        <ns0:is>
          <ns0:t>Search selectable stock items by Product name or brand</ns0:t>
        </ns0:is>
      </ns0:c>
      <ns0:c r="E66" s="4" t="inlineStr">
        <ns0:is>
          <ns0:t>Shared picker searches Product name/optional brand across eligible positive-balance choices. Clearing and no-results work; all selected rows retained. Same search behaviour as Receive/Adjust with distribution availability restriction.</ns0:t>
        </ns0:is>
      </ns0:c>
      <ns0:c r="F66" s="4" t="inlineStr">
        <ns0:is>
          <ns0:t xml:space="preserve">FB-059</ns0:t>
        </ns0:is>
      </ns0:c>
      <ns0:c r="G66" s="4" t="str">
        <ns0:f>IF(H66="Complete","Complete",IF(I66="Blocked","Blocked",IF(I66="In progress","Ready",IF(F66="","Ready",IF(COUNTIFS($B$4:$B$73,F66,$H$4:$H$73,"Complete")=1,"Ready","Waiting")))))</ns0:f>
        <ns0:v>Waiting</ns0:v>
      </ns0:c>
      <ns0:c r="H66" s="4" t="str">
        <ns0:f>IF(I66="Not started","Not started",IF(I66="Blocked","Blocked",IF(I66="In progress","In progress",IF(J66&lt;&gt;"Passed","Awaiting code review",IF(OR(K66="",NOT(ISNUMBER(L66))),"Awaiting review evidence",IF(N66&lt;&gt;"Passed","Awaiting test",IF(OR(M66="",O66="",NOT(ISNUMBER(P66))),"Awaiting test evidence","Complete")))))))</ns0:f>
        <ns0:v>Not started</ns0:v>
      </ns0:c>
      <ns0:c r="I66" s="10" t="inlineStr">
        <ns0:is>
          <ns0:t xml:space="preserve">Not started</ns0:t>
        </ns0:is>
      </ns0:c>
      <ns0:c r="J66" s="10" t="inlineStr">
        <ns0:is>
          <ns0:t xml:space="preserve">Not reviewed</ns0:t>
        </ns0:is>
      </ns0:c>
      <ns0:c r="K66" s="10" t="n"/>
      <ns0:c r="L66" s="30" t="n"/>
      <ns0:c r="M66" s="10" t="n"/>
      <ns0:c r="N66" s="10" t="inlineStr">
        <ns0:is>
          <ns0:t xml:space="preserve">Not tested</ns0:t>
        </ns0:is>
      </ns0:c>
      <ns0:c r="O66" s="10" t="n"/>
      <ns0:c r="P66" s="30" t="n"/>
      <ns0:c r="Q66" s="10"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6" s="10" t="inlineStr">
        <ns0:is>
          <ns0:t>Before starting/resuming this item or feature: reread AGENTS.md from disk; apply teaching/testing rules. Add Product/brand search to established selection; observe eligible and zero-stock/no-match cases.</ns0:t>
        </ns0:is>
      </ns0:c>
      <ns0:c r="S66" s="10" t="n"/>
    </ns0:row>
    <ns0:row r="67" ht="100" customHeight="1">
      <ns0:c r="A67" s="9" t="n">
        <ns0:v>64</ns0:v>
      </ns0:c>
      <ns0:c r="B67" s="9" t="inlineStr">
        <ns0:is>
          <ns0:t xml:space="preserve">FB-061</ns0:t>
        </ns0:is>
      </ns0:c>
      <ns0:c r="C67" s="9" t="inlineStr">
        <ns0:is>
          <ns0:t xml:space="preserve">Distribute</ns0:t>
        </ns0:is>
      </ns0:c>
      <ns0:c r="D67" s="9" t="inlineStr">
        <ns0:is>
          <ns0:t>Build multiple stock-item distribution rows</ns0:t>
        </ns0:is>
      </ns0:c>
      <ns0:c r="E67" s="9" t="inlineStr">
        <ns0:is>
          <ns0:t>Choose positive whole-package quantities for distinct stock_item_id values; same Product different brands/packages allowed. No splitting bags; update existing row instead of duplicates. Responsive row layout in small lessons.</ns0:t>
        </ns0:is>
      </ns0:c>
      <ns0:c r="F67" s="9" t="inlineStr">
        <ns0:is>
          <ns0:t xml:space="preserve">FB-060</ns0:t>
        </ns0:is>
      </ns0:c>
      <ns0:c r="G67" s="9" t="str">
        <ns0:f>IF(H67="Complete","Complete",IF(I67="Blocked","Blocked",IF(I67="In progress","Ready",IF(F67="","Ready",IF(COUNTIFS($B$4:$B$73,F67,$H$4:$H$73,"Complete")=1,"Ready","Waiting")))))</ns0:f>
        <ns0:v>Waiting</ns0:v>
      </ns0:c>
      <ns0:c r="H67" s="9" t="str">
        <ns0:f>IF(I67="Not started","Not started",IF(I67="Blocked","Blocked",IF(I67="In progress","In progress",IF(J67&lt;&gt;"Passed","Awaiting code review",IF(OR(K67="",NOT(ISNUMBER(L67))),"Awaiting review evidence",IF(N67&lt;&gt;"Passed","Awaiting test",IF(OR(M67="",O67="",NOT(ISNUMBER(P67))),"Awaiting test evidence","Complete")))))))</ns0:f>
        <ns0:v>Not started</ns0:v>
      </ns0:c>
      <ns0:c r="I67" s="11" t="inlineStr">
        <ns0:is>
          <ns0:t xml:space="preserve">Not started</ns0:t>
        </ns0:is>
      </ns0:c>
      <ns0:c r="J67" s="11" t="inlineStr">
        <ns0:is>
          <ns0:t xml:space="preserve">Not reviewed</ns0:t>
        </ns0:is>
      </ns0:c>
      <ns0:c r="K67" s="11" t="n"/>
      <ns0:c r="L67" s="31" t="n"/>
      <ns0:c r="M67" s="11" t="n"/>
      <ns0:c r="N67" s="11" t="inlineStr">
        <ns0:is>
          <ns0:t xml:space="preserve">Not tested</ns0:t>
        </ns0:is>
      </ns0:c>
      <ns0:c r="O67" s="11" t="n"/>
      <ns0:c r="P67" s="31" t="n"/>
      <ns0:c r="Q67" s="11" t="n"/>
      <ns0:c r="R67" s="11" t="inlineStr">
        <ns0:is>
          <ns0:t>Before starting/resuming this item or feature: reread AGENTS.md from disk; apply teaching/testing rules. Teach first quantity binding then added rows and unique-item handling separately.</ns0:t>
        </ns0:is>
      </ns0:c>
      <ns0:c r="S67" s="11" t="n"/>
    </ns0:row>
    <ns0:row r="68" ht="100" customHeight="1">
      <ns0:c r="A68" s="4" t="n">
        <ns0:v>65</ns0:v>
      </ns0:c>
      <ns0:c r="B68" s="4" t="inlineStr">
        <ns0:is>
          <ns0:t xml:space="preserve">FB-062</ns0:t>
        </ns0:is>
      </ns0:c>
      <ns0:c r="C68" s="4" t="inlineStr">
        <ns0:is>
          <ns0:t xml:space="preserve">Distribute</ns0:t>
        </ns0:is>
      </ns0:c>
      <ns0:c r="D68" s="4" t="inlineStr">
        <ns0:is>
          <ns0:t>Review household and stock items before distribution save</ns0:t>
        </ns0:is>
      </ns0:c>
      <ns0:c r="E68" s="4" t="inlineStr">
        <ns0:is>
          <ns0:t>Review one household plus complete Product/brand/package/quantity rows before save; correct temporary selection without changing saved stock.</ns0:t>
        </ns0:is>
      </ns0:c>
      <ns0:c r="F68" s="4" t="inlineStr">
        <ns0:is>
          <ns0:t xml:space="preserve">FB-061</ns0:t>
        </ns0:is>
      </ns0:c>
      <ns0:c r="G68" s="4" t="str">
        <ns0:f>IF(H68="Complete","Complete",IF(I68="Blocked","Blocked",IF(I68="In progress","Ready",IF(F68="","Ready",IF(COUNTIFS($B$4:$B$73,F68,$H$4:$H$73,"Complete")=1,"Ready","Waiting")))))</ns0:f>
        <ns0:v>Waiting</ns0:v>
      </ns0:c>
      <ns0:c r="H68" s="4" t="str">
        <ns0:f>IF(I68="Not started","Not started",IF(I68="Blocked","Blocked",IF(I68="In progress","In progress",IF(J68&lt;&gt;"Passed","Awaiting code review",IF(OR(K68="",NOT(ISNUMBER(L68))),"Awaiting review evidence",IF(N68&lt;&gt;"Passed","Awaiting test",IF(OR(M68="",O68="",NOT(ISNUMBER(P68))),"Awaiting test evidence","Complete")))))))</ns0:f>
        <ns0:v>Not started</ns0:v>
      </ns0:c>
      <ns0:c r="I68" s="10" t="inlineStr">
        <ns0:is>
          <ns0:t xml:space="preserve">Not started</ns0:t>
        </ns0:is>
      </ns0:c>
      <ns0:c r="J68" s="10" t="inlineStr">
        <ns0:is>
          <ns0:t xml:space="preserve">Not reviewed</ns0:t>
        </ns0:is>
      </ns0:c>
      <ns0:c r="K68" s="10" t="n"/>
      <ns0:c r="L68" s="30" t="n"/>
      <ns0:c r="M68" s="10" t="n"/>
      <ns0:c r="N68" s="10" t="inlineStr">
        <ns0:is>
          <ns0:t xml:space="preserve">Not tested</ns0:t>
        </ns0:is>
      </ns0:c>
      <ns0:c r="O68" s="10" t="n"/>
      <ns0:c r="P68" s="30" t="n"/>
      <ns0:c r="Q68" s="10" t="n"/>
      <ns0:c r="R68" s="10" t="inlineStr">
        <ns0:is>
          <ns0:t>Before starting/resuming this item or feature: reread AGENTS.md from disk; apply teaching/testing rules. Build review step from existing local selection; distinguish preview from persistence.</ns0:t>
        </ns0:is>
      </ns0:c>
      <ns0:c r="S68" s="10" t="n"/>
    </ns0:row>
    <ns0:row r="69" ht="106.4" customHeight="1">
      <ns0:c r="A69" s="9" t="n">
        <ns0:v>66</ns0:v>
      </ns0:c>
      <ns0:c r="B69" s="9" t="inlineStr">
        <ns0:is>
          <ns0:t xml:space="preserve">FB-063</ns0:t>
        </ns0:is>
      </ns0:c>
      <ns0:c r="C69" s="9" t="inlineStr">
        <ns0:is>
          <ns0:t xml:space="preserve">Distribute</ns0:t>
        </ns0:is>
      </ns0:c>
      <ns0:c r="D69" s="9" t="inlineStr">
        <ns0:is>
          <ns0:t>Save distribution with final availability recheck</ns0:t>
        </ns0:is>
      </ns0:c>
      <ns0:c r="E69" s="9" t="inlineStr">
        <ns0:is>
          <ns0:t xml:space="preserve">All three roles; one household; all-or-none stock changes. Recheck stock under concurrent updates,prevent negative balance; immutable recorder/time/result. Preserve stock-item identity/unit locks and history. Update item counts,row totals,Product totals. No stock status validation.
REQ-196: verify stock_entries shared context and linked stock_movements per item; entry and movements save atomically, and history obtains shared context through the entry. Receive/Distribute support multiple distinct items; Adjust one.</ns0:t>
        </ns0:is>
      </ns0:c>
      <ns0:c r="F69" s="9" t="inlineStr">
        <ns0:is>
          <ns0:t xml:space="preserve">FB-062</ns0:t>
        </ns0:is>
      </ns0:c>
      <ns0:c r="G69" s="9" t="str">
        <ns0:f>IF(H69="Complete","Complete",IF(I69="Blocked","Blocked",IF(I69="In progress","Ready",IF(F69="","Ready",IF(COUNTIFS($B$4:$B$73,F69,$H$4:$H$73,"Complete")=1,"Ready","Waiting")))))</ns0:f>
        <ns0:v>Waiting</ns0:v>
      </ns0:c>
      <ns0:c r="H69" s="9" t="str">
        <ns0:f>IF(I69="Not started","Not started",IF(I69="Blocked","Blocked",IF(I69="In progress","In progress",IF(J69&lt;&gt;"Passed","Awaiting code review",IF(OR(K69="",NOT(ISNUMBER(L69))),"Awaiting review evidence",IF(N69&lt;&gt;"Passed","Awaiting test",IF(OR(M69="",O69="",NOT(ISNUMBER(P69))),"Awaiting test evidence","Complete")))))))</ns0:f>
        <ns0:v>Not started</ns0:v>
      </ns0:c>
      <ns0:c r="I69" s="11" t="inlineStr">
        <ns0:is>
          <ns0:t xml:space="preserve">Not started</ns0:t>
        </ns0:is>
      </ns0:c>
      <ns0:c r="J69" s="11" t="inlineStr">
        <ns0:is>
          <ns0:t xml:space="preserve">Not reviewed</ns0:t>
        </ns0:is>
      </ns0:c>
      <ns0:c r="K69" s="11" t="n"/>
      <ns0:c r="L69" s="31" t="n"/>
      <ns0:c r="M69" s="11" t="n"/>
      <ns0:c r="N69" s="11" t="inlineStr">
        <ns0:is>
          <ns0:t xml:space="preserve">Not tested</ns0:t>
        </ns0:is>
      </ns0:c>
      <ns0:c r="O69" s="11" t="n"/>
      <ns0:c r="P69" s="31" t="n"/>
      <ns0:c r="Q69" s="11" t="n"/>
      <ns0:c r="R69" s="11" t="inlineStr">
        <ns0:is>
          <ns0:t xml:space="preserve">Before starting/resuming this item or feature: reread AGENTS.md from disk; apply teaching/testing rules. Connect relationships,authorization,transaction and final availability recheck before save; test connected household/stock/history/totals.
2026-10-31 approved two-table decision: teach/use stock_entries -&gt; stock_movements via stock_entry_id, with stock_item_id on movements (REQ-196). Planning only; preserve existing prerequisite order and evidence gates.</ns0:t>
        </ns0:is>
      </ns0:c>
      <ns0:c r="S69" s="11" t="n"/>
    </ns0:row>
    <ns0:row r="70" ht="100" customHeight="1">
      <ns0:c r="A70" s="4" t="n">
        <ns0:v>67</ns0:v>
      </ns0:c>
      <ns0:c r="B70" s="4" t="inlineStr">
        <ns0:is>
          <ns0:t xml:space="preserve">FB-064</ns0:t>
        </ns0:is>
      </ns0:c>
      <ns0:c r="C70" s="4" t="inlineStr">
        <ns0:is>
          <ns0:t xml:space="preserve">Distribute</ns0:t>
        </ns0:is>
      </ns0:c>
      <ns0:c r="D70" s="4" t="inlineStr">
        <ns0:is>
          <ns0:t>Show distribution result and verify permitted access</ns0:t>
        </ns0:is>
      </ns0:c>
      <ns0:c r="E70" s="4" t="inlineStr">
        <ns0:is>
          <ns0:t>Success/read-only result; failed save retains input; duplicate-click prevention. Volunteers see current success result but cannot browse stock history. Verify affected totals/history and account boundaries.</ns0:t>
        </ns0:is>
      </ns0:c>
      <ns0:c r="F70" s="4" t="inlineStr">
        <ns0:is>
          <ns0:t xml:space="preserve">FB-063</ns0:t>
        </ns0:is>
      </ns0:c>
      <ns0:c r="G70" s="4" t="str">
        <ns0:f>IF(H70="Complete","Complete",IF(I70="Blocked","Blocked",IF(I70="In progress","Ready",IF(F70="","Ready",IF(COUNTIFS($B$4:$B$73,F70,$H$4:$H$73,"Complete")=1,"Ready","Waiting")))))</ns0:f>
        <ns0:v>Waiting</ns0:v>
      </ns0:c>
      <ns0:c r="H70" s="4" t="str">
        <ns0:f>IF(I70="Not started","Not started",IF(I70="Blocked","Blocked",IF(I70="In progress","In progress",IF(J70&lt;&gt;"Passed","Awaiting code review",IF(OR(K70="",NOT(ISNUMBER(L70))),"Awaiting review evidence",IF(N70&lt;&gt;"Passed","Awaiting test",IF(OR(M70="",O70="",NOT(ISNUMBER(P70))),"Awaiting test evidence","Complete")))))))</ns0:f>
        <ns0:v>Not started</ns0:v>
      </ns0:c>
      <ns0:c r="I70" s="10" t="inlineStr">
        <ns0:is>
          <ns0:t xml:space="preserve">Not started</ns0:t>
        </ns0:is>
      </ns0:c>
      <ns0:c r="J70" s="10" t="inlineStr">
        <ns0:is>
          <ns0:t xml:space="preserve">Not reviewed</ns0:t>
        </ns0:is>
      </ns0:c>
      <ns0:c r="K70" s="10" t="n"/>
      <ns0:c r="L70" s="30" t="n"/>
      <ns0:c r="M70" s="10" t="n"/>
      <ns0:c r="N70" s="10" t="inlineStr">
        <ns0:is>
          <ns0:t xml:space="preserve">Not tested</ns0:t>
        </ns0:is>
      </ns0:c>
      <ns0:c r="O70" s="10" t="n"/>
      <ns0:c r="P70" s="30" t="n"/>
      <ns0:c r="Q70" s="10" t="n"/>
      <ns0:c r="R70" s="10" t="inlineStr">
        <ns0:is>
          <ns0:t>Before starting/resuming this item or feature: reread AGENTS.md from disk; apply teaching/testing rules. Ask developer to test complete journey; review Distribution feature and record actual evidence before completion.</ns0:t>
        </ns0:is>
      </ns0:c>
      <ns0:c r="S70" s="10" t="n"/>
    </ns0:row>
    <ns0:row r="71" ht="129.0" customHeight="1">
      <ns0:c r="A71" s="9" t="n">
        <ns0:v>68</ns0:v>
      </ns0:c>
      <ns0:c r="B71" s="9" t="inlineStr">
        <ns0:is>
          <ns0:t xml:space="preserve">FB-068</ns0:t>
        </ns0:is>
      </ns0:c>
      <ns0:c r="C71" s="9" t="inlineStr">
        <ns0:is>
          <ns0:t xml:space="preserve">Verification</ns0:t>
        </ns0:is>
      </ns0:c>
      <ns0:c r="D71" s="9" t="inlineStr">
        <ns0:is>
          <ns0:t>Verify final Stock Management journeys and permissions</ns0:t>
        </ns0:is>
      </ns0:c>
      <ns0:c r="E71" s="9" t="inlineStr">
        <ns0:is>
          <ns0:t xml:space="preserve">Verify Package sizes/stock setup,deletion guards,unit init/reset,first-movement locks,Receive/Adjust/Distribute atomicity and concurrent nonnegative balances,separate search-only stock screens,row/combined totals and pagination,item history permission/order,whole packages,duplicate rows,household review/feedback. No codes/tags/Product-or-stock-item activation. Version-two correction excluded.
REQ-196: verify stock_entries shared context and linked stock_movements per item; entry and movements save atomically, and history obtains shared context through the entry. Receive/Distribute support multiple distinct items; Adjust one.
REQ-197: retain unused Product status storage, remove status UI/filter and prevent client-controlled changes; Product status is not a stock gate.</ns0:t>
        </ns0:is>
      </ns0:c>
      <ns0:c r="F71" s="9" t="inlineStr">
        <ns0:is>
          <ns0:t xml:space="preserve">FB-064</ns0:t>
        </ns0:is>
      </ns0:c>
      <ns0:c r="G71" s="9" t="str">
        <ns0:f>IF(H71="Complete","Complete",IF(I71="Blocked","Blocked",IF(I71="In progress","Ready",IF(F71="","Ready",IF(COUNTIFS($B$4:$B$73,F71,$H$4:$H$73,"Complete")=1,"Ready","Waiting")))))</ns0:f>
        <ns0:v>Waiting</ns0:v>
      </ns0:c>
      <ns0:c r="H71" s="9" t="str">
        <ns0:f>IF(I71="Not started","Not started",IF(I71="Blocked","Blocked",IF(I71="In progress","In progress",IF(J71&lt;&gt;"Passed","Awaiting code review",IF(OR(K71="",NOT(ISNUMBER(L71))),"Awaiting review evidence",IF(N71&lt;&gt;"Passed","Awaiting test",IF(OR(M71="",O71="",NOT(ISNUMBER(P71))),"Awaiting test evidence","Complete")))))))</ns0:f>
        <ns0:v>Not started</ns0:v>
      </ns0:c>
      <ns0:c r="I71" s="11" t="inlineStr">
        <ns0:is>
          <ns0:t xml:space="preserve">Not started</ns0:t>
        </ns0:is>
      </ns0:c>
      <ns0:c r="J71" s="11" t="inlineStr">
        <ns0:is>
          <ns0:t xml:space="preserve">Not reviewed</ns0:t>
        </ns0:is>
      </ns0:c>
      <ns0:c r="K71" s="11" t="n"/>
      <ns0:c r="L71" s="31" t="n"/>
      <ns0:c r="M71" s="11" t="n"/>
      <ns0:c r="N71" s="11" t="inlineStr">
        <ns0:is>
          <ns0:t xml:space="preserve">Not tested</ns0:t>
        </ns0:is>
      </ns0:c>
      <ns0:c r="O71" s="11" t="n"/>
      <ns0:c r="P71" s="31" t="n"/>
      <ns0:c r="Q71" s="11" t="n"/>
      <ns0:c r="R71" s="11" t="inlineStr">
        <ns0:is>
          <ns0:t xml:space="preserve">Before starting/resuming this item or feature: reread AGENTS.md from disk; apply teaching/testing rules. Developer-first integrated stock checks and completed-feature review. Preserve unresolved account/project-end deferrals; never mark tests passed without evidence.
2026-10-31 approved two-table decision: teach/use stock_entries -&gt; stock_movements via stock_entry_id, with stock_item_id on movements (REQ-196). Planning only; preserve existing prerequisite order and evidence gates.</ns0:t>
        </ns0:is>
      </ns0:c>
      <ns0:c r="S71" s="11" t="n"/>
    </ns0:row>
    <ns0:row r="72" ht="105" customHeight="1">
      <ns0:c r="A72" s="4" t="n">
        <ns0:v>69</ns0:v>
      </ns0:c>
      <ns0:c r="B72" s="4" t="inlineStr">
        <ns0:is>
          <ns0:t xml:space="preserve">FB-069</ns0:t>
        </ns0:is>
      </ns0:c>
      <ns0:c r="C72" s="4" t="inlineStr">
        <ns0:is>
          <ns0:t xml:space="preserve">Verification</ns0:t>
        </ns0:is>
      </ns0:c>
      <ns0:c r="D72" s="4" t="inlineStr">
        <ns0:is>
          <ns0:t xml:space="preserve">Verify the combined first-version experience</ns0:t>
        </ns0:is>
      </ns0:c>
      <ns0:c r="E72" s="4" t="inlineStr">
        <ns0:is>
          <ns0: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ns0:t>
        </ns0:is>
      </ns0:c>
      <ns0:c r="F72" s="4" t="inlineStr">
        <ns0:is>
          <ns0:t xml:space="preserve">FB-023</ns0:t>
        </ns0:is>
      </ns0:c>
      <ns0:c r="G72" s="4" t="str">
        <ns0:f>IF(H72="Complete","Complete",IF(I72="Blocked","Blocked",IF(I72="In progress","Ready",IF(F72="","Ready",IF(COUNTIFS($B$4:$B$73,F72,$H$4:$H$73,"Complete")=1,"Ready","Waiting")))))</ns0:f>
        <ns0:v>Waiting</ns0:v>
      </ns0:c>
      <ns0:c r="H72" s="4" t="str">
        <ns0:f>IF(I72="Not started","Not started",IF(I72="Blocked","Blocked",IF(I72="In progress","In progress",IF(J72&lt;&gt;"Passed","Awaiting code review",IF(OR(K72="",NOT(ISNUMBER(L72))),"Awaiting review evidence",IF(N72&lt;&gt;"Passed","Awaiting test",IF(OR(M72="",O72="",NOT(ISNUMBER(P72))),"Awaiting test evidence","Complete")))))))</ns0:f>
        <ns0:v>Not started</ns0:v>
      </ns0:c>
      <ns0:c r="I72" s="10" t="inlineStr">
        <ns0:is>
          <ns0:t xml:space="preserve">Not started</ns0:t>
        </ns0:is>
      </ns0:c>
      <ns0:c r="J72" s="10" t="inlineStr">
        <ns0:is>
          <ns0:t xml:space="preserve">Not reviewed</ns0:t>
        </ns0:is>
      </ns0:c>
      <ns0:c r="K72" s="10" t="n"/>
      <ns0:c r="L72" s="30" t="n"/>
      <ns0:c r="M72" s="10" t="n"/>
      <ns0:c r="N72" s="10" t="inlineStr">
        <ns0:is>
          <ns0:t xml:space="preserve">Not tested</ns0:t>
        </ns0:is>
      </ns0:c>
      <ns0:c r="O72" s="10" t="n"/>
      <ns0:c r="P72" s="30" t="n"/>
      <ns0:c r="Q72" s="10" t="inlineStr">
        <ns0:is>
          <ns0: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ns0:t>
        </ns0:is>
      </ns0:c>
      <ns0:c r="R72" s="10" t="inlineStr">
        <ns0:is>
          <ns0: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72" s="10" t="n"/>
    </ns0:row>
    <ns0:row r="73" ht="105" customHeight="1">
      <ns0:c r="A73" s="9" t="n">
        <ns0:v>70</ns0:v>
      </ns0:c>
      <ns0:c r="B73" s="9" t="inlineStr">
        <ns0:is>
          <ns0:t xml:space="preserve">FB-070</ns0:t>
        </ns0:is>
      </ns0:c>
      <ns0:c r="C73" s="9" t="inlineStr">
        <ns0:is>
          <ns0:t xml:space="preserve">Super Admin recovery — LAST</ns0:t>
        </ns0:is>
      </ns0:c>
      <ns0:c r="D73" s="9" t="inlineStr">
        <ns0:is>
          <ns0:t xml:space="preserve">Implement server-only recovery after all other work</ns0:t>
        </ns0:is>
      </ns0:c>
      <ns0:c r="E73" s="9" t="inlineStr">
        <ns0:is>
          <ns0: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ns0:t>
        </ns0:is>
      </ns0:c>
      <ns0:c r="F73" s="9" t="inlineStr">
        <ns0:is>
          <ns0:t xml:space="preserve">FB-069</ns0:t>
        </ns0:is>
      </ns0:c>
      <ns0:c r="G73" s="9" t="str">
        <ns0:f>IF(H73="Complete","Complete",IF(I73="Blocked","Blocked",IF(I73="In progress","Ready",IF(F73="","Ready",IF(COUNTIFS($B$4:$B$73,F73,$H$4:$H$73,"Complete")=1,"Ready","Waiting")))))</ns0:f>
        <ns0:v>Waiting</ns0:v>
      </ns0:c>
      <ns0:c r="H73" s="9" t="str">
        <ns0:f>IF(I73="Not started","Not started",IF(I73="Blocked","Blocked",IF(I73="In progress","In progress",IF(J73&lt;&gt;"Passed","Awaiting code review",IF(OR(K73="",NOT(ISNUMBER(L73))),"Awaiting review evidence",IF(N73&lt;&gt;"Passed","Awaiting test",IF(OR(M73="",O73="",NOT(ISNUMBER(P73))),"Awaiting test evidence","Complete")))))))</ns0:f>
        <ns0:v>Not started</ns0:v>
      </ns0:c>
      <ns0:c r="I73" s="11" t="inlineStr">
        <ns0:is>
          <ns0:t xml:space="preserve">Not started</ns0:t>
        </ns0:is>
      </ns0:c>
      <ns0:c r="J73" s="11" t="inlineStr">
        <ns0:is>
          <ns0:t xml:space="preserve">Not reviewed</ns0:t>
        </ns0:is>
      </ns0:c>
      <ns0:c r="K73" s="11" t="n"/>
      <ns0:c r="L73" s="31" t="n"/>
      <ns0:c r="M73" s="11" t="n"/>
      <ns0:c r="N73" s="11" t="inlineStr">
        <ns0:is>
          <ns0:t xml:space="preserve">Not tested</ns0:t>
        </ns0:is>
      </ns0:c>
      <ns0:c r="O73" s="11" t="n"/>
      <ns0:c r="P73" s="31" t="n"/>
      <ns0:c r="Q73" s="11" t="n"/>
      <ns0:c r="R73" s="11" t="inlineStr">
        <ns0:is>
          <ns0:t xml:space="preserve">Before starting this item or feature: reread AGENTS.md from disk; apply its teaching and testing rules.
Next: Start this item after the previous item is complete.</ns0:t>
        </ns0:is>
      </ns0:c>
      <ns0:c r="S73" s="11" t="n"/>
    </ns0:row>
  </ns0:sheetData>
  <ns0:mergeCells>
    <ns0:mergeCell ref="A1:H1"/>
  </ns0:mergeCells>
  <ns0:conditionalFormatting sqref="H4:H73">
    <ns0:cfRule type="containsText" dxfId="0" priority="1" operator="containsText" text="Complete"/>
    <ns0:cfRule type="containsText" dxfId="2" priority="3" operator="containsText" text="Blocked"/>
  </ns0:conditionalFormatting>
  <ns0:conditionalFormatting sqref="G4:G73">
    <ns0:cfRule type="containsText" dxfId="1" priority="2" operator="containsText" text="Ready"/>
  </ns0:conditionalFormatting>
  <ns0:dataValidations count="4">
    <ns0:dataValidation type="list" allowBlank="0" showDropDown="0" showInputMessage="0" showErrorMessage="0" sqref="I4:I73">
      <ns0:formula1>"Not started,In progress,Ready for review,Blocked"</ns0:formula1>
    </ns0:dataValidation>
    <ns0:dataValidation type="list" allowBlank="0" showDropDown="0" showInputMessage="0" showErrorMessage="0" sqref="J4:J73">
      <ns0:formula1>"Not reviewed,Changes needed,Passed"</ns0:formula1>
    </ns0:dataValidation>
    <ns0:dataValidation type="list" allowBlank="0" showDropDown="0" showInputMessage="0" showErrorMessage="0" sqref="M4:M73">
      <ns0:formula1>"Developer,Assistant (delegated)"</ns0:formula1>
    </ns0:dataValidation>
    <ns0:dataValidation type="list" allowBlank="0" showDropDown="0" showInputMessage="0" showErrorMessage="0" sqref="N4:N73">
      <ns0:formula1>"Not tested,Failed,Passed"</ns0:formula1>
    </ns0:dataValidation>
  </ns0:dataValidations>
  <ns0:pageMargins left="0.7" right="0.7" top="0.75" bottom="0.75" header="0.3" footer="0.3"/>
  <ns0:tableParts count="1">
    <ns0:tablePart ns1:id="Rdc2e812ee06a45d7"/>
  </ns0:tableParts>
</ns0:worksheet>
</file>

<file path=xl/worksheets/sheet3.xml><?xml version="1.0" encoding="utf-8"?>
<ns0:worksheet xmlns:ns0="http://schemas.openxmlformats.org/spreadsheetml/2006/main" xmlns:ns1="http://schemas.openxmlformats.org/officeDocument/2006/relationships">
  <ns0:sheetPr>
    <ns0:tabColor rgb="FF187E80"/>
  </ns0:sheetPr>
  <ns0:sheetViews>
    <ns0:sheetView showGridLines="0" workbookViewId="0">
      <ns0:pane xSplit="1" ySplit="3" topLeftCell="B4" activePane="bottomRight" state="frozen"/>
    </ns0:sheetView>
  </ns0:sheetViews>
  <ns0:sheetFormatPr baseColWidth="8" defaultRowHeight="15"/>
  <ns0:cols>
    <ns0:col min="1" max="1" width="13" customWidth="1"/>
    <ns0:col min="2" max="2" width="29" customWidth="1"/>
    <ns0:col min="3" max="3" width="20" customWidth="1"/>
    <ns0:col min="4" max="4" width="110" customWidth="1"/>
    <ns0:col min="5" max="5" width="28" customWidth="1"/>
    <ns0:col min="6" max="6" width="17" customWidth="1"/>
  </ns0:cols>
  <ns0:sheetData>
    <ns0:row r="1" ht="28" customHeight="1">
      <ns0:c r="A1" s="2" t="inlineStr">
        <ns0:is>
          <ns0:t xml:space="preserve">FoodBank requirements and scope</ns0:t>
        </ns0:is>
      </ns0:c>
    </ns0:row>
    <ns0:row r="2" ht="28" customHeight="1">
      <ns0:c r="A2" s="23" t="inlineStr">
        <ns0:is>
          <ns0:t xml:space="preserve">Full agreed rules. Filter by area or scope; related FB IDs refer to Stories. ##FUTURE is deferred, not approved implementation.</ns0:t>
        </ns0:is>
      </ns0:c>
    </ns0:row>
    <ns0:row r="3" ht="28" customHeight="1">
      <ns0:c r="A3" s="27" t="inlineStr">
        <ns0:is>
          <ns0:t xml:space="preserve">Rule ID</ns0:t>
        </ns0:is>
      </ns0:c>
      <ns0:c r="B3" s="27" t="inlineStr">
        <ns0:is>
          <ns0:t xml:space="preserve">Area</ns0:t>
        </ns0:is>
      </ns0:c>
      <ns0:c r="C3" s="27" t="inlineStr">
        <ns0:is>
          <ns0:t xml:space="preserve">Scope</ns0:t>
        </ns0:is>
      </ns0:c>
      <ns0:c r="D3" s="27" t="inlineStr">
        <ns0:is>
          <ns0:t xml:space="preserve">Detailed rule</ns0:t>
        </ns0:is>
      </ns0:c>
      <ns0:c r="E3" s="27" t="inlineStr">
        <ns0:is>
          <ns0:t xml:space="preserve">Related learning items</ns0:t>
        </ns0:is>
      </ns0:c>
      <ns0:c r="F3" s="27" t="inlineStr">
        <ns0:is>
          <ns0:t xml:space="preserve">First item location</ns0:t>
        </ns0:is>
      </ns0:c>
    </ns0:row>
    <ns0:row r="4" ht="52" customHeight="1">
      <ns0:c r="A4" s="4" t="inlineStr">
        <ns0:is>
          <ns0:t xml:space="preserve">REQ-001</ns0:t>
        </ns0:is>
      </ns0:c>
      <ns0:c r="B4" s="4" t="inlineStr">
        <ns0:is>
          <ns0:t xml:space="preserve">Planning status</ns0:t>
        </ns0:is>
      </ns0:c>
      <ns0:c r="C4" s="4" t="inlineStr">
        <ns0:is>
          <ns0:t xml:space="preserve">Project context</ns0:t>
        </ns0:is>
      </ns0:c>
      <ns0:c r="D4" s="4" t="inlineStr">
        <ns0:is>
          <ns0:t xml:space="preserve">Inventory planning is complete, including its verification checklist.</ns0:t>
        </ns0:is>
      </ns0:c>
      <ns0:c r="E4" s="4" t="inlineStr">
        <ns0:is>
          <ns0:t xml:space="preserve">All current items</ns0:t>
        </ns0:is>
      </ns0:c>
      <ns0:c r="F4" s="4" t="inlineStr">
        <ns0:is>
          <ns0:t xml:space="preserve">Stories!B4</ns0:t>
        </ns0:is>
      </ns0:c>
    </ns0:row>
    <ns0:row r="5" ht="52" customHeight="1">
      <ns0:c r="A5" s="28" t="inlineStr">
        <ns0:is>
          <ns0:t xml:space="preserve">REQ-002</ns0:t>
        </ns0:is>
      </ns0:c>
      <ns0:c r="B5" s="28" t="inlineStr">
        <ns0:is>
          <ns0:t xml:space="preserve">Planning status</ns0:t>
        </ns0:is>
      </ns0:c>
      <ns0:c r="C5" s="28" t="inlineStr">
        <ns0:is>
          <ns0:t xml:space="preserve">Project context</ns0:t>
        </ns0:is>
      </ns0:c>
      <ns0:c r="D5" s="28" t="inlineStr">
        <ns0:is>
          <ns0:t xml:space="preserve">Account-management planning questions are complete. Implementation is underway; the connected account-creation feature is not yet fully reviewed or verified.</ns0:t>
        </ns0:is>
      </ns0:c>
      <ns0:c r="E5" s="28" t="inlineStr">
        <ns0:is>
          <ns0:t xml:space="preserve">All current items</ns0:t>
        </ns0:is>
      </ns0:c>
      <ns0:c r="F5" s="28" t="inlineStr">
        <ns0:is>
          <ns0:t xml:space="preserve">Stories!B4</ns0:t>
        </ns0:is>
      </ns0:c>
    </ns0:row>
    <ns0:row r="6" ht="52" customHeight="1">
      <ns0:c r="A6" s="4" t="inlineStr">
        <ns0:is>
          <ns0:t xml:space="preserve">REQ-003</ns0:t>
        </ns0:is>
      </ns0:c>
      <ns0:c r="B6" s="4" t="inlineStr">
        <ns0:is>
          <ns0:t xml:space="preserve">Planning status</ns0:t>
        </ns0:is>
      </ns0:c>
      <ns0:c r="C6" s="4" t="inlineStr">
        <ns0:is>
          <ns0:t xml:space="preserve">Project context</ns0:t>
        </ns0:is>
      </ns0:c>
      <ns0:c r="D6" s="4" t="inlineStr">
        <ns0:is>
          <ns0: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ns0:t>
        </ns0:is>
      </ns0:c>
      <ns0:c r="E6" s="4" t="inlineStr">
        <ns0:is>
          <ns0:t xml:space="preserve">All current items</ns0:t>
        </ns0:is>
      </ns0:c>
      <ns0:c r="F6" s="4" t="inlineStr">
        <ns0:is>
          <ns0:t xml:space="preserve">Stories!B4</ns0:t>
        </ns0:is>
      </ns0:c>
    </ns0:row>
    <ns0:row r="7" ht="52" customHeight="1">
      <ns0:c r="A7" s="28" t="inlineStr">
        <ns0:is>
          <ns0:t xml:space="preserve">REQ-004</ns0:t>
        </ns0:is>
      </ns0:c>
      <ns0:c r="B7" s="28" t="inlineStr">
        <ns0:is>
          <ns0:t xml:space="preserve">Planning status</ns0:t>
        </ns0:is>
      </ns0:c>
      <ns0:c r="C7" s="28" t="inlineStr">
        <ns0:is>
          <ns0:t xml:space="preserve">Project context</ns0:t>
        </ns0:is>
      </ns0:c>
      <ns0:c r="D7" s="28" t="inlineStr">
        <ns0:is>
          <ns0:t xml:space="preserve">Learning is the immediate priority, especially Vue, Inertia, and Tailwind.</ns0:t>
        </ns0:is>
      </ns0:c>
      <ns0:c r="E7" s="28" t="inlineStr">
        <ns0:is>
          <ns0:t xml:space="preserve">All current items</ns0:t>
        </ns0:is>
      </ns0:c>
      <ns0:c r="F7" s="28" t="inlineStr">
        <ns0:is>
          <ns0:t xml:space="preserve">Stories!B4</ns0:t>
        </ns0:is>
      </ns0:c>
    </ns0:row>
    <ns0:row r="8" ht="52" customHeight="1">
      <ns0:c r="A8" s="4" t="inlineStr">
        <ns0:is>
          <ns0:t xml:space="preserve">REQ-005</ns0:t>
        </ns0:is>
      </ns0:c>
      <ns0:c r="B8" s="4" t="inlineStr">
        <ns0:is>
          <ns0:t xml:space="preserve">Planning status</ns0:t>
        </ns0:is>
      </ns0:c>
      <ns0:c r="C8" s="4" t="inlineStr">
        <ns0:is>
          <ns0:t xml:space="preserve">Project context</ns0:t>
        </ns0:is>
      </ns0:c>
      <ns0:c r="D8" s="4" t="inlineStr">
        <ns0:is>
          <ns0:t xml:space="preserve">The long-term goal is a fully functional foodbank management system.</ns0:t>
        </ns0:is>
      </ns0:c>
      <ns0:c r="E8" s="4" t="inlineStr">
        <ns0:is>
          <ns0:t xml:space="preserve">All current items</ns0:t>
        </ns0:is>
      </ns0:c>
      <ns0:c r="F8" s="4" t="inlineStr">
        <ns0:is>
          <ns0:t xml:space="preserve">Stories!B4</ns0:t>
        </ns0:is>
      </ns0:c>
    </ns0:row>
    <ns0:row r="9" ht="52" customHeight="1">
      <ns0:c r="A9" s="28" t="inlineStr">
        <ns0:is>
          <ns0:t xml:space="preserve">REQ-006</ns0:t>
        </ns0:is>
      </ns0:c>
      <ns0:c r="B9" s="28" t="inlineStr">
        <ns0:is>
          <ns0:t xml:space="preserve">Planning status</ns0:t>
        </ns0:is>
      </ns0:c>
      <ns0:c r="C9" s="28" t="inlineStr">
        <ns0:is>
          <ns0:t xml:space="preserve">Project context</ns0:t>
        </ns0:is>
      </ns0:c>
      <ns0:c r="D9" s="28" t="inlineStr">
        <ns0:is>
          <ns0:t xml:space="preserve">Record further features as agreed; suggestions are not approved scope.</ns0:t>
        </ns0:is>
      </ns0:c>
      <ns0:c r="E9" s="28" t="inlineStr">
        <ns0:is>
          <ns0:t xml:space="preserve">All current items</ns0:t>
        </ns0:is>
      </ns0:c>
      <ns0:c r="F9" s="28" t="inlineStr">
        <ns0:is>
          <ns0:t xml:space="preserve">Stories!B4</ns0:t>
        </ns0:is>
      </ns0:c>
    </ns0:row>
    <ns0:row r="10" ht="61" customHeight="1">
      <ns0:c r="A10" s="4" t="inlineStr">
        <ns0:is>
          <ns0:t xml:space="preserve">REQ-007</ns0:t>
        </ns0:is>
      </ns0:c>
      <ns0:c r="B10" s="4" t="inlineStr">
        <ns0:is>
          <ns0:t xml:space="preserve">First-version boundary</ns0:t>
        </ns0:is>
      </ns0:c>
      <ns0:c r="C10" s="4" t="inlineStr">
        <ns0:is>
          <ns0:t xml:space="preserve">Current scope</ns0:t>
        </ns0:is>
      </ns0:c>
      <ns0:c r="D10" s="4" t="inlineStr">
        <ns0:is>
          <ns0:t xml:space="preserve">The first version includes the agreed account-management features: shared login and permissions, manager and volunteer records, search, filters, pagination, and password setup, changes, and assisted resets.</ns0:t>
        </ns0:is>
      </ns0:c>
      <ns0:c r="E10" s="4" t="inlineStr">
        <ns0:is>
          <ns0:t xml:space="preserve">All current items</ns0:t>
        </ns0:is>
      </ns0:c>
      <ns0:c r="F10" s="4" t="inlineStr">
        <ns0:is>
          <ns0:t xml:space="preserve">Stories!B4</ns0:t>
        </ns0:is>
      </ns0:c>
    </ns0:row>
    <ns0:row r="11" ht="52" customHeight="1">
      <ns0:c r="A11" s="28" t="inlineStr">
        <ns0:is>
          <ns0:t xml:space="preserve">REQ-008</ns0:t>
        </ns0:is>
      </ns0:c>
      <ns0:c r="B11" s="28" t="inlineStr">
        <ns0:is>
          <ns0:t xml:space="preserve">First-version boundary</ns0:t>
        </ns0:is>
      </ns0:c>
      <ns0:c r="C11" s="28" t="inlineStr">
        <ns0:is>
          <ns0:t xml:space="preserve">Current scope</ns0:t>
        </ns0:is>
      </ns0:c>
      <ns0:c r="D11" s="28" t="inlineStr">
        <ns0:is>
          <ns0:t xml:space="preserve">Inventory management is included in the first version; its scope and verification checklist are agreed.</ns0:t>
        </ns0:is>
      </ns0:c>
      <ns0:c r="E11" s="28" t="inlineStr">
        <ns0:is>
          <ns0:t xml:space="preserve">All current items</ns0:t>
        </ns0:is>
      </ns0:c>
      <ns0:c r="F11" s="28" t="inlineStr">
        <ns0:is>
          <ns0:t xml:space="preserve">Stories!B4</ns0:t>
        </ns0:is>
      </ns0:c>
    </ns0:row>
    <ns0:row r="12" ht="52" customHeight="1">
      <ns0:c r="A12" s="4" t="inlineStr">
        <ns0:is>
          <ns0:t xml:space="preserve">REQ-009</ns0:t>
        </ns0:is>
      </ns0:c>
      <ns0:c r="B12" s="4" t="inlineStr">
        <ns0:is>
          <ns0:t xml:space="preserve">First-version boundary</ns0:t>
        </ns0:is>
      </ns0:c>
      <ns0:c r="C12" s="4" t="inlineStr">
        <ns0:is>
          <ns0:t xml:space="preserve">##FUTURE</ns0:t>
        </ns0:is>
      </ns0:c>
      <ns0:c r="D12" s="4" t="inlineStr">
        <ns0:is>
          <ns0:t xml:space="preserve">Household management and appointment management remain future modules.</ns0:t>
        </ns0:is>
      </ns0:c>
      <ns0:c r="E12" s="4" t="inlineStr">
        <ns0:is>
          <ns0:t xml:space="preserve">Deferred — no current item</ns0:t>
        </ns0:is>
      </ns0:c>
      <ns0:c r="F12" s="4" t="inlineStr">
        <ns0:is>
          <ns0:t xml:space="preserve">Deferred</ns0:t>
        </ns0:is>
      </ns0:c>
    </ns0:row>
    <ns0:row r="13" ht="106" customHeight="1">
      <ns0:c r="A13" s="28" t="inlineStr">
        <ns0:is>
          <ns0:t xml:space="preserve">REQ-010</ns0:t>
        </ns0:is>
      </ns0:c>
      <ns0:c r="B13" s="28" t="inlineStr">
        <ns0:is>
          <ns0:t xml:space="preserve">First-version boundary</ns0:t>
        </ns0:is>
      </ns0:c>
      <ns0:c r="C13" s="28" t="inlineStr">
        <ns0:is>
          <ns0:t xml:space="preserve">Current scope</ns0:t>
        </ns0:is>
      </ns0:c>
      <ns0:c r="D13" s="28" t="inlineStr">
        <ns0:is>
          <ns0: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ns0:t>
        </ns0:is>
      </ns0:c>
      <ns0:c r="E13" s="28" t="inlineStr">
        <ns0:is>
          <ns0:t xml:space="preserve">FB-057–FB-064</ns0:t>
        </ns0:is>
      </ns0:c>
      <ns0:c r="F13" s="28" t="inlineStr">
        <ns0:is>
          <ns0:t xml:space="preserve">Stories!B63</ns0:t>
        </ns0:is>
      </ns0:c>
    </ns0:row>
    <ns0:row r="14" ht="52" customHeight="1">
      <ns0:c r="A14" s="4" t="inlineStr">
        <ns0:is>
          <ns0:t xml:space="preserve">REQ-011</ns0:t>
        </ns0:is>
      </ns0:c>
      <ns0:c r="B14" s="4" t="inlineStr">
        <ns0:is>
          <ns0:t xml:space="preserve">First-version boundary</ns0:t>
        </ns0:is>
      </ns0:c>
      <ns0:c r="C14" s="4" t="inlineStr">
        <ns0:is>
          <ns0:t xml:space="preserve">Current scope</ns0:t>
        </ns0:is>
      </ns0:c>
      <ns0:c r="D14" s="4" t="inlineStr">
        <ns0:is>
          <ns0:t xml:space="preserve">Feature decisions are agreed. Review the complete scope, then choose the build order. Technical implementation details will be explained in lessons.</ns0:t>
        </ns0:is>
      </ns0:c>
      <ns0:c r="E14" s="4" t="inlineStr">
        <ns0:is>
          <ns0:t xml:space="preserve">All current items</ns0:t>
        </ns0:is>
      </ns0:c>
      <ns0:c r="F14" s="4" t="inlineStr">
        <ns0:is>
          <ns0:t xml:space="preserve">Stories!B4</ns0:t>
        </ns0:is>
      </ns0:c>
    </ns0:row>
    <ns0:row r="15" ht="52" customHeight="1">
      <ns0:c r="A15" s="28" t="inlineStr">
        <ns0:is>
          <ns0:t xml:space="preserve">REQ-012</ns0:t>
        </ns0:is>
      </ns0:c>
      <ns0:c r="B15" s="28" t="inlineStr">
        <ns0:is>
          <ns0:t xml:space="preserve">Design and teaching approach</ns0:t>
        </ns0:is>
      </ns0:c>
      <ns0:c r="C15" s="28" t="inlineStr">
        <ns0:is>
          <ns0:t xml:space="preserve">Project context</ns0:t>
        </ns0:is>
      </ns0:c>
      <ns0:c r="D15" s="28" t="inlineStr">
        <ns0:is>
          <ns0:t xml:space="preserve">Plan toward a fully functional foodbank management system while implementing only the agreed current learning scope.</ns0:t>
        </ns0:is>
      </ns0:c>
      <ns0:c r="E15" s="28" t="inlineStr">
        <ns0:is>
          <ns0:t xml:space="preserve">All current items</ns0:t>
        </ns0:is>
      </ns0:c>
      <ns0:c r="F15" s="28" t="inlineStr">
        <ns0:is>
          <ns0:t xml:space="preserve">Stories!B4</ns0:t>
        </ns0:is>
      </ns0:c>
    </ns0:row>
    <ns0:row r="16" ht="52" customHeight="1">
      <ns0:c r="A16" s="4" t="inlineStr">
        <ns0:is>
          <ns0:t xml:space="preserve">REQ-013</ns0:t>
        </ns0:is>
      </ns0:c>
      <ns0:c r="B16" s="4" t="inlineStr">
        <ns0:is>
          <ns0:t xml:space="preserve">Design and teaching approach</ns0:t>
        </ns0:is>
      </ns0:c>
      <ns0:c r="C16" s="4" t="inlineStr">
        <ns0:is>
          <ns0:t xml:space="preserve">Project context</ns0:t>
        </ns0:is>
      </ns0:c>
      <ns0:c r="D16" s="4" t="inlineStr">
        <ns0:is>
          <ns0:t xml:space="preserve">Discuss the complete system's responsibilities and connections as feature discovery progresses. The full design is not finalized yet.</ns0:t>
        </ns0:is>
      </ns0:c>
      <ns0:c r="E16" s="4" t="inlineStr">
        <ns0:is>
          <ns0:t xml:space="preserve">All current items</ns0:t>
        </ns0:is>
      </ns0:c>
      <ns0:c r="F16" s="4" t="inlineStr">
        <ns0:is>
          <ns0:t xml:space="preserve">Stories!B4</ns0:t>
        </ns0:is>
      </ns0:c>
    </ns0:row>
    <ns0:row r="17" ht="52" customHeight="1">
      <ns0:c r="A17" s="28" t="inlineStr">
        <ns0:is>
          <ns0:t xml:space="preserve">REQ-014</ns0:t>
        </ns0:is>
      </ns0:c>
      <ns0:c r="B17" s="28" t="inlineStr">
        <ns0:is>
          <ns0:t xml:space="preserve">Design and teaching approach</ns0:t>
        </ns0:is>
      </ns0:c>
      <ns0:c r="C17" s="28" t="inlineStr">
        <ns0:is>
          <ns0:t xml:space="preserve">Project context</ns0:t>
        </ns0:is>
      </ns0:c>
      <ns0:c r="D17" s="28" t="inlineStr">
        <ns0:is>
          <ns0:t xml:space="preserve">Keep current features able to connect to future household, appointment, and volunteer workflows without building those workflows prematurely.</ns0:t>
        </ns0:is>
      </ns0:c>
      <ns0:c r="E17" s="28" t="inlineStr">
        <ns0:is>
          <ns0:t xml:space="preserve">All current items</ns0:t>
        </ns0:is>
      </ns0:c>
      <ns0:c r="F17" s="28" t="inlineStr">
        <ns0:is>
          <ns0:t xml:space="preserve">Stories!B4</ns0:t>
        </ns0:is>
      </ns0:c>
    </ns0:row>
    <ns0:row r="18" ht="52" customHeight="1">
      <ns0:c r="A18" s="4" t="inlineStr">
        <ns0:is>
          <ns0:t xml:space="preserve">REQ-015</ns0:t>
        </ns0:is>
      </ns0:c>
      <ns0:c r="B18" s="4" t="inlineStr">
        <ns0:is>
          <ns0:t xml:space="preserve">Design and teaching approach</ns0:t>
        </ns0:is>
      </ns0:c>
      <ns0:c r="C18" s="4" t="inlineStr">
        <ns0:is>
          <ns0:t xml:space="preserve">Project context</ns0:t>
        </ns0:is>
      </ns0:c>
      <ns0:c r="D18" s="4" t="inlineStr">
        <ns0:is>
          <ns0:t xml:space="preserve">Choose simple structures with clear responsibilities. Do not add speculative tables, complex abstractions, or unused functionality solely for possible future requirements.</ns0:t>
        </ns0:is>
      </ns0:c>
      <ns0:c r="E18" s="4" t="inlineStr">
        <ns0:is>
          <ns0:t xml:space="preserve">All current items</ns0:t>
        </ns0:is>
      </ns0:c>
      <ns0:c r="F18" s="4" t="inlineStr">
        <ns0:is>
          <ns0:t xml:space="preserve">Stories!B4</ns0:t>
        </ns0:is>
      </ns0:c>
    </ns0:row>
    <ns0:row r="19" ht="52" customHeight="1">
      <ns0:c r="A19" s="28" t="inlineStr">
        <ns0:is>
          <ns0:t xml:space="preserve">REQ-016</ns0:t>
        </ns0:is>
      </ns0:c>
      <ns0:c r="B19" s="28" t="inlineStr">
        <ns0:is>
          <ns0:t xml:space="preserve">Design and teaching approach</ns0:t>
        </ns0:is>
      </ns0:c>
      <ns0:c r="C19" s="28" t="inlineStr">
        <ns0:is>
          <ns0:t xml:space="preserve">Project context</ns0:t>
        </ns0:is>
      </ns0:c>
      <ns0:c r="D19" s="28" t="inlineStr">
        <ns0:is>
          <ns0:t xml:space="preserve">Revisit data relationships, permissions, and record-retention needs when agreeing each feature, especially where future records may depend on today's data.</ns0:t>
        </ns0:is>
      </ns0:c>
      <ns0:c r="E19" s="28" t="inlineStr">
        <ns0:is>
          <ns0:t xml:space="preserve">All current items</ns0:t>
        </ns0:is>
      </ns0:c>
      <ns0:c r="F19" s="28" t="inlineStr">
        <ns0:is>
          <ns0:t xml:space="preserve">Stories!B4</ns0:t>
        </ns0:is>
      </ns0:c>
    </ns0:row>
    <ns0:row r="20" ht="52" customHeight="1">
      <ns0:c r="A20" s="4" t="inlineStr">
        <ns0:is>
          <ns0:t xml:space="preserve">REQ-017</ns0:t>
        </ns0:is>
      </ns0:c>
      <ns0:c r="B20" s="4" t="inlineStr">
        <ns0:is>
          <ns0:t xml:space="preserve">Design and teaching approach</ns0:t>
        </ns0:is>
      </ns0:c>
      <ns0:c r="C20" s="4" t="inlineStr">
        <ns0:is>
          <ns0:t xml:space="preserve">Project context</ns0:t>
        </ns0:is>
      </ns0:c>
      <ns0:c r="D20" s="4" t="inlineStr">
        <ns0:is>
          <ns0:t xml:space="preserve">Teach one small step at a time, emphasizing Vue, Inertia, and Tailwind.</ns0:t>
        </ns0:is>
      </ns0:c>
      <ns0:c r="E20" s="4" t="inlineStr">
        <ns0:is>
          <ns0:t xml:space="preserve">All current items</ns0:t>
        </ns0:is>
      </ns0:c>
      <ns0:c r="F20" s="4" t="inlineStr">
        <ns0:is>
          <ns0:t xml:space="preserve">Stories!B4</ns0:t>
        </ns0:is>
      </ns0:c>
    </ns0:row>
    <ns0:row r="21" ht="52" customHeight="1">
      <ns0:c r="A21" s="28" t="inlineStr">
        <ns0:is>
          <ns0:t xml:space="preserve">REQ-018</ns0:t>
        </ns0:is>
      </ns0:c>
      <ns0:c r="B21" s="28" t="inlineStr">
        <ns0:is>
          <ns0:t xml:space="preserve">Design and teaching approach</ns0:t>
        </ns0:is>
      </ns0:c>
      <ns0:c r="C21" s="28" t="inlineStr">
        <ns0:is>
          <ns0:t xml:space="preserve">Project context</ns0:t>
        </ns0:is>
      </ns0:c>
      <ns0:c r="D21" s="28" t="inlineStr">
        <ns0:is>
          <ns0:t xml:space="preserve">Mark deferred work with ##FUTURE. A future entry records direction; it does not authorize implementation or approve unspecified details.</ns0:t>
        </ns0:is>
      </ns0:c>
      <ns0:c r="E21" s="28" t="inlineStr">
        <ns0:is>
          <ns0:t xml:space="preserve">All current items</ns0:t>
        </ns0:is>
      </ns0:c>
      <ns0:c r="F21" s="28" t="inlineStr">
        <ns0:is>
          <ns0:t xml:space="preserve">Stories!B4</ns0:t>
        </ns0:is>
      </ns0:c>
    </ns0:row>
    <ns0:row r="22" ht="52" customHeight="1">
      <ns0:c r="A22" s="4" t="inlineStr">
        <ns0:is>
          <ns0:t xml:space="preserve">REQ-019</ns0:t>
        </ns0:is>
      </ns0:c>
      <ns0:c r="B22" s="4" t="inlineStr">
        <ns0:is>
          <ns0:t xml:space="preserve">1. Roles and account creation</ns0:t>
        </ns0:is>
      </ns0:c>
      <ns0:c r="C22" s="4" t="inlineStr">
        <ns0:is>
          <ns0:t xml:space="preserve">Current scope</ns0:t>
        </ns0:is>
      </ns0:c>
      <ns0:c r="D22" s="4" t="inlineStr">
        <ns0:is>
          <ns0: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ns0:t>
        </ns0:is>
      </ns0:c>
      <ns0:c r="E22" s="4" t="inlineStr">
        <ns0:is>
          <ns0:t xml:space="preserve">FB-004, FB-016, FB-018, FB-019</ns0:t>
        </ns0:is>
      </ns0:c>
      <ns0:c r="F22" s="4" t="inlineStr">
        <ns0:is>
          <ns0:t xml:space="preserve">Stories!B7</ns0:t>
        </ns0:is>
      </ns0:c>
    </ns0:row>
    <ns0:row r="23" ht="52" customHeight="1">
      <ns0:c r="A23" s="28" t="inlineStr">
        <ns0:is>
          <ns0:t xml:space="preserve">REQ-020</ns0:t>
        </ns0:is>
      </ns0:c>
      <ns0:c r="B23" s="28" t="inlineStr">
        <ns0:is>
          <ns0:t xml:space="preserve">1. Roles and account creation</ns0:t>
        </ns0:is>
      </ns0:c>
      <ns0:c r="C23" s="28" t="inlineStr">
        <ns0:is>
          <ns0:t xml:space="preserve">Current scope</ns0:t>
        </ns0:is>
      </ns0:c>
      <ns0:c r="D23" s="28" t="inlineStr">
        <ns0:is>
          <ns0: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ns0:t>
        </ns0:is>
      </ns0:c>
      <ns0:c r="E23" s="28" t="inlineStr">
        <ns0:is>
          <ns0:t xml:space="preserve">FB-004, FB-019, FB-021</ns0:t>
        </ns0:is>
      </ns0:c>
      <ns0:c r="F23" s="28" t="inlineStr">
        <ns0:is>
          <ns0:t xml:space="preserve">Stories!B7</ns0:t>
        </ns0:is>
      </ns0:c>
    </ns0:row>
    <ns0:row r="24" ht="52" customHeight="1">
      <ns0:c r="A24" s="4" t="inlineStr">
        <ns0:is>
          <ns0:t xml:space="preserve">REQ-021</ns0:t>
        </ns0:is>
      </ns0:c>
      <ns0:c r="B24" s="4" t="inlineStr">
        <ns0:is>
          <ns0:t xml:space="preserve">1. Roles and account creation</ns0:t>
        </ns0:is>
      </ns0:c>
      <ns0:c r="C24" s="4" t="inlineStr">
        <ns0:is>
          <ns0:t xml:space="preserve">Current scope</ns0:t>
        </ns0:is>
      </ns0:c>
      <ns0:c r="D24" s="4"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24" s="4" t="inlineStr">
        <ns0:is>
          <ns0:t xml:space="preserve">FB-021</ns0:t>
        </ns0:is>
      </ns0:c>
      <ns0:c r="F24" s="4" t="inlineStr">
        <ns0:is>
          <ns0:t xml:space="preserve">Stories!B25</ns0:t>
        </ns0:is>
      </ns0:c>
    </ns0:row>
    <ns0:row r="25" ht="52" customHeight="1">
      <ns0:c r="A25" s="28" t="inlineStr">
        <ns0:is>
          <ns0:t xml:space="preserve">REQ-022</ns0:t>
        </ns0:is>
      </ns0:c>
      <ns0:c r="B25" s="28" t="inlineStr">
        <ns0:is>
          <ns0:t xml:space="preserve">1. Roles and account creation</ns0:t>
        </ns0:is>
      </ns0:c>
      <ns0:c r="C25" s="28" t="inlineStr">
        <ns0:is>
          <ns0:t xml:space="preserve">Current scope</ns0:t>
        </ns0:is>
      </ns0:c>
      <ns0:c r="D25" s="28" t="inlineStr">
        <ns0:is>
          <ns0: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E25" s="28" t="inlineStr">
        <ns0:is>
          <ns0:t xml:space="preserve">FB-004, FB-019</ns0:t>
        </ns0:is>
      </ns0:c>
      <ns0:c r="F25" s="28" t="inlineStr">
        <ns0:is>
          <ns0:t xml:space="preserve">Stories!B7</ns0:t>
        </ns0:is>
      </ns0:c>
    </ns0:row>
    <ns0:row r="26" ht="52" customHeight="1">
      <ns0:c r="A26" s="4" t="inlineStr">
        <ns0:is>
          <ns0:t xml:space="preserve">REQ-023</ns0:t>
        </ns0:is>
      </ns0:c>
      <ns0:c r="B26" s="4" t="inlineStr">
        <ns0:is>
          <ns0:t xml:space="preserve">1. Roles and account creation</ns0:t>
        </ns0:is>
      </ns0:c>
      <ns0:c r="C26" s="4" t="inlineStr">
        <ns0:is>
          <ns0:t xml:space="preserve">Current scope</ns0:t>
        </ns0:is>
      </ns0:c>
      <ns0:c r="D26" s="4" t="inlineStr">
        <ns0:is>
          <ns0: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ns0:t>
        </ns0:is>
      </ns0:c>
      <ns0:c r="E26" s="4" t="inlineStr">
        <ns0:is>
          <ns0:t xml:space="preserve">FB-004, FB-006–FB-007, FB-019</ns0:t>
        </ns0:is>
      </ns0:c>
      <ns0:c r="F26" s="4" t="inlineStr">
        <ns0:is>
          <ns0:t xml:space="preserve">Stories!B7</ns0:t>
        </ns0:is>
      </ns0:c>
    </ns0:row>
    <ns0:row r="27" ht="52" customHeight="1">
      <ns0:c r="A27" s="28" t="inlineStr">
        <ns0:is>
          <ns0:t xml:space="preserve">REQ-024</ns0:t>
        </ns0:is>
      </ns0:c>
      <ns0:c r="B27" s="28" t="inlineStr">
        <ns0:is>
          <ns0:t xml:space="preserve">1. Roles and account creation</ns0:t>
        </ns0:is>
      </ns0:c>
      <ns0:c r="C27" s="28" t="inlineStr">
        <ns0:is>
          <ns0:t xml:space="preserve">Current scope</ns0:t>
        </ns0:is>
      </ns0:c>
      <ns0:c r="D27" s="28" t="inlineStr">
        <ns0:is>
          <ns0: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7" s="28" t="inlineStr">
        <ns0:is>
          <ns0:t xml:space="preserve">FB-016–FB-023, FB-025</ns0:t>
        </ns0:is>
      </ns0:c>
      <ns0:c r="F27" s="28" t="inlineStr">
        <ns0:is>
          <ns0:t xml:space="preserve">Stories!B9</ns0:t>
        </ns0:is>
      </ns0:c>
    </ns0:row>
    <ns0:row r="28" ht="52" customHeight="1">
      <ns0:c r="A28" s="4" t="inlineStr">
        <ns0:is>
          <ns0:t xml:space="preserve">REQ-025</ns0:t>
        </ns0:is>
      </ns0:c>
      <ns0:c r="B28" s="4" t="inlineStr">
        <ns0:is>
          <ns0:t xml:space="preserve">1. Roles and account creation</ns0:t>
        </ns0:is>
      </ns0:c>
      <ns0:c r="C28" s="4" t="inlineStr">
        <ns0:is>
          <ns0:t xml:space="preserve">Current scope</ns0:t>
        </ns0:is>
      </ns0:c>
      <ns0:c r="D28" s="4" t="inlineStr">
        <ns0:is>
          <ns0: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8" s="4" t="inlineStr">
        <ns0:is>
          <ns0:t xml:space="preserve">FB-016–FB-023, FB-025</ns0:t>
        </ns0:is>
      </ns0:c>
      <ns0:c r="F28" s="4" t="inlineStr">
        <ns0:is>
          <ns0:t xml:space="preserve">Stories!B9</ns0:t>
        </ns0:is>
      </ns0:c>
    </ns0:row>
    <ns0:row r="29" ht="52" customHeight="1">
      <ns0:c r="A29" s="28" t="inlineStr">
        <ns0:is>
          <ns0:t xml:space="preserve">REQ-026</ns0:t>
        </ns0:is>
      </ns0:c>
      <ns0:c r="B29" s="28" t="inlineStr">
        <ns0:is>
          <ns0:t xml:space="preserve">1. Roles and account creation</ns0:t>
        </ns0:is>
      </ns0:c>
      <ns0:c r="C29" s="28" t="inlineStr">
        <ns0:is>
          <ns0:t xml:space="preserve">Current scope</ns0:t>
        </ns0:is>
      </ns0:c>
      <ns0:c r="D29" s="28" t="inlineStr">
        <ns0:is>
          <ns0:t xml:space="preserve">Public self-registration is unavailable. Only the Super Admin and managers can create accounts, within the permissions above.</ns0:t>
        </ns0:is>
      </ns0:c>
      <ns0:c r="E29" s="28" t="inlineStr">
        <ns0:is>
          <ns0:t xml:space="preserve">FB-004, FB-019</ns0:t>
        </ns0:is>
      </ns0:c>
      <ns0:c r="F29" s="28" t="inlineStr">
        <ns0:is>
          <ns0:t xml:space="preserve">Stories!B7</ns0:t>
        </ns0:is>
      </ns0:c>
    </ns0:row>
    <ns0:row r="30" ht="52" customHeight="1">
      <ns0:c r="A30" s="4" t="inlineStr">
        <ns0:is>
          <ns0:t xml:space="preserve">REQ-027</ns0:t>
        </ns0:is>
      </ns0:c>
      <ns0:c r="B30" s="4" t="inlineStr">
        <ns0:is>
          <ns0:t xml:space="preserve">1. Roles and account creation</ns0:t>
        </ns0:is>
      </ns0:c>
      <ns0:c r="C30" s="4" t="inlineStr">
        <ns0:is>
          <ns0:t xml:space="preserve">Current scope</ns0:t>
        </ns0:is>
      </ns0:c>
      <ns0:c r="D30" s="4" t="inlineStr">
        <ns0:is>
          <ns0:t xml:space="preserve">Self-service editing of one's own name, email, or phone is excluded from the current scope. Users can still change their own password.</ns0:t>
        </ns0:is>
      </ns0:c>
      <ns0:c r="E30" s="4" t="inlineStr">
        <ns0:is>
          <ns0:t xml:space="preserve">FB-017, FB-019, FB-021</ns0:t>
        </ns0:is>
      </ns0:c>
      <ns0:c r="F30" s="4" t="inlineStr">
        <ns0:is>
          <ns0:t xml:space="preserve">Stories!B10</ns0:t>
        </ns0:is>
      </ns0:c>
    </ns0:row>
    <ns0:row r="31" ht="52" customHeight="1">
      <ns0:c r="A31" s="28" t="inlineStr">
        <ns0:is>
          <ns0:t xml:space="preserve">REQ-028</ns0:t>
        </ns0:is>
      </ns0:c>
      <ns0:c r="B31" s="28" t="inlineStr">
        <ns0:is>
          <ns0:t xml:space="preserve">1. Roles and account creation</ns0:t>
        </ns0:is>
      </ns0:c>
      <ns0:c r="C31" s="28" t="inlineStr">
        <ns0:is>
          <ns0:t xml:space="preserve">Current scope</ns0:t>
        </ns0:is>
      </ns0:c>
      <ns0:c r="D31" s="28" t="inlineStr">
        <ns0:is>
          <ns0:t xml:space="preserve">User creation and editing each have their own page, rather than pop-up forms.
2026-10-26 approved create-form design: wrap fields in a named card; two columns on wider screens and one on narrow screens.</ns0:t>
        </ns0:is>
      </ns0:c>
      <ns0:c r="E31" s="28" t="inlineStr">
        <ns0:is>
          <ns0:t xml:space="preserve">FB-016–FB-023, FB-025</ns0:t>
        </ns0:is>
      </ns0:c>
      <ns0:c r="F31" s="28" t="inlineStr">
        <ns0:is>
          <ns0:t xml:space="preserve">Stories!B9</ns0:t>
        </ns0:is>
      </ns0:c>
    </ns0:row>
    <ns0:row r="32" ht="52" customHeight="1">
      <ns0:c r="A32" s="4" t="inlineStr">
        <ns0:is>
          <ns0:t xml:space="preserve">REQ-029</ns0:t>
        </ns0:is>
      </ns0:c>
      <ns0:c r="B32" s="4" t="inlineStr">
        <ns0:is>
          <ns0:t xml:space="preserve">1. Roles and account creation</ns0:t>
        </ns0:is>
      </ns0:c>
      <ns0:c r="C32" s="4" t="inlineStr">
        <ns0:is>
          <ns0:t xml:space="preserve">Current scope</ns0:t>
        </ns0:is>
      </ns0:c>
      <ns0:c r="D32" s="4" t="inlineStr">
        <ns0:is>
          <ns0: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ns0:t>
        </ns0:is>
      </ns0:c>
      <ns0:c r="E32" s="4" t="inlineStr">
        <ns0:is>
          <ns0:t xml:space="preserve">FB-019, FB-020, FB-021, FB-025</ns0:t>
        </ns0:is>
      </ns0:c>
      <ns0:c r="F32" s="4" t="inlineStr">
        <ns0:is>
          <ns0:t xml:space="preserve">Stories!B13</ns0:t>
        </ns0:is>
      </ns0:c>
    </ns0:row>
    <ns0:row r="33" ht="61" customHeight="1">
      <ns0:c r="A33" s="28" t="inlineStr">
        <ns0:is>
          <ns0:t xml:space="preserve">REQ-030</ns0:t>
        </ns0:is>
      </ns0:c>
      <ns0:c r="B33" s="28" t="inlineStr">
        <ns0:is>
          <ns0:t xml:space="preserve">1. Roles and account creation</ns0:t>
        </ns0:is>
      </ns0:c>
      <ns0:c r="C33" s="28" t="inlineStr">
        <ns0:is>
          <ns0:t xml:space="preserve">Current scope</ns0:t>
        </ns0:is>
      </ns0:c>
      <ns0:c r="D33" s="28" t="inlineStr">
        <ns0:is>
          <ns0: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ns0:t>
        </ns0:is>
      </ns0:c>
      <ns0:c r="E33" s="28" t="inlineStr">
        <ns0:is>
          <ns0:t xml:space="preserve">FB-016–FB-023, FB-025</ns0:t>
        </ns0:is>
      </ns0:c>
      <ns0:c r="F33" s="28" t="inlineStr">
        <ns0:is>
          <ns0:t xml:space="preserve">Stories!B9</ns0:t>
        </ns0:is>
      </ns0:c>
    </ns0:row>
    <ns0:row r="34" ht="52" customHeight="1">
      <ns0:c r="A34" s="4" t="inlineStr">
        <ns0:is>
          <ns0:t xml:space="preserve">REQ-031</ns0:t>
        </ns0:is>
      </ns0:c>
      <ns0:c r="B34" s="4" t="inlineStr">
        <ns0:is>
          <ns0:t xml:space="preserve">1. Roles and account creation</ns0:t>
        </ns0:is>
      </ns0:c>
      <ns0:c r="C34" s="4" t="inlineStr">
        <ns0:is>
          <ns0:t xml:space="preserve">##FUTURE</ns0:t>
        </ns0:is>
      </ns0:c>
      <ns0:c r="D34" s="4" t="inlineStr">
        <ns0:is>
          <ns0:t xml:space="preserve">##FUTURE Self-service profile editing.</ns0:t>
        </ns0:is>
      </ns0:c>
      <ns0:c r="E34" s="4" t="inlineStr">
        <ns0:is>
          <ns0:t xml:space="preserve">Deferred — no current item</ns0:t>
        </ns0:is>
      </ns0:c>
      <ns0:c r="F34" s="4" t="inlineStr">
        <ns0:is>
          <ns0:t xml:space="preserve">Deferred</ns0:t>
        </ns0:is>
      </ns0:c>
    </ns0:row>
    <ns0:row r="35" ht="52" customHeight="1">
      <ns0:c r="A35" s="28" t="inlineStr">
        <ns0:is>
          <ns0:t xml:space="preserve">REQ-032</ns0:t>
        </ns0:is>
      </ns0:c>
      <ns0:c r="B35" s="28" t="inlineStr">
        <ns0:is>
          <ns0:t xml:space="preserve">1. Roles and account creation</ns0:t>
        </ns0:is>
      </ns0:c>
      <ns0:c r="C35" s="28" t="inlineStr">
        <ns0:is>
          <ns0:t xml:space="preserve">Current scope</ns0:t>
        </ns0:is>
      </ns0:c>
      <ns0:c r="D35" s="28" t="inlineStr">
        <ns0:is>
          <ns0:t xml:space="preserve">Manager accounts use the same mandatory fields and username rules as volunteers, including username regeneration after name changes.</ns0:t>
        </ns0:is>
      </ns0:c>
      <ns0:c r="E35" s="28" t="inlineStr">
        <ns0:is>
          <ns0:t xml:space="preserve">FB-016–FB-023, FB-025</ns0:t>
        </ns0:is>
      </ns0:c>
      <ns0:c r="F35" s="28" t="inlineStr">
        <ns0:is>
          <ns0:t xml:space="preserve">Stories!B9</ns0:t>
        </ns0:is>
      </ns0:c>
    </ns0:row>
    <ns0:row r="36" ht="52" customHeight="1">
      <ns0:c r="A36" s="4" t="inlineStr">
        <ns0:is>
          <ns0:t xml:space="preserve">REQ-033</ns0:t>
        </ns0:is>
      </ns0:c>
      <ns0:c r="B36" s="4" t="inlineStr">
        <ns0:is>
          <ns0:t xml:space="preserve">1. Roles and account creation</ns0:t>
        </ns0:is>
      </ns0:c>
      <ns0:c r="C36" s="4" t="inlineStr">
        <ns0:is>
          <ns0:t xml:space="preserve">Current scope</ns0:t>
        </ns0:is>
      </ns0:c>
      <ns0:c r="D36" s="4" t="inlineStr">
        <ns0:is>
          <ns0:t xml:space="preserve">New managers follow the same initial password-change process as volunteers.</ns0:t>
        </ns0:is>
      </ns0:c>
      <ns0:c r="E36" s="4" t="inlineStr">
        <ns0:is>
          <ns0:t xml:space="preserve">FB-006–FB-007, FB-019</ns0:t>
        </ns0:is>
      </ns0:c>
      <ns0:c r="F36" s="4" t="inlineStr">
        <ns0:is>
          <ns0:t xml:space="preserve">Stories!B14</ns0:t>
        </ns0:is>
      </ns0:c>
    </ns0:row>
    <ns0:row r="37" ht="52" customHeight="1">
      <ns0:c r="A37" s="28" t="inlineStr">
        <ns0:is>
          <ns0:t xml:space="preserve">REQ-034</ns0:t>
        </ns0:is>
      </ns0:c>
      <ns0:c r="B37" s="28" t="inlineStr">
        <ns0:is>
          <ns0:t xml:space="preserve">1. Roles and account creation</ns0:t>
        </ns0:is>
      </ns0:c>
      <ns0:c r="C37" s="28" t="inlineStr">
        <ns0:is>
          <ns0:t xml:space="preserve">Current scope</ns0:t>
        </ns0:is>
      </ns0:c>
      <ns0:c r="D37" s="28" t="inlineStr">
        <ns0:is>
          <ns0: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37" s="28" t="inlineStr">
        <ns0:is>
          <ns0:t xml:space="preserve">FB-016–FB-023, FB-025</ns0:t>
        </ns0:is>
      </ns0:c>
      <ns0:c r="F37" s="28" t="inlineStr">
        <ns0:is>
          <ns0:t xml:space="preserve">Stories!B9</ns0:t>
        </ns0:is>
      </ns0:c>
    </ns0:row>
    <ns0:row r="38" ht="52" customHeight="1">
      <ns0:c r="A38" s="4" t="inlineStr">
        <ns0:is>
          <ns0:t xml:space="preserve">REQ-035</ns0:t>
        </ns0:is>
      </ns0:c>
      <ns0:c r="B38" s="4" t="inlineStr">
        <ns0:is>
          <ns0:t xml:space="preserve">1. Roles and account creation</ns0:t>
        </ns0:is>
      </ns0:c>
      <ns0:c r="C38" s="4" t="inlineStr">
        <ns0:is>
          <ns0:t xml:space="preserve">Current scope</ns0:t>
        </ns0:is>
      </ns0:c>
      <ns0:c r="D38" s="4" t="inlineStr">
        <ns0:is>
          <ns0:t xml:space="preserve">Email addresses must be unique across all users and roles. Creating or updating an account cannot use another account's email address.</ns0:t>
        </ns0:is>
      </ns0:c>
      <ns0:c r="E38" s="4" t="inlineStr">
        <ns0:is>
          <ns0:t xml:space="preserve">FB-016–FB-023, FB-025</ns0:t>
        </ns0:is>
      </ns0:c>
      <ns0:c r="F38" s="4" t="inlineStr">
        <ns0:is>
          <ns0:t xml:space="preserve">Stories!B9</ns0:t>
        </ns0:is>
      </ns0:c>
    </ns0:row>
    <ns0:row r="39" ht="52" customHeight="1">
      <ns0:c r="A39" s="28" t="inlineStr">
        <ns0:is>
          <ns0:t xml:space="preserve">REQ-036</ns0:t>
        </ns0:is>
      </ns0:c>
      <ns0:c r="B39" s="28" t="inlineStr">
        <ns0:is>
          <ns0:t xml:space="preserve">1. Roles and account creation</ns0:t>
        </ns0:is>
      </ns0:c>
      <ns0:c r="C39" s="28" t="inlineStr">
        <ns0:is>
          <ns0:t xml:space="preserve">Current scope</ns0:t>
        </ns0:is>
      </ns0:c>
      <ns0:c r="D39" s="28" t="inlineStr">
        <ns0:is>
          <ns0:t xml:space="preserve">Phone numbers are mandatory and may be shared by multiple users; they are not unique. Use Canadian phone-number formatting.</ns0:t>
        </ns0:is>
      </ns0:c>
      <ns0:c r="E39" s="28" t="inlineStr">
        <ns0:is>
          <ns0:t xml:space="preserve">FB-017, FB-019, FB-021</ns0:t>
        </ns0:is>
      </ns0:c>
      <ns0:c r="F39" s="28" t="inlineStr">
        <ns0:is>
          <ns0:t xml:space="preserve">Stories!B10</ns0:t>
        </ns0:is>
      </ns0:c>
    </ns0:row>
    <ns0:row r="40" ht="52" customHeight="1">
      <ns0:c r="A40" s="4" t="inlineStr">
        <ns0:is>
          <ns0:t xml:space="preserve">REQ-037</ns0:t>
        </ns0:is>
      </ns0:c>
      <ns0:c r="B40" s="4" t="inlineStr">
        <ns0:is>
          <ns0:t xml:space="preserve">1. Roles and account creation</ns0:t>
        </ns0:is>
      </ns0:c>
      <ns0:c r="C40" s="4" t="inlineStr">
        <ns0:is>
          <ns0:t xml:space="preserve">Current scope</ns0:t>
        </ns0:is>
      </ns0:c>
      <ns0:c r="D40" s="4" t="inlineStr">
        <ns0:is>
          <ns0:t xml:space="preserve">Phone input and display must use the format +1 506-555-0123: +1, a space, and the remaining digits grouped with hyphens.</ns0:t>
        </ns0:is>
      </ns0:c>
      <ns0:c r="E40" s="4" t="inlineStr">
        <ns0:is>
          <ns0:t xml:space="preserve">FB-017, FB-019, FB-021</ns0:t>
        </ns0:is>
      </ns0:c>
      <ns0:c r="F40" s="4" t="inlineStr">
        <ns0:is>
          <ns0:t xml:space="preserve">Stories!B10</ns0:t>
        </ns0:is>
      </ns0:c>
    </ns0:row>
    <ns0:row r="41" ht="52" customHeight="1">
      <ns0:c r="A41" s="28" t="inlineStr">
        <ns0:is>
          <ns0:t xml:space="preserve">REQ-038</ns0:t>
        </ns0:is>
      </ns0:c>
      <ns0:c r="B41" s="28" t="inlineStr">
        <ns0:is>
          <ns0:t xml:space="preserve">1. Roles and account creation</ns0:t>
        </ns0:is>
      </ns0:c>
      <ns0:c r="C41" s="28" t="inlineStr">
        <ns0:is>
          <ns0:t xml:space="preserve">Current scope</ns0:t>
        </ns0:is>
      </ns0:c>
      <ns0:c r="D41" s="28" t="inlineStr">
        <ns0:is>
          <ns0: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ns0:t>
        </ns0:is>
      </ns0:c>
      <ns0:c r="E41" s="28" t="inlineStr">
        <ns0:is>
          <ns0:t xml:space="preserve">FB-017, FB-019, FB-021</ns0:t>
        </ns0:is>
      </ns0:c>
      <ns0:c r="F41" s="28" t="inlineStr">
        <ns0:is>
          <ns0:t xml:space="preserve">Stories!B10</ns0:t>
        </ns0:is>
      </ns0:c>
    </ns0:row>
    <ns0:row r="42" ht="52" customHeight="1">
      <ns0:c r="A42" s="4" t="inlineStr">
        <ns0:is>
          <ns0:t xml:space="preserve">REQ-039</ns0:t>
        </ns0:is>
      </ns0:c>
      <ns0:c r="B42" s="4" t="inlineStr">
        <ns0:is>
          <ns0:t xml:space="preserve">1. Roles and account creation</ns0:t>
        </ns0:is>
      </ns0:c>
      <ns0:c r="C42" s="4" t="inlineStr">
        <ns0:is>
          <ns0:t xml:space="preserve">##FUTURE</ns0:t>
        </ns0:is>
      </ns0:c>
      <ns0:c r="D42" s="4" t="inlineStr">
        <ns0:is>
          <ns0:t xml:space="preserve">##FUTURE Additional roles.</ns0:t>
        </ns0:is>
      </ns0:c>
      <ns0:c r="E42" s="4" t="inlineStr">
        <ns0:is>
          <ns0:t xml:space="preserve">Deferred — no current item</ns0:t>
        </ns0:is>
      </ns0:c>
      <ns0:c r="F42" s="4" t="inlineStr">
        <ns0:is>
          <ns0:t xml:space="preserve">Deferred</ns0:t>
        </ns0:is>
      </ns0:c>
    </ns0:row>
    <ns0:row r="43" ht="52" customHeight="1">
      <ns0:c r="A43" s="28" t="inlineStr">
        <ns0:is>
          <ns0:t xml:space="preserve">REQ-040</ns0:t>
        </ns0:is>
      </ns0:c>
      <ns0:c r="B43" s="28" t="inlineStr">
        <ns0:is>
          <ns0:t xml:space="preserve">1. Roles and account creation</ns0:t>
        </ns0:is>
      </ns0:c>
      <ns0:c r="C43" s="28" t="inlineStr">
        <ns0:is>
          <ns0:t xml:space="preserve">Current scope</ns0:t>
        </ns0:is>
      </ns0:c>
      <ns0:c r="D43" s="28" t="inlineStr">
        <ns0:is>
          <ns0: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ns0:t>
        </ns0:is>
      </ns0:c>
      <ns0:c r="E43" s="28" t="inlineStr">
        <ns0:is>
          <ns0:t xml:space="preserve">FB-016–FB-023, FB-025</ns0:t>
        </ns0:is>
      </ns0:c>
      <ns0:c r="F43" s="28" t="inlineStr">
        <ns0:is>
          <ns0:t xml:space="preserve">Stories!B9</ns0:t>
        </ns0:is>
      </ns0:c>
    </ns0:row>
    <ns0:row r="44" ht="52" customHeight="1">
      <ns0:c r="A44" s="4" t="inlineStr">
        <ns0:is>
          <ns0:t xml:space="preserve">REQ-041</ns0:t>
        </ns0:is>
      </ns0:c>
      <ns0:c r="B44" s="4" t="inlineStr">
        <ns0:is>
          <ns0:t xml:space="preserve">1. Roles and account creation</ns0:t>
        </ns0:is>
      </ns0:c>
      <ns0:c r="C44" s="4" t="inlineStr">
        <ns0:is>
          <ns0:t xml:space="preserve">Current scope</ns0:t>
        </ns0:is>
      </ns0:c>
      <ns0:c r="D44" s="4" t="inlineStr">
        <ns0:is>
          <ns0: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ns0:t>
        </ns0:is>
      </ns0:c>
      <ns0:c r="E44" s="4" t="inlineStr">
        <ns0:is>
          <ns0:t xml:space="preserve">FB-009–FB-015</ns0:t>
        </ns0:is>
      </ns0:c>
      <ns0:c r="F44" s="4" t="inlineStr">
        <ns0:is>
          <ns0:t xml:space="preserve">Stories!B17</ns0:t>
        </ns0:is>
      </ns0:c>
    </ns0:row>
    <ns0:row r="45" ht="52" customHeight="1">
      <ns0:c r="A45" s="28" t="inlineStr">
        <ns0:is>
          <ns0:t xml:space="preserve">REQ-042</ns0:t>
        </ns0:is>
      </ns0:c>
      <ns0:c r="B45" s="28" t="inlineStr">
        <ns0:is>
          <ns0:t xml:space="preserve">1. Roles and account creation</ns0:t>
        </ns0:is>
      </ns0:c>
      <ns0:c r="C45" s="28" t="inlineStr">
        <ns0:is>
          <ns0:t xml:space="preserve">Current scope</ns0:t>
        </ns0:is>
      </ns0:c>
      <ns0:c r="D45" s="28" t="inlineStr">
        <ns0:is>
          <ns0: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ns0:t>
        </ns0:is>
      </ns0:c>
      <ns0:c r="E45" s="28" t="inlineStr">
        <ns0:is>
          <ns0:t xml:space="preserve">FB-009–FB-015</ns0:t>
        </ns0:is>
      </ns0:c>
      <ns0:c r="F45" s="28" t="inlineStr">
        <ns0:is>
          <ns0:t xml:space="preserve">Stories!B17</ns0:t>
        </ns0:is>
      </ns0:c>
    </ns0:row>
    <ns0:row r="46" ht="52" customHeight="1">
      <ns0:c r="A46" s="4" t="inlineStr">
        <ns0:is>
          <ns0:t xml:space="preserve">REQ-043</ns0:t>
        </ns0:is>
      </ns0:c>
      <ns0:c r="B46" s="4" t="inlineStr">
        <ns0:is>
          <ns0:t xml:space="preserve">1. Roles and account creation</ns0:t>
        </ns0:is>
      </ns0:c>
      <ns0:c r="C46" s="4" t="inlineStr">
        <ns0:is>
          <ns0:t xml:space="preserve">Current scope</ns0:t>
        </ns0:is>
      </ns0:c>
      <ns0:c r="D46" s="4" t="inlineStr">
        <ns0:is>
          <ns0: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46" s="4" t="inlineStr">
        <ns0:is>
          <ns0:t xml:space="preserve">FB-005, FB-022</ns0:t>
        </ns0:is>
      </ns0:c>
      <ns0:c r="F46" s="4" t="inlineStr">
        <ns0:is>
          <ns0:t xml:space="preserve">Stories!B8</ns0:t>
        </ns0:is>
      </ns0:c>
    </ns0:row>
    <ns0:row r="47" ht="52" customHeight="1">
      <ns0:c r="A47" s="28" t="inlineStr">
        <ns0:is>
          <ns0:t xml:space="preserve">REQ-044</ns0:t>
        </ns0:is>
      </ns0:c>
      <ns0:c r="B47" s="28" t="inlineStr">
        <ns0:is>
          <ns0:t xml:space="preserve">1. Roles and account creation</ns0:t>
        </ns0:is>
      </ns0:c>
      <ns0:c r="C47" s="28" t="inlineStr">
        <ns0:is>
          <ns0:t xml:space="preserve">Current scope</ns0:t>
        </ns0:is>
      </ns0:c>
      <ns0:c r="D47" s="28" t="inlineStr">
        <ns0:is>
          <ns0: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ns0:t>
        </ns0:is>
      </ns0:c>
      <ns0:c r="E47" s="28" t="inlineStr">
        <ns0:is>
          <ns0:t xml:space="preserve">FB-005, FB-022</ns0:t>
        </ns0:is>
      </ns0:c>
      <ns0:c r="F47" s="28" t="inlineStr">
        <ns0:is>
          <ns0:t xml:space="preserve">Stories!B8</ns0:t>
        </ns0:is>
      </ns0:c>
    </ns0:row>
    <ns0:row r="48" ht="52" customHeight="1">
      <ns0:c r="A48" s="4" t="inlineStr">
        <ns0:is>
          <ns0:t xml:space="preserve">REQ-045</ns0:t>
        </ns0:is>
      </ns0:c>
      <ns0:c r="B48" s="4" t="inlineStr">
        <ns0:is>
          <ns0:t xml:space="preserve">2. Shared login for all roles</ns0:t>
        </ns0:is>
      </ns0:c>
      <ns0:c r="C48" s="4" t="inlineStr">
        <ns0:is>
          <ns0:t xml:space="preserve">Current scope</ns0:t>
        </ns0:is>
      </ns0:c>
      <ns0:c r="D48" s="4" t="inlineStr">
        <ns0:is>
          <ns0:t xml:space="preserve">Super Admin, managers, and volunteers use the same login screen.</ns0:t>
        </ns0:is>
      </ns0:c>
      <ns0:c r="E48" s="4" t="inlineStr">
        <ns0:is>
          <ns0:t xml:space="preserve">FB-002–FB-008</ns0:t>
        </ns0:is>
      </ns0:c>
      <ns0:c r="F48" s="4" t="inlineStr">
        <ns0:is>
          <ns0:t xml:space="preserve">Stories!B5</ns0:t>
        </ns0:is>
      </ns0:c>
    </ns0:row>
    <ns0:row r="49" ht="52" customHeight="1">
      <ns0:c r="A49" s="28" t="inlineStr">
        <ns0:is>
          <ns0:t xml:space="preserve">REQ-046</ns0:t>
        </ns0:is>
      </ns0:c>
      <ns0:c r="B49" s="28" t="inlineStr">
        <ns0:is>
          <ns0:t xml:space="preserve">2. Shared login for all roles</ns0:t>
        </ns0:is>
      </ns0:c>
      <ns0:c r="C49" s="28" t="inlineStr">
        <ns0:is>
          <ns0:t xml:space="preserve">Current scope</ns0:t>
        </ns0:is>
      </ns0:c>
      <ns0:c r="D49" s="28" t="inlineStr">
        <ns0:is>
          <ns0:t xml:space="preserve">The system identifies the account and uses its stored role.</ns0:t>
        </ns0:is>
      </ns0:c>
      <ns0:c r="E49" s="28" t="inlineStr">
        <ns0:is>
          <ns0:t xml:space="preserve">FB-002–FB-008</ns0:t>
        </ns0:is>
      </ns0:c>
      <ns0:c r="F49" s="28" t="inlineStr">
        <ns0:is>
          <ns0:t xml:space="preserve">Stories!B5</ns0:t>
        </ns0:is>
      </ns0:c>
    </ns0:row>
    <ns0:row r="50" ht="52" customHeight="1">
      <ns0:c r="A50" s="4" t="inlineStr">
        <ns0:is>
          <ns0:t xml:space="preserve">REQ-047</ns0:t>
        </ns0:is>
      </ns0:c>
      <ns0:c r="B50" s="4" t="inlineStr">
        <ns0:is>
          <ns0:t xml:space="preserve">2. Shared login for all roles</ns0:t>
        </ns0:is>
      </ns0:c>
      <ns0:c r="C50" s="4" t="inlineStr">
        <ns0:is>
          <ns0:t xml:space="preserve">Current scope</ns0:t>
        </ns0:is>
      </ns0:c>
      <ns0:c r="D50" s="4" t="inlineStr">
        <ns0:is>
          <ns0:t xml:space="preserve">All three roles can log in using either their username or email in the same login field.</ns0:t>
        </ns0:is>
      </ns0:c>
      <ns0:c r="E50" s="4" t="inlineStr">
        <ns0:is>
          <ns0:t xml:space="preserve">FB-002–FB-008</ns0:t>
        </ns0:is>
      </ns0:c>
      <ns0:c r="F50" s="4" t="inlineStr">
        <ns0:is>
          <ns0:t xml:space="preserve">Stories!B5</ns0:t>
        </ns0:is>
      </ns0:c>
    </ns0:row>
    <ns0:row r="51" ht="52" customHeight="1">
      <ns0:c r="A51" s="28" t="inlineStr">
        <ns0:is>
          <ns0:t xml:space="preserve">REQ-048</ns0:t>
        </ns0:is>
      </ns0:c>
      <ns0:c r="B51" s="28" t="inlineStr">
        <ns0:is>
          <ns0:t xml:space="preserve">2. Shared login for all roles</ns0:t>
        </ns0:is>
      </ns0:c>
      <ns0:c r="C51" s="28" t="inlineStr">
        <ns0:is>
          <ns0:t xml:space="preserve">##FUTURE</ns0:t>
        </ns0:is>
      </ns0:c>
      <ns0:c r="D51" s="28"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51" s="28" t="inlineStr">
        <ns0:is>
          <ns0:t xml:space="preserve">Deferred — no current item</ns0:t>
        </ns0:is>
      </ns0:c>
      <ns0:c r="F51" s="28" t="inlineStr">
        <ns0:is>
          <ns0:t xml:space="preserve">Deferred</ns0:t>
        </ns0:is>
      </ns0:c>
    </ns0:row>
    <ns0:row r="52" ht="61" customHeight="1">
      <ns0:c r="A52" s="4" t="inlineStr">
        <ns0:is>
          <ns0:t xml:space="preserve">REQ-049</ns0:t>
        </ns0:is>
      </ns0:c>
      <ns0:c r="B52" s="4" t="inlineStr">
        <ns0:is>
          <ns0:t xml:space="preserve">2. Shared login for all roles</ns0:t>
        </ns0:is>
      </ns0:c>
      <ns0:c r="C52" s="4" t="inlineStr">
        <ns0:is>
          <ns0:t xml:space="preserve">Current scope</ns0:t>
        </ns0:is>
      </ns0:c>
      <ns0:c r="D52" s="4" t="inlineStr">
        <ns0:is>
          <ns0:t xml:space="preserve">After normal login, managers land on the volunteer list, the Super Admin on the combined user list, and volunteers on their welcome page. Required initial password setup takes priority over these landing pages.</ns0:t>
        </ns0:is>
      </ns0:c>
      <ns0:c r="E52" s="4" t="inlineStr">
        <ns0:is>
          <ns0:t xml:space="preserve">FB-002–FB-008</ns0:t>
        </ns0:is>
      </ns0:c>
      <ns0:c r="F52" s="4" t="inlineStr">
        <ns0:is>
          <ns0:t xml:space="preserve">Stories!B5</ns0:t>
        </ns0:is>
      </ns0:c>
    </ns0:row>
    <ns0:row r="53" ht="52" customHeight="1">
      <ns0:c r="A53" s="28" t="inlineStr">
        <ns0:is>
          <ns0:t xml:space="preserve">REQ-050</ns0:t>
        </ns0:is>
      </ns0:c>
      <ns0:c r="B53" s="28" t="inlineStr">
        <ns0:is>
          <ns0:t xml:space="preserve">3. Basic volunteer data management (initial scope)</ns0:t>
        </ns0:is>
      </ns0:c>
      <ns0:c r="C53" s="28" t="inlineStr">
        <ns0:is>
          <ns0:t xml:space="preserve">Current scope</ns0:t>
        </ns0:is>
      </ns0:c>
      <ns0:c r="D53" s="28" t="inlineStr">
        <ns0:is>
          <ns0:t xml:space="preserve">All managers can manage all volunteers, regardless of which manager created the record.</ns0:t>
        </ns0:is>
      </ns0:c>
      <ns0:c r="E53" s="28" t="inlineStr">
        <ns0:is>
          <ns0:t xml:space="preserve">FB-016–FB-025</ns0:t>
        </ns0:is>
      </ns0:c>
      <ns0:c r="F53" s="28" t="inlineStr">
        <ns0:is>
          <ns0:t xml:space="preserve">Stories!B9</ns0:t>
        </ns0:is>
      </ns0:c>
    </ns0:row>
    <ns0:row r="54" ht="52" customHeight="1">
      <ns0:c r="A54" s="4" t="inlineStr">
        <ns0:is>
          <ns0:t xml:space="preserve">REQ-051</ns0:t>
        </ns0:is>
      </ns0:c>
      <ns0:c r="B54" s="4" t="inlineStr">
        <ns0:is>
          <ns0:t xml:space="preserve">3. Basic volunteer data management (initial scope)</ns0:t>
        </ns0:is>
      </ns0:c>
      <ns0:c r="C54" s="4" t="inlineStr">
        <ns0:is>
          <ns0:t xml:space="preserve">Current scope</ns0:t>
        </ns0:is>
      </ns0:c>
      <ns0:c r="D54" s="4" t="inlineStr">
        <ns0:is>
          <ns0:t xml:space="preserve">Managers can create, view, and update volunteer records, and mark volunteers active or inactive. Deletion is excluded from current scope.</ns0:t>
        </ns0:is>
      </ns0:c>
      <ns0:c r="E54" s="4" t="inlineStr">
        <ns0:is>
          <ns0:t xml:space="preserve">FB-016–FB-025</ns0:t>
        </ns0:is>
      </ns0:c>
      <ns0:c r="F54" s="4" t="inlineStr">
        <ns0:is>
          <ns0:t xml:space="preserve">Stories!B9</ns0:t>
        </ns0:is>
      </ns0:c>
    </ns0:row>
    <ns0:row r="55" ht="52" customHeight="1">
      <ns0:c r="A55" s="28" t="inlineStr">
        <ns0:is>
          <ns0:t xml:space="preserve">REQ-052</ns0:t>
        </ns0:is>
      </ns0:c>
      <ns0:c r="B55" s="28" t="inlineStr">
        <ns0:is>
          <ns0:t xml:space="preserve">3. Basic volunteer data management (initial scope)</ns0:t>
        </ns0:is>
      </ns0:c>
      <ns0:c r="C55" s="28" t="inlineStr">
        <ns0:is>
          <ns0:t xml:space="preserve">Current scope</ns0:t>
        </ns0:is>
      </ns0:c>
      <ns0:c r="D55" s="28" t="inlineStr">
        <ns0:is>
          <ns0: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55" s="28" t="inlineStr">
        <ns0:is>
          <ns0:t xml:space="preserve">FB-005, FB-022</ns0:t>
        </ns0:is>
      </ns0:c>
      <ns0:c r="F55" s="28" t="inlineStr">
        <ns0:is>
          <ns0:t xml:space="preserve">Stories!B8</ns0:t>
        </ns0:is>
      </ns0:c>
    </ns0:row>
    <ns0:row r="56" ht="52" customHeight="1">
      <ns0:c r="A56" s="4" t="inlineStr">
        <ns0:is>
          <ns0:t xml:space="preserve">REQ-053</ns0:t>
        </ns0:is>
      </ns0:c>
      <ns0:c r="B56" s="4" t="inlineStr">
        <ns0:is>
          <ns0:t xml:space="preserve">3. Basic volunteer data management (initial scope)</ns0:t>
        </ns0:is>
      </ns0:c>
      <ns0:c r="C56" s="4" t="inlineStr">
        <ns0:is>
          <ns0:t xml:space="preserve">##FUTURE</ns0:t>
        </ns0:is>
      </ns0:c>
      <ns0:c r="D56" s="4" t="inlineStr">
        <ns0:is>
          <ns0:t xml:space="preserve">##FUTURE Volunteer deletion. Its behaviour, including whether records are preserved or permanently removed, has not been decided.</ns0:t>
        </ns0:is>
      </ns0:c>
      <ns0:c r="E56" s="4" t="inlineStr">
        <ns0:is>
          <ns0:t xml:space="preserve">Deferred — no current item</ns0:t>
        </ns0:is>
      </ns0:c>
      <ns0:c r="F56" s="4" t="inlineStr">
        <ns0:is>
          <ns0:t xml:space="preserve">Deferred</ns0:t>
        </ns0:is>
      </ns0:c>
    </ns0:row>
    <ns0:row r="57" ht="52" customHeight="1">
      <ns0:c r="A57" s="28" t="inlineStr">
        <ns0:is>
          <ns0:t xml:space="preserve">REQ-054</ns0:t>
        </ns0:is>
      </ns0:c>
      <ns0:c r="B57" s="28" t="inlineStr">
        <ns0:is>
          <ns0:t xml:space="preserve">3. Basic volunteer data management (initial scope)</ns0:t>
        </ns0:is>
      </ns0:c>
      <ns0:c r="C57" s="28" t="inlineStr">
        <ns0:is>
          <ns0:t xml:space="preserve">Current scope</ns0:t>
        </ns0:is>
      </ns0:c>
      <ns0:c r="D57" s="28" t="inlineStr">
        <ns0:is>
          <ns0:t xml:space="preserve">Required volunteer fields: first name, last name, username, email, phone, and status. All six fields are mandatory.</ns0:t>
        </ns0:is>
      </ns0:c>
      <ns0:c r="E57" s="28" t="inlineStr">
        <ns0:is>
          <ns0:t xml:space="preserve">FB-018–FB-021</ns0:t>
        </ns0:is>
      </ns0:c>
      <ns0:c r="F57" s="28" t="inlineStr">
        <ns0:is>
          <ns0:t xml:space="preserve">Stories!B11</ns0:t>
        </ns0:is>
      </ns0:c>
    </ns0:row>
    <ns0:row r="58" ht="52" customHeight="1">
      <ns0:c r="A58" s="4" t="inlineStr">
        <ns0:is>
          <ns0:t xml:space="preserve">REQ-055</ns0:t>
        </ns0:is>
      </ns0:c>
      <ns0:c r="B58" s="4" t="inlineStr">
        <ns0:is>
          <ns0:t xml:space="preserve">3. Basic volunteer data management (initial scope)</ns0:t>
        </ns0:is>
      </ns0:c>
      <ns0:c r="C58" s="4" t="inlineStr">
        <ns0:is>
          <ns0:t xml:space="preserve">Current scope</ns0:t>
        </ns0:is>
      </ns0:c>
      <ns0:c r="D58" s="4" t="inlineStr">
        <ns0:is>
          <ns0:t xml:space="preserve">The system generates the username; the manager does not need to enter it when creating a volunteer.</ns0:t>
        </ns0:is>
      </ns0:c>
      <ns0:c r="E58" s="4" t="inlineStr">
        <ns0:is>
          <ns0:t xml:space="preserve">FB-018–FB-021</ns0:t>
        </ns0:is>
      </ns0:c>
      <ns0:c r="F58" s="4" t="inlineStr">
        <ns0:is>
          <ns0:t xml:space="preserve">Stories!B11</ns0:t>
        </ns0:is>
      </ns0:c>
    </ns0:row>
    <ns0:row r="59" ht="76" customHeight="1">
      <ns0:c r="A59" s="28" t="inlineStr">
        <ns0:is>
          <ns0:t xml:space="preserve">REQ-056</ns0:t>
        </ns0:is>
      </ns0:c>
      <ns0:c r="B59" s="28" t="inlineStr">
        <ns0:is>
          <ns0:t xml:space="preserve">3. Basic volunteer data management (initial scope)</ns0:t>
        </ns0:is>
      </ns0:c>
      <ns0:c r="C59" s="28" t="inlineStr">
        <ns0:is>
          <ns0:t xml:space="preserve">Current scope</ns0:t>
        </ns0:is>
      </ns0:c>
      <ns0:c r="D59" s="28" t="inlineStr">
        <ns0:is>
          <ns0: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ns0:t>
        </ns0:is>
      </ns0:c>
      <ns0:c r="E59" s="28" t="inlineStr">
        <ns0:is>
          <ns0:t xml:space="preserve">FB-018–FB-021</ns0:t>
        </ns0:is>
      </ns0:c>
      <ns0:c r="F59" s="28" t="inlineStr">
        <ns0:is>
          <ns0:t xml:space="preserve">Stories!B11</ns0:t>
        </ns0:is>
      </ns0:c>
    </ns0:row>
    <ns0:row r="60" ht="52" customHeight="1">
      <ns0:c r="A60" s="4" t="inlineStr">
        <ns0:is>
          <ns0:t xml:space="preserve">REQ-057</ns0:t>
        </ns0:is>
      </ns0:c>
      <ns0:c r="B60" s="4" t="inlineStr">
        <ns0:is>
          <ns0:t xml:space="preserve">3. Basic volunteer data management (initial scope)</ns0:t>
        </ns0:is>
      </ns0:c>
      <ns0:c r="C60" s="4" t="inlineStr">
        <ns0:is>
          <ns0:t xml:space="preserve">Current scope</ns0:t>
        </ns0:is>
      </ns0:c>
      <ns0:c r="D60" s="4" t="inlineStr">
        <ns0:is>
          <ns0:t xml:space="preserve">Updating a volunteer's first or last name also regenerates their username from the updated name, applying the same uniqueness and numbered-suffix rules. This includes correcting a mistyped name.</ns0:t>
        </ns0:is>
      </ns0:c>
      <ns0:c r="E60" s="4" t="inlineStr">
        <ns0:is>
          <ns0:t xml:space="preserve">FB-018–FB-021</ns0:t>
        </ns0:is>
      </ns0:c>
      <ns0:c r="F60" s="4" t="inlineStr">
        <ns0:is>
          <ns0:t xml:space="preserve">Stories!B11</ns0:t>
        </ns0:is>
      </ns0:c>
    </ns0:row>
    <ns0:row r="61" ht="52" customHeight="1">
      <ns0:c r="A61" s="28" t="inlineStr">
        <ns0:is>
          <ns0:t xml:space="preserve">REQ-058</ns0:t>
        </ns0:is>
      </ns0:c>
      <ns0:c r="B61" s="28" t="inlineStr">
        <ns0:is>
          <ns0:t xml:space="preserve">3. Basic volunteer data management (initial scope)</ns0:t>
        </ns0:is>
      </ns0:c>
      <ns0:c r="C61" s="28" t="inlineStr">
        <ns0:is>
          <ns0:t xml:space="preserve">Current scope</ns0:t>
        </ns0:is>
      </ns0:c>
      <ns0:c r="D61" s="28" t="inlineStr">
        <ns0:is>
          <ns0:t xml:space="preserve">After saving a name change, show the resulting username in the confirmation message to the manager or Super Admin making the change.</ns0:t>
        </ns0:is>
      </ns0:c>
      <ns0:c r="E61" s="28" t="inlineStr">
        <ns0:is>
          <ns0:t xml:space="preserve">FB-018–FB-021</ns0:t>
        </ns0:is>
      </ns0:c>
      <ns0:c r="F61" s="28" t="inlineStr">
        <ns0:is>
          <ns0:t xml:space="preserve">Stories!B11</ns0:t>
        </ns0:is>
      </ns0:c>
    </ns0:row>
    <ns0:row r="62" ht="52" customHeight="1">
      <ns0:c r="A62" s="4" t="inlineStr">
        <ns0:is>
          <ns0:t xml:space="preserve">REQ-059</ns0:t>
        </ns0:is>
      </ns0:c>
      <ns0:c r="B62" s="4" t="inlineStr">
        <ns0:is>
          <ns0:t xml:space="preserve">3. Basic volunteer data management (initial scope)</ns0:t>
        </ns0:is>
      </ns0:c>
      <ns0:c r="C62" s="4" t="inlineStr">
        <ns0:is>
          <ns0:t xml:space="preserve">Current scope</ns0:t>
        </ns0:is>
      </ns0:c>
      <ns0:c r="D62" s="4" t="inlineStr">
        <ns0:is>
          <ns0: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62" s="4" t="inlineStr">
        <ns0:is>
          <ns0:t xml:space="preserve">FB-016–FB-025</ns0:t>
        </ns0:is>
      </ns0:c>
      <ns0:c r="F62" s="4" t="inlineStr">
        <ns0:is>
          <ns0:t xml:space="preserve">Stories!B9</ns0:t>
        </ns0:is>
      </ns0:c>
    </ns0:row>
    <ns0:row r="63" ht="52" customHeight="1">
      <ns0:c r="A63" s="28" t="inlineStr">
        <ns0:is>
          <ns0:t xml:space="preserve">REQ-060</ns0:t>
        </ns0:is>
      </ns0:c>
      <ns0:c r="B63" s="28" t="inlineStr">
        <ns0:is>
          <ns0:t xml:space="preserve">3. Basic volunteer data management (initial scope)</ns0:t>
        </ns0:is>
      </ns0:c>
      <ns0:c r="C63" s="28" t="inlineStr">
        <ns0:is>
          <ns0:t xml:space="preserve">Current scope</ns0:t>
        </ns0:is>
      </ns0:c>
      <ns0:c r="D63" s="28" t="inlineStr">
        <ns0:is>
          <ns0: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ns0:t>
        </ns0:is>
      </ns0:c>
      <ns0:c r="E63" s="28" t="inlineStr">
        <ns0:is>
          <ns0:t xml:space="preserve">FB-018–FB-021</ns0:t>
        </ns0:is>
      </ns0:c>
      <ns0:c r="F63" s="28" t="inlineStr">
        <ns0:is>
          <ns0:t xml:space="preserve">Stories!B11</ns0:t>
        </ns0:is>
      </ns0:c>
    </ns0:row>
    <ns0:row r="64" ht="52" customHeight="1">
      <ns0:c r="A64" s="4" t="inlineStr">
        <ns0:is>
          <ns0:t xml:space="preserve">REQ-061</ns0:t>
        </ns0:is>
      </ns0:c>
      <ns0:c r="B64" s="4" t="inlineStr">
        <ns0:is>
          <ns0:t xml:space="preserve">3. Basic volunteer data management (initial scope)</ns0:t>
        </ns0:is>
      </ns0:c>
      <ns0:c r="C64" s="4" t="inlineStr">
        <ns0:is>
          <ns0:t xml:space="preserve">Current scope</ns0:t>
        </ns0:is>
      </ns0:c>
      <ns0:c r="D64" s="4" t="inlineStr">
        <ns0:is>
          <ns0:t xml:space="preserve">Include pagination with 10 volunteers per page and Previous / Next controls. Search and status filters apply to the full list before it is divided into pages.</ns0:t>
        </ns0:is>
      </ns0:c>
      <ns0:c r="E64" s="4" t="inlineStr">
        <ns0:is>
          <ns0:t xml:space="preserve">FB-009–FB-015</ns0:t>
        </ns0:is>
      </ns0:c>
      <ns0:c r="F64" s="4" t="inlineStr">
        <ns0:is>
          <ns0:t xml:space="preserve">Stories!B17</ns0:t>
        </ns0:is>
      </ns0:c>
    </ns0:row>
    <ns0:row r="65" ht="61" customHeight="1">
      <ns0:c r="A65" s="28" t="inlineStr">
        <ns0:is>
          <ns0:t xml:space="preserve">REQ-062</ns0:t>
        </ns0:is>
      </ns0:c>
      <ns0:c r="B65" s="28" t="inlineStr">
        <ns0:is>
          <ns0:t xml:space="preserve">3. Basic volunteer data management (initial scope)</ns0:t>
        </ns0:is>
      </ns0:c>
      <ns0:c r="C65" s="28" t="inlineStr">
        <ns0:is>
          <ns0:t xml:space="preserve">Current scope</ns0:t>
        </ns0:is>
      </ns0:c>
      <ns0:c r="D65" s="28" t="inlineStr">
        <ns0:is>
          <ns0:t xml:space="preserve">Preserve actual first and last names as entered. When generating usernames only, remove spaces, hyphens, and apostrophes from each name part before joining them with a dot. For example, Mary Jane O'Connor becomes maryjane.oconnor, subject to uniqueness suffixes.</ns0:t>
        </ns0:is>
      </ns0:c>
      <ns0:c r="E65" s="28" t="inlineStr">
        <ns0:is>
          <ns0:t xml:space="preserve">FB-018–FB-021</ns0:t>
        </ns0:is>
      </ns0:c>
      <ns0:c r="F65" s="28" t="inlineStr">
        <ns0:is>
          <ns0:t xml:space="preserve">Stories!B11</ns0:t>
        </ns0:is>
      </ns0:c>
    </ns0:row>
    <ns0:row r="66" ht="52" customHeight="1">
      <ns0:c r="A66" s="4" t="inlineStr">
        <ns0:is>
          <ns0:t xml:space="preserve">REQ-063</ns0:t>
        </ns0:is>
      </ns0:c>
      <ns0:c r="B66" s="4" t="inlineStr">
        <ns0:is>
          <ns0:t xml:space="preserve">3. Basic volunteer data management (initial scope)</ns0:t>
        </ns0:is>
      </ns0:c>
      <ns0:c r="C66" s="4" t="inlineStr">
        <ns0:is>
          <ns0:t xml:space="preserve">Current scope</ns0:t>
        </ns0:is>
      </ns0:c>
      <ns0:c r="D66" s="4" t="inlineStr">
        <ns0:is>
          <ns0:t xml:space="preserve">Convert accented letters to plain letters in generated usernames only. Preserve accents in actual names. For example, Émilie Côté becomes emilie.cote, subject to uniqueness suffixes.</ns0:t>
        </ns0:is>
      </ns0:c>
      <ns0:c r="E66" s="4" t="inlineStr">
        <ns0:is>
          <ns0:t xml:space="preserve">FB-018–FB-021</ns0:t>
        </ns0:is>
      </ns0:c>
      <ns0:c r="F66" s="4" t="inlineStr">
        <ns0:is>
          <ns0:t xml:space="preserve">Stories!B11</ns0:t>
        </ns0:is>
      </ns0:c>
    </ns0:row>
    <ns0:row r="67" ht="91" customHeight="1">
      <ns0:c r="A67" s="28" t="inlineStr">
        <ns0:is>
          <ns0:t xml:space="preserve">REQ-064</ns0:t>
        </ns0:is>
      </ns0:c>
      <ns0:c r="B67" s="28" t="inlineStr">
        <ns0:is>
          <ns0:t xml:space="preserve">3. Basic volunteer data management (initial scope)</ns0:t>
        </ns0:is>
      </ns0:c>
      <ns0:c r="C67" s="28" t="inlineStr">
        <ns0:is>
          <ns0:t xml:space="preserve">Current scope</ns0:t>
        </ns0:is>
      </ns0:c>
      <ns0:c r="D67" s="28" t="inlineStr">
        <ns0:is>
          <ns0: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ns0:t>
        </ns0:is>
      </ns0:c>
      <ns0:c r="E67" s="28" t="inlineStr">
        <ns0:is>
          <ns0:t xml:space="preserve">FB-018–FB-021</ns0:t>
        </ns0:is>
      </ns0:c>
      <ns0:c r="F67" s="28" t="inlineStr">
        <ns0:is>
          <ns0:t xml:space="preserve">Stories!B11</ns0:t>
        </ns0:is>
      </ns0:c>
    </ns0:row>
    <ns0:row r="68" ht="52" customHeight="1">
      <ns0:c r="A68" s="4" t="inlineStr">
        <ns0:is>
          <ns0:t xml:space="preserve">REQ-065</ns0:t>
        </ns0:is>
      </ns0:c>
      <ns0:c r="B68" s="4" t="inlineStr">
        <ns0:is>
          <ns0:t xml:space="preserve">3. Basic volunteer data management (initial scope)</ns0:t>
        </ns0:is>
      </ns0:c>
      <ns0:c r="C68" s="4" t="inlineStr">
        <ns0:is>
          <ns0:t xml:space="preserve">Current scope</ns0:t>
        </ns0:is>
      </ns0:c>
      <ns0:c r="D68" s="4" t="inlineStr">
        <ns0:is>
          <ns0:t xml:space="preserve">Manager and volunteer first/last names are required, each 1–100 characters after trimming leading/trailing spaces. Preserve internal spaces, supported punctuation, and accents in actual stored names.</ns0:t>
        </ns0:is>
      </ns0:c>
      <ns0:c r="E68" s="4" t="inlineStr">
        <ns0:is>
          <ns0:t xml:space="preserve">FB-018–FB-021</ns0:t>
        </ns0:is>
      </ns0:c>
      <ns0:c r="F68" s="4" t="inlineStr">
        <ns0:is>
          <ns0:t xml:space="preserve">Stories!B11</ns0:t>
        </ns0:is>
      </ns0:c>
    </ns0:row>
    <ns0:row r="69" ht="52" customHeight="1">
      <ns0:c r="A69" s="28" t="inlineStr">
        <ns0:is>
          <ns0:t xml:space="preserve">REQ-066</ns0:t>
        </ns0:is>
      </ns0:c>
      <ns0:c r="B69" s="28" t="inlineStr">
        <ns0:is>
          <ns0:t xml:space="preserve">3. Basic volunteer data management (initial scope)</ns0:t>
        </ns0:is>
      </ns0:c>
      <ns0:c r="C69" s="28" t="inlineStr">
        <ns0:is>
          <ns0:t xml:space="preserve">Current scope</ns0:t>
        </ns0:is>
      </ns0:c>
      <ns0:c r="D69" s="28" t="inlineStr">
        <ns0:is>
          <ns0:t xml:space="preserve">Account email is required, must have a valid email format, and may contain at most 254 characters. Email uniqueness ignores capitalization across all users and roles.</ns0:t>
        </ns0:is>
      </ns0:c>
      <ns0:c r="E69" s="28" t="inlineStr">
        <ns0:is>
          <ns0:t xml:space="preserve">FB-016–FB-025</ns0:t>
        </ns0:is>
      </ns0:c>
      <ns0:c r="F69" s="28" t="inlineStr">
        <ns0:is>
          <ns0:t xml:space="preserve">Stories!B9</ns0:t>
        </ns0:is>
      </ns0:c>
    </ns0:row>
    <ns0:row r="70" ht="52" customHeight="1">
      <ns0:c r="A70" s="4" t="inlineStr">
        <ns0:is>
          <ns0:t xml:space="preserve">REQ-067</ns0:t>
        </ns0:is>
      </ns0:c>
      <ns0:c r="B70" s="4" t="inlineStr">
        <ns0:is>
          <ns0:t xml:space="preserve">3. Basic volunteer data management (initial scope)</ns0:t>
        </ns0:is>
      </ns0:c>
      <ns0:c r="C70" s="4" t="inlineStr">
        <ns0:is>
          <ns0:t xml:space="preserve">Current scope</ns0:t>
        </ns0:is>
      </ns0:c>
      <ns0:c r="D70" s="4" t="inlineStr">
        <ns0:is>
          <ns0:t xml:space="preserve">Account phone is required: 10 digits after +1, formatted +1 506-555-0123. Account phone numbers may be shared, unlike household phone numbers.</ns0:t>
        </ns0:is>
      </ns0:c>
      <ns0:c r="E70" s="4" t="inlineStr">
        <ns0:is>
          <ns0:t xml:space="preserve">FB-016–FB-025</ns0:t>
        </ns0:is>
      </ns0:c>
      <ns0:c r="F70" s="4" t="inlineStr">
        <ns0:is>
          <ns0:t xml:space="preserve">Stories!B9</ns0:t>
        </ns0:is>
      </ns0:c>
    </ns0:row>
    <ns0:row r="71" ht="52" customHeight="1">
      <ns0:c r="A71" s="28" t="inlineStr">
        <ns0:is>
          <ns0:t xml:space="preserve">REQ-068</ns0:t>
        </ns0:is>
      </ns0:c>
      <ns0:c r="B71" s="28" t="inlineStr">
        <ns0:is>
          <ns0:t xml:space="preserve">3. Basic volunteer data management (initial scope)</ns0:t>
        </ns0:is>
      </ns0:c>
      <ns0:c r="C71" s="28" t="inlineStr">
        <ns0:is>
          <ns0:t xml:space="preserve">Current scope</ns0:t>
        </ns0:is>
      </ns0:c>
      <ns0:c r="D71" s="28" t="inlineStr">
        <ns0:is>
          <ns0:t xml:space="preserve">Invalid account input shows a field-specific error and retains other entered values so the user can correct the form.</ns0:t>
        </ns0:is>
      </ns0:c>
      <ns0:c r="E71" s="28" t="inlineStr">
        <ns0:is>
          <ns0:t xml:space="preserve">FB-016–FB-025</ns0:t>
        </ns0:is>
      </ns0:c>
      <ns0:c r="F71" s="28" t="inlineStr">
        <ns0:is>
          <ns0:t xml:space="preserve">Stories!B9</ns0:t>
        </ns0:is>
      </ns0:c>
    </ns0:row>
    <ns0:row r="72" ht="52" customHeight="1">
      <ns0:c r="A72" s="4" t="inlineStr">
        <ns0:is>
          <ns0:t xml:space="preserve">REQ-069</ns0:t>
        </ns0:is>
      </ns0:c>
      <ns0:c r="B72" s="4" t="inlineStr">
        <ns0:is>
          <ns0:t xml:space="preserve">3. Basic volunteer data management (initial scope)</ns0:t>
        </ns0:is>
      </ns0:c>
      <ns0:c r="C72" s="4" t="inlineStr">
        <ns0:is>
          <ns0:t xml:space="preserve">##FUTURE</ns0:t>
        </ns0:is>
      </ns0:c>
      <ns0:c r="D72" s="4" t="inlineStr">
        <ns0:is>
          <ns0:t xml:space="preserve">##FUTURE The broader volunteer module; its additional features have not yet been defined.</ns0:t>
        </ns0:is>
      </ns0:c>
      <ns0:c r="E72" s="4" t="inlineStr">
        <ns0:is>
          <ns0:t xml:space="preserve">Deferred — no current item</ns0:t>
        </ns0:is>
      </ns0:c>
      <ns0:c r="F72" s="4" t="inlineStr">
        <ns0:is>
          <ns0:t xml:space="preserve">Deferred</ns0:t>
        </ns0:is>
      </ns0:c>
    </ns0:row>
    <ns0:row r="73" ht="52" customHeight="1">
      <ns0:c r="A73" s="28" t="inlineStr">
        <ns0:is>
          <ns0:t xml:space="preserve">REQ-070</ns0:t>
        </ns0:is>
      </ns0:c>
      <ns0:c r="B73" s="28" t="inlineStr">
        <ns0:is>
          <ns0:t xml:space="preserve">4. Volunteer access in the current version</ns0:t>
        </ns0:is>
      </ns0:c>
      <ns0:c r="C73" s="28" t="inlineStr">
        <ns0:is>
          <ns0:t xml:space="preserve">Current scope</ns0:t>
        </ns0:is>
      </ns0:c>
      <ns0:c r="D73" s="28" t="inlineStr">
        <ns0:is>
          <ns0: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ns0:t>
        </ns0:is>
      </ns0:c>
      <ns0:c r="E73" s="28" t="inlineStr">
        <ns0:is>
          <ns0:t xml:space="preserve">FB-008, FB-024</ns0:t>
        </ns0:is>
      </ns0:c>
      <ns0:c r="F73" s="28" t="inlineStr">
        <ns0:is>
          <ns0:t xml:space="preserve">Stories!B24</ns0:t>
        </ns0:is>
      </ns0:c>
    </ns0:row>
    <ns0:row r="74" ht="52" customHeight="1">
      <ns0:c r="A74" s="4" t="inlineStr">
        <ns0:is>
          <ns0:t xml:space="preserve">REQ-071</ns0:t>
        </ns0:is>
      </ns0:c>
      <ns0:c r="B74" s="4" t="inlineStr">
        <ns0:is>
          <ns0:t xml:space="preserve">4. Volunteer access in the current version</ns0:t>
        </ns0:is>
      </ns0:c>
      <ns0:c r="C74" s="4" t="inlineStr">
        <ns0:is>
          <ns0:t xml:space="preserve">Current scope</ns0:t>
        </ns0:is>
      </ns0:c>
      <ns0:c r="D74" s="4" t="inlineStr">
        <ns0:is>
          <ns0:t xml:space="preserve">Volunteers cannot access other users' records.</ns0:t>
        </ns0:is>
      </ns0:c>
      <ns0:c r="E74" s="4" t="inlineStr">
        <ns0:is>
          <ns0:t xml:space="preserve">FB-008, FB-015, FB-037–FB-066</ns0:t>
        </ns0:is>
      </ns0:c>
      <ns0:c r="F74" s="4" t="inlineStr">
        <ns0:is>
          <ns0:t xml:space="preserve">Stories!B24</ns0:t>
        </ns0:is>
      </ns0:c>
    </ns0:row>
    <ns0:row r="75" ht="76" customHeight="1">
      <ns0:c r="A75" s="28" t="inlineStr">
        <ns0:is>
          <ns0:t xml:space="preserve">REQ-072</ns0:t>
        </ns0:is>
      </ns0:c>
      <ns0:c r="B75" s="28" t="inlineStr">
        <ns0:is>
          <ns0:t xml:space="preserve">4. Volunteer access in the current version</ns0:t>
        </ns0:is>
      </ns0:c>
      <ns0:c r="C75" s="28" t="inlineStr">
        <ns0:is>
          <ns0:t xml:space="preserve">Current scope</ns0:t>
        </ns0:is>
      </ns0:c>
      <ns0:c r="D75" s="28" t="inlineStr">
        <ns0:is>
          <ns0: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ns0:t>
        </ns0:is>
      </ns0:c>
      <ns0:c r="E75" s="28" t="inlineStr">
        <ns0:is>
          <ns0:t xml:space="preserve">FB-008, FB-015, FB-037–FB-066</ns0:t>
        </ns0:is>
      </ns0:c>
      <ns0:c r="F75" s="28" t="inlineStr">
        <ns0:is>
          <ns0:t xml:space="preserve">Stories!B24</ns0:t>
        </ns0:is>
      </ns0:c>
    </ns0:row>
    <ns0:row r="76" ht="52" customHeight="1">
      <ns0:c r="A76" s="4" t="inlineStr">
        <ns0:is>
          <ns0:t xml:space="preserve">REQ-073</ns0:t>
        </ns0:is>
      </ns0:c>
      <ns0:c r="B76" s="4" t="inlineStr">
        <ns0:is>
          <ns0:t xml:space="preserve">4. Volunteer access in the current version</ns0:t>
        </ns0:is>
      </ns0:c>
      <ns0:c r="C76" s="4" t="inlineStr">
        <ns0:is>
          <ns0:t xml:space="preserve">##FUTURE</ns0:t>
        </ns0:is>
      </ns0:c>
      <ns0:c r="D76" s="4" t="inlineStr">
        <ns0:is>
          <ns0:t xml:space="preserve">Broader volunteer functionality remains ##FUTURE.</ns0:t>
        </ns0:is>
      </ns0:c>
      <ns0:c r="E76" s="4" t="inlineStr">
        <ns0:is>
          <ns0:t xml:space="preserve">Deferred — no current item</ns0:t>
        </ns0:is>
      </ns0:c>
      <ns0:c r="F76" s="4" t="inlineStr">
        <ns0:is>
          <ns0:t xml:space="preserve">Deferred</ns0:t>
        </ns0:is>
      </ns0:c>
    </ns0:row>
    <ns0:row r="77" ht="52" customHeight="1">
      <ns0:c r="A77" s="28" t="inlineStr">
        <ns0:is>
          <ns0:t xml:space="preserve">REQ-074</ns0:t>
        </ns0:is>
      </ns0:c>
      <ns0:c r="B77" s="28" t="inlineStr">
        <ns0:is>
          <ns0:t xml:space="preserve">5. Initial password setup and later password changes</ns0:t>
        </ns0:is>
      </ns0:c>
      <ns0:c r="C77" s="28" t="inlineStr">
        <ns0:is>
          <ns0:t xml:space="preserve">Current scope</ns0:t>
        </ns0:is>
      </ns0:c>
      <ns0:c r="D77" s="28" t="inlineStr">
        <ns0:is>
          <ns0:t xml:space="preserve">A common initial password is supplied through application configuration.</ns0:t>
        </ns0:is>
      </ns0:c>
      <ns0:c r="E77" s="28" t="inlineStr">
        <ns0:is>
          <ns0:t xml:space="preserve">FB-004–FB-007, FB-019, FB-023</ns0:t>
        </ns0:is>
      </ns0:c>
      <ns0:c r="F77" s="28" t="inlineStr">
        <ns0:is>
          <ns0:t xml:space="preserve">Stories!B7</ns0:t>
        </ns0:is>
      </ns0:c>
    </ns0:row>
    <ns0:row r="78" ht="52" customHeight="1">
      <ns0:c r="A78" s="4" t="inlineStr">
        <ns0:is>
          <ns0:t xml:space="preserve">REQ-075</ns0:t>
        </ns0:is>
      </ns0:c>
      <ns0:c r="B78" s="4" t="inlineStr">
        <ns0:is>
          <ns0:t xml:space="preserve">5. Initial password setup and later password changes</ns0:t>
        </ns0:is>
      </ns0:c>
      <ns0:c r="C78" s="4" t="inlineStr">
        <ns0:is>
          <ns0:t xml:space="preserve">Current scope</ns0:t>
        </ns0:is>
      </ns0:c>
      <ns0:c r="D78" s="4" t="inlineStr">
        <ns0:is>
          <ns0: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E78" s="4" t="inlineStr">
        <ns0:is>
          <ns0:t xml:space="preserve">FB-004–FB-007, FB-019, FB-023</ns0:t>
        </ns0:is>
      </ns0:c>
      <ns0:c r="F78" s="4" t="inlineStr">
        <ns0:is>
          <ns0:t xml:space="preserve">Stories!B7</ns0:t>
        </ns0:is>
      </ns0:c>
    </ns0:row>
    <ns0:row r="79" ht="52" customHeight="1">
      <ns0:c r="A79" s="28" t="inlineStr">
        <ns0:is>
          <ns0:t xml:space="preserve">REQ-076</ns0:t>
        </ns0:is>
      </ns0:c>
      <ns0:c r="B79" s="28" t="inlineStr">
        <ns0:is>
          <ns0:t xml:space="preserve">5. Initial password setup and later password changes</ns0:t>
        </ns0:is>
      </ns0:c>
      <ns0:c r="C79" s="28" t="inlineStr">
        <ns0:is>
          <ns0:t xml:space="preserve">Current scope</ns0:t>
        </ns0:is>
      </ns0:c>
      <ns0:c r="D79" s="28" t="inlineStr">
        <ns0:is>
          <ns0: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ns0:t>
        </ns0:is>
      </ns0:c>
      <ns0:c r="E79" s="28" t="inlineStr">
        <ns0:is>
          <ns0:t xml:space="preserve">FB-004–FB-007, FB-019, FB-023</ns0:t>
        </ns0:is>
      </ns0:c>
      <ns0:c r="F79" s="28" t="inlineStr">
        <ns0:is>
          <ns0:t xml:space="preserve">Stories!B7</ns0:t>
        </ns0:is>
      </ns0:c>
    </ns0:row>
    <ns0:row r="80" ht="52" customHeight="1">
      <ns0:c r="A80" s="4" t="inlineStr">
        <ns0:is>
          <ns0:t xml:space="preserve">REQ-077</ns0:t>
        </ns0:is>
      </ns0:c>
      <ns0:c r="B80" s="4" t="inlineStr">
        <ns0:is>
          <ns0:t xml:space="preserve">5. Initial password setup and later password changes</ns0:t>
        </ns0:is>
      </ns0:c>
      <ns0:c r="C80" s="4" t="inlineStr">
        <ns0:is>
          <ns0:t xml:space="preserve">Current scope</ns0:t>
        </ns0:is>
      </ns0:c>
      <ns0:c r="D80" s="4" t="inlineStr">
        <ns0:is>
          <ns0: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0" s="4" t="inlineStr">
        <ns0:is>
          <ns0:t xml:space="preserve">FB-004–FB-007, FB-019, FB-023</ns0:t>
        </ns0:is>
      </ns0:c>
      <ns0:c r="F80" s="4" t="inlineStr">
        <ns0:is>
          <ns0:t xml:space="preserve">Stories!B7</ns0:t>
        </ns0:is>
      </ns0:c>
    </ns0:row>
    <ns0:row r="81" ht="52" customHeight="1">
      <ns0:c r="A81" s="28" t="inlineStr">
        <ns0:is>
          <ns0:t xml:space="preserve">REQ-078</ns0:t>
        </ns0:is>
      </ns0:c>
      <ns0:c r="B81" s="28" t="inlineStr">
        <ns0:is>
          <ns0:t xml:space="preserve">5. Initial password setup and later password changes</ns0:t>
        </ns0:is>
      </ns0:c>
      <ns0:c r="C81" s="28" t="inlineStr">
        <ns0:is>
          <ns0:t xml:space="preserve">Current scope</ns0:t>
        </ns0:is>
      </ns0:c>
      <ns0:c r="D81" s="28" t="inlineStr">
        <ns0:is>
          <ns0: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1" s="28" t="inlineStr">
        <ns0:is>
          <ns0:t xml:space="preserve">FB-004–FB-007, FB-019, FB-023</ns0:t>
        </ns0:is>
      </ns0:c>
      <ns0:c r="F81" s="28" t="inlineStr">
        <ns0:is>
          <ns0:t xml:space="preserve">Stories!B7</ns0:t>
        </ns0:is>
      </ns0:c>
    </ns0:row>
    <ns0:row r="82" ht="52" customHeight="1">
      <ns0:c r="A82" s="4" t="inlineStr">
        <ns0:is>
          <ns0:t xml:space="preserve">REQ-079</ns0:t>
        </ns0:is>
      </ns0:c>
      <ns0:c r="B82" s="4" t="inlineStr">
        <ns0:is>
          <ns0:t xml:space="preserve">5. Initial password setup and later password changes</ns0:t>
        </ns0:is>
      </ns0:c>
      <ns0:c r="C82" s="4" t="inlineStr">
        <ns0:is>
          <ns0:t xml:space="preserve">Current scope</ns0:t>
        </ns0:is>
      </ns0:c>
      <ns0:c r="D82" s="4" t="inlineStr">
        <ns0:is>
          <ns0: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ns0:t>
        </ns0:is>
      </ns0:c>
      <ns0:c r="E82" s="4" t="inlineStr">
        <ns0:is>
          <ns0:t xml:space="preserve">FB-004–FB-007, FB-019, FB-023</ns0:t>
        </ns0:is>
      </ns0:c>
      <ns0:c r="F82" s="4" t="inlineStr">
        <ns0:is>
          <ns0:t xml:space="preserve">Stories!B7</ns0:t>
        </ns0:is>
      </ns0:c>
    </ns0:row>
    <ns0:row r="83" ht="61" customHeight="1">
      <ns0:c r="A83" s="28" t="inlineStr">
        <ns0:is>
          <ns0:t xml:space="preserve">REQ-080</ns0:t>
        </ns0:is>
      </ns0:c>
      <ns0:c r="B83" s="28" t="inlineStr">
        <ns0:is>
          <ns0:t xml:space="preserve">5. Initial password setup and later password changes</ns0:t>
        </ns0:is>
      </ns0:c>
      <ns0:c r="C83" s="28" t="inlineStr">
        <ns0:is>
          <ns0:t xml:space="preserve">Current scope</ns0:t>
        </ns0:is>
      </ns0:c>
      <ns0:c r="D83" s="28" t="inlineStr">
        <ns0:is>
          <ns0: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ns0:t>
        </ns0:is>
      </ns0:c>
      <ns0:c r="E83" s="28" t="inlineStr">
        <ns0:is>
          <ns0:t xml:space="preserve">FB-023</ns0:t>
        </ns0:is>
      </ns0:c>
      <ns0:c r="F83" s="28" t="inlineStr">
        <ns0:is>
          <ns0:t xml:space="preserve">Stories!B27</ns0:t>
        </ns0:is>
      </ns0:c>
    </ns0:row>
    <ns0:row r="84" ht="52" customHeight="1">
      <ns0:c r="A84" s="4" t="inlineStr">
        <ns0:is>
          <ns0:t xml:space="preserve">REQ-081</ns0:t>
        </ns0:is>
      </ns0:c>
      <ns0:c r="B84" s="4" t="inlineStr">
        <ns0:is>
          <ns0:t xml:space="preserve">5. Initial password setup and later password changes</ns0:t>
        </ns0:is>
      </ns0:c>
      <ns0:c r="C84" s="4" t="inlineStr">
        <ns0:is>
          <ns0:t xml:space="preserve">Current scope</ns0:t>
        </ns0:is>
      </ns0:c>
      <ns0:c r="D84" s="4" t="inlineStr">
        <ns0:is>
          <ns0:t xml:space="preserve">The common password becomes valid again only through this explicit reset, not as an automatic fallback. The volunteer's old personal password stops working when the reset occurs.</ns0:t>
        </ns0:is>
      </ns0:c>
      <ns0:c r="E84" s="4" t="inlineStr">
        <ns0:is>
          <ns0:t xml:space="preserve">FB-023</ns0:t>
        </ns0:is>
      </ns0:c>
      <ns0:c r="F84" s="4" t="inlineStr">
        <ns0:is>
          <ns0:t xml:space="preserve">Stories!B27</ns0:t>
        </ns0:is>
      </ns0:c>
    </ns0:row>
    <ns0:row r="85" ht="52" customHeight="1">
      <ns0:c r="A85" s="28" t="inlineStr">
        <ns0:is>
          <ns0:t xml:space="preserve">REQ-082</ns0:t>
        </ns0:is>
      </ns0:c>
      <ns0:c r="B85" s="28" t="inlineStr">
        <ns0:is>
          <ns0:t xml:space="preserve">5. Initial password setup and later password changes</ns0:t>
        </ns0:is>
      </ns0:c>
      <ns0:c r="C85" s="28" t="inlineStr">
        <ns0:is>
          <ns0:t xml:space="preserve">Current scope</ns0:t>
        </ns0:is>
      </ns0:c>
      <ns0:c r="D85" s="28" t="inlineStr">
        <ns0:is>
          <ns0:t xml:space="preserve">Managers who forget their password ask the Super Admin to reset it. The reset uses the same configured common password and required password-setup cycle as volunteer resets.</ns0:t>
        </ns0:is>
      </ns0:c>
      <ns0:c r="E85" s="28" t="inlineStr">
        <ns0:is>
          <ns0:t xml:space="preserve">FB-023</ns0:t>
        </ns0:is>
      </ns0:c>
      <ns0:c r="F85" s="28" t="inlineStr">
        <ns0:is>
          <ns0:t xml:space="preserve">Stories!B27</ns0:t>
        </ns0:is>
      </ns0:c>
    </ns0:row>
    <ns0:row r="86" ht="52" customHeight="1">
      <ns0:c r="A86" s="4" t="inlineStr">
        <ns0:is>
          <ns0:t xml:space="preserve">REQ-083</ns0:t>
        </ns0:is>
      </ns0:c>
      <ns0:c r="B86" s="4" t="inlineStr">
        <ns0:is>
          <ns0:t xml:space="preserve">5. Initial password setup and later password changes</ns0:t>
        </ns0:is>
      </ns0:c>
      <ns0:c r="C86" s="4" t="inlineStr">
        <ns0:is>
          <ns0:t xml:space="preserve">Current scope</ns0:t>
        </ns0:is>
      </ns0:c>
      <ns0:c r="D86" s="4" t="inlineStr">
        <ns0:is>
          <ns0:t xml:space="preserve">Administrative password resets immediately end all existing sessions for the affected account, including both volunteers and managers.</ns0:t>
        </ns0:is>
      </ns0:c>
      <ns0:c r="E86" s="4" t="inlineStr">
        <ns0:is>
          <ns0:t xml:space="preserve">FB-023</ns0:t>
        </ns0:is>
      </ns0:c>
      <ns0:c r="F86" s="4" t="inlineStr">
        <ns0:is>
          <ns0:t xml:space="preserve">Stories!B27</ns0:t>
        </ns0:is>
      </ns0:c>
    </ns0:row>
    <ns0:row r="87" ht="52" customHeight="1">
      <ns0:c r="A87" s="28" t="inlineStr">
        <ns0:is>
          <ns0:t xml:space="preserve">REQ-084</ns0:t>
        </ns0:is>
      </ns0:c>
      <ns0:c r="B87" s="28" t="inlineStr">
        <ns0:is>
          <ns0:t xml:space="preserve">5. Initial password setup and later password changes</ns0:t>
        </ns0:is>
      </ns0:c>
      <ns0:c r="C87" s="28" t="inlineStr">
        <ns0:is>
          <ns0:t xml:space="preserve">Current scope</ns0:t>
        </ns0:is>
      </ns0:c>
      <ns0:c r="D87" s="28" t="inlineStr">
        <ns0:is>
          <ns0:t xml:space="preserve">The Super Admin can reset passwords for both managers and volunteers, using the same reset and required setup process.</ns0:t>
        </ns0:is>
      </ns0:c>
      <ns0:c r="E87" s="28" t="inlineStr">
        <ns0:is>
          <ns0:t xml:space="preserve">FB-023</ns0:t>
        </ns0:is>
      </ns0:c>
      <ns0:c r="F87" s="28" t="inlineStr">
        <ns0:is>
          <ns0:t xml:space="preserve">Stories!B27</ns0:t>
        </ns0:is>
      </ns0:c>
    </ns0:row>
    <ns0:row r="88" ht="52" customHeight="1">
      <ns0:c r="A88" s="4" t="inlineStr">
        <ns0:is>
          <ns0:t xml:space="preserve">REQ-085</ns0:t>
        </ns0:is>
      </ns0:c>
      <ns0:c r="B88" s="4" t="inlineStr">
        <ns0:is>
          <ns0:t xml:space="preserve">5. Initial password setup and later password changes</ns0:t>
        </ns0:is>
      </ns0:c>
      <ns0:c r="C88" s="4" t="inlineStr">
        <ns0:is>
          <ns0:t xml:space="preserve">Current scope</ns0:t>
        </ns0:is>
      </ns0:c>
      <ns0:c r="D88" s="4" t="inlineStr">
        <ns0:is>
          <ns0: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ns0:t>
        </ns0:is>
      </ns0:c>
      <ns0:c r="E88" s="4" t="inlineStr">
        <ns0:is>
          <ns0:t xml:space="preserve">FB-023</ns0:t>
        </ns0:is>
      </ns0:c>
      <ns0:c r="F88" s="4" t="inlineStr">
        <ns0:is>
          <ns0:t xml:space="preserve">Stories!B27</ns0:t>
        </ns0:is>
      </ns0:c>
    </ns0:row>
    <ns0:row r="89" ht="52" customHeight="1">
      <ns0:c r="A89" s="28" t="inlineStr">
        <ns0:is>
          <ns0:t xml:space="preserve">REQ-086</ns0:t>
        </ns0:is>
      </ns0:c>
      <ns0:c r="B89" s="28" t="inlineStr">
        <ns0:is>
          <ns0:t xml:space="preserve">5. Initial password setup and later password changes</ns0:t>
        </ns0:is>
      </ns0:c>
      <ns0:c r="C89" s="28" t="inlineStr">
        <ns0:is>
          <ns0:t xml:space="preserve">Current scope</ns0:t>
        </ns0:is>
      </ns0:c>
      <ns0:c r="D89" s="28" t="inlineStr">
        <ns0:is>
          <ns0:t xml:space="preserve">Password resets preserve the account's Active/Inactive status. An inactive account remains blocked from login until separately reactivated by an authorized user.</ns0:t>
        </ns0:is>
      </ns0:c>
      <ns0:c r="E89" s="28" t="inlineStr">
        <ns0:is>
          <ns0:t xml:space="preserve">FB-023</ns0:t>
        </ns0:is>
      </ns0:c>
      <ns0:c r="F89" s="28" t="inlineStr">
        <ns0:is>
          <ns0:t xml:space="preserve">Stories!B27</ns0:t>
        </ns0:is>
      </ns0:c>
    </ns0:row>
    <ns0:row r="90" ht="76" customHeight="1">
      <ns0:c r="A90" s="4" t="inlineStr">
        <ns0:is>
          <ns0:t xml:space="preserve">REQ-087</ns0:t>
        </ns0:is>
      </ns0:c>
      <ns0:c r="B90" s="4" t="inlineStr">
        <ns0:is>
          <ns0:t xml:space="preserve">5. Initial password setup and later password changes</ns0:t>
        </ns0:is>
      </ns0:c>
      <ns0:c r="C90" s="4" t="inlineStr">
        <ns0:is>
          <ns0:t xml:space="preserve">Current scope</ns0:t>
        </ns0:is>
      </ns0:c>
      <ns0:c r="D90" s="4" t="inlineStr">
        <ns0:is>
          <ns0: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ns0:t>
        </ns0:is>
      </ns0:c>
      <ns0:c r="E90" s="4" t="inlineStr">
        <ns0:is>
          <ns0:t xml:space="preserve">FB-070</ns0:t>
        </ns0:is>
      </ns0:c>
      <ns0:c r="F90" s="4" t="inlineStr">
        <ns0:is>
          <ns0:t xml:space="preserve">Stories!B73</ns0:t>
        </ns0:is>
      </ns0:c>
    </ns0:row>
    <ns0:row r="91" ht="52" customHeight="1">
      <ns0:c r="A91" s="28" t="inlineStr">
        <ns0:is>
          <ns0:t xml:space="preserve">REQ-088</ns0:t>
        </ns0:is>
      </ns0:c>
      <ns0:c r="B91" s="28" t="inlineStr">
        <ns0:is>
          <ns0:t xml:space="preserve">5. Initial password setup and later password changes</ns0:t>
        </ns0:is>
      </ns0:c>
      <ns0:c r="C91" s="28" t="inlineStr">
        <ns0:is>
          <ns0:t xml:space="preserve">Current scope</ns0:t>
        </ns0:is>
      </ns0:c>
      <ns0:c r="D91" s="28" t="inlineStr">
        <ns0:is>
          <ns0:t xml:space="preserve">Implement Super Admin recovery last in the implementation list, as requested. It remains in the agreed first-version scope.</ns0:t>
        </ns0:is>
      </ns0:c>
      <ns0:c r="E91" s="28" t="inlineStr">
        <ns0:is>
          <ns0:t xml:space="preserve">FB-070</ns0:t>
        </ns0:is>
      </ns0:c>
      <ns0:c r="F91" s="28" t="inlineStr">
        <ns0:is>
          <ns0:t xml:space="preserve">Stories!B73</ns0:t>
        </ns0:is>
      </ns0:c>
    </ns0:row>
    <ns0:row r="92" ht="52" customHeight="1">
      <ns0:c r="A92" s="4" t="inlineStr">
        <ns0:is>
          <ns0:t xml:space="preserve">REQ-089</ns0:t>
        </ns0:is>
      </ns0:c>
      <ns0:c r="B92" s="4" t="inlineStr">
        <ns0:is>
          <ns0:t xml:space="preserve">5. Initial password setup and later password changes</ns0:t>
        </ns0:is>
      </ns0:c>
      <ns0:c r="C92" s="4" t="inlineStr">
        <ns0:is>
          <ns0:t xml:space="preserve">Current scope</ns0:t>
        </ns0:is>
      </ns0:c>
      <ns0:c r="D92" s="4" t="inlineStr">
        <ns0:is>
          <ns0:t xml:space="preserve">All users can also change their own password later.</ns0:t>
        </ns0:is>
      </ns0:c>
      <ns0:c r="E92" s="4" t="inlineStr">
        <ns0:is>
          <ns0:t xml:space="preserve">FB-024</ns0:t>
        </ns0:is>
      </ns0:c>
      <ns0:c r="F92" s="4" t="inlineStr">
        <ns0:is>
          <ns0:t xml:space="preserve">Stories!B16</ns0:t>
        </ns0:is>
      </ns0:c>
    </ns0:row>
    <ns0:row r="93" ht="52" customHeight="1">
      <ns0:c r="A93" s="28" t="inlineStr">
        <ns0:is>
          <ns0:t xml:space="preserve">REQ-090</ns0:t>
        </ns0:is>
      </ns0:c>
      <ns0:c r="B93" s="28" t="inlineStr">
        <ns0:is>
          <ns0:t xml:space="preserve">5. Initial password setup and later password changes</ns0:t>
        </ns0:is>
      </ns0:c>
      <ns0:c r="C93" s="28" t="inlineStr">
        <ns0:is>
          <ns0:t xml:space="preserve">Current scope</ns0:t>
        </ns0:is>
      </ns0:c>
      <ns0:c r="D93" s="28" t="inlineStr">
        <ns0:is>
          <ns0: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3" s="28" t="inlineStr">
        <ns0:is>
          <ns0:t xml:space="preserve">FB-024</ns0:t>
        </ns0:is>
      </ns0:c>
      <ns0:c r="F93" s="28" t="inlineStr">
        <ns0:is>
          <ns0:t xml:space="preserve">Stories!B16</ns0:t>
        </ns0:is>
      </ns0:c>
    </ns0:row>
    <ns0:row r="94" ht="52" customHeight="1">
      <ns0:c r="A94" s="4" t="inlineStr">
        <ns0:is>
          <ns0:t xml:space="preserve">REQ-091</ns0:t>
        </ns0:is>
      </ns0:c>
      <ns0:c r="B94" s="4" t="inlineStr">
        <ns0:is>
          <ns0:t xml:space="preserve">5. Initial password setup and later password changes</ns0:t>
        </ns0:is>
      </ns0:c>
      <ns0:c r="C94" s="4" t="inlineStr">
        <ns0:is>
          <ns0:t xml:space="preserve">Current scope</ns0:t>
        </ns0:is>
      </ns0:c>
      <ns0:c r="D94" s="4" t="inlineStr">
        <ns0:is>
          <ns0: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4" s="4" t="inlineStr">
        <ns0:is>
          <ns0:t xml:space="preserve">FB-024</ns0:t>
        </ns0:is>
      </ns0:c>
      <ns0:c r="F94" s="4" t="inlineStr">
        <ns0:is>
          <ns0:t xml:space="preserve">Stories!B16</ns0:t>
        </ns0:is>
      </ns0:c>
    </ns0:row>
    <ns0:row r="95" ht="52" customHeight="1">
      <ns0:c r="A95" s="28" t="inlineStr">
        <ns0:is>
          <ns0:t xml:space="preserve">REQ-092</ns0:t>
        </ns0:is>
      </ns0:c>
      <ns0:c r="B95" s="28" t="inlineStr">
        <ns0:is>
          <ns0:t xml:space="preserve">5. Initial password setup and later password changes</ns0:t>
        </ns0:is>
      </ns0:c>
      <ns0:c r="C95" s="28" t="inlineStr">
        <ns0:is>
          <ns0:t xml:space="preserve">Current scope</ns0:t>
        </ns0:is>
      </ns0:c>
      <ns0:c r="D95" s="28" t="inlineStr">
        <ns0:is>
          <ns0: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ns0:t>
        </ns0:is>
      </ns0:c>
      <ns0:c r="E95" s="28" t="inlineStr">
        <ns0:is>
          <ns0:t xml:space="preserve">FB-004–FB-007, FB-019, FB-023</ns0:t>
        </ns0:is>
      </ns0:c>
      <ns0:c r="F95" s="28" t="inlineStr">
        <ns0:is>
          <ns0:t xml:space="preserve">Stories!B7</ns0:t>
        </ns0:is>
      </ns0:c>
    </ns0:row>
    <ns0:row r="96" ht="61" customHeight="1">
      <ns0:c r="A96" s="4" t="inlineStr">
        <ns0:is>
          <ns0:t xml:space="preserve">REQ-093</ns0:t>
        </ns0:is>
      </ns0:c>
      <ns0:c r="B96" s="4" t="inlineStr">
        <ns0:is>
          <ns0:t xml:space="preserve">5. Initial password setup and later password changes</ns0:t>
        </ns0:is>
      </ns0:c>
      <ns0:c r="C96" s="4" t="inlineStr">
        <ns0:is>
          <ns0:t xml:space="preserve">Current scope</ns0:t>
        </ns0:is>
      </ns0:c>
      <ns0:c r="D96" s="4" t="inlineStr">
        <ns0:is>
          <ns0: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6" s="4" t="inlineStr">
        <ns0:is>
          <ns0:t xml:space="preserve">FB-007, FB-024, FB-069, FB-070</ns0:t>
        </ns0:is>
      </ns0:c>
      <ns0:c r="F96" s="4" t="inlineStr">
        <ns0:is>
          <ns0:t xml:space="preserve">Stories!B15</ns0:t>
        </ns0:is>
      </ns0:c>
    </ns0:row>
    <ns0:row r="97" ht="52" customHeight="1">
      <ns0:c r="A97" s="28" t="inlineStr">
        <ns0:is>
          <ns0:t xml:space="preserve">REQ-094</ns0:t>
        </ns0:is>
      </ns0:c>
      <ns0:c r="B97" s="28" t="inlineStr">
        <ns0:is>
          <ns0:t xml:space="preserve">5. Initial password setup and later password changes</ns0:t>
        </ns0:is>
      </ns0:c>
      <ns0:c r="C97" s="28" t="inlineStr">
        <ns0:is>
          <ns0:t xml:space="preserve">##FUTURE</ns0:t>
        </ns0:is>
      </ns0:c>
      <ns0:c r="D97" s="28" t="inlineStr">
        <ns0:is>
          <ns0:t xml:space="preserve">##FUTURE Email links allowing new users to set their own password.</ns0:t>
        </ns0:is>
      </ns0:c>
      <ns0:c r="E97" s="28" t="inlineStr">
        <ns0:is>
          <ns0:t xml:space="preserve">Deferred — no current item</ns0:t>
        </ns0:is>
      </ns0:c>
      <ns0:c r="F97" s="28" t="inlineStr">
        <ns0:is>
          <ns0:t xml:space="preserve">Deferred</ns0:t>
        </ns0:is>
      </ns0:c>
    </ns0:row>
    <ns0:row r="98" ht="76.0" customHeight="1">
      <ns0:c r="A98" s="4" t="inlineStr">
        <ns0:is>
          <ns0:t xml:space="preserve">REQ-095</ns0:t>
        </ns0:is>
      </ns0:c>
      <ns0:c r="B98" s="4" t="inlineStr">
        <ns0:is>
          <ns0:t xml:space="preserve">Inventory management — first version, planning complete</ns0:t>
        </ns0:is>
      </ns0:c>
      <ns0:c r="C98" s="4" t="inlineStr">
        <ns0:is>
          <ns0:t xml:space="preserve">Current scope</ns0:t>
        </ns0:is>
      </ns0:c>
      <ns0:c r="D98" s="4" t="inlineStr">
        <ns0:is>
          <ns0:t>2026-10-31 finalized: Package definitions belong to Stock Management, not catalogue Products. Contents units: g/kg, ml/litres or individual items. Weight/volume contents positive with at most three decimal places; individual-item contents positive whole numbers. Movements count whole packages only; 500 g and 1 kg bags are separate stock items, not separate catalogue Products. No splitting or repacking workflow.</ns0:t>
        </ns0:is>
      </ns0:c>
      <ns0:c r="E98" s="4" t="inlineStr">
        <ns0:is>
          <ns0:t xml:space="preserve">FB-032–FB-037, FB-047–FB-053</ns0:t>
        </ns0:is>
      </ns0:c>
      <ns0:c r="F98" s="4" t="inlineStr">
        <ns0:is>
          <ns0:t xml:space="preserve">Stories!B35</ns0:t>
        </ns0:is>
      </ns0:c>
    </ns0:row>
    <ns0:row r="99" ht="52" customHeight="1">
      <ns0:c r="A99" s="28" t="inlineStr">
        <ns0:is>
          <ns0:t xml:space="preserve">REQ-096</ns0:t>
        </ns0:is>
      </ns0:c>
      <ns0:c r="B99" s="28" t="inlineStr">
        <ns0:is>
          <ns0:t xml:space="preserve">Inventory management — first version, planning complete</ns0:t>
        </ns0:is>
      </ns0:c>
      <ns0:c r="C99" s="28" t="inlineStr">
        <ns0:is>
          <ns0:t xml:space="preserve">Current scope</ns0:t>
        </ns0:is>
      </ns0:c>
      <ns0:c r="D99" s="28" t="inlineStr">
        <ns0:is>
          <ns0:t xml:space="preserve">Track individual products.</ns0:t>
        </ns0:is>
      </ns0:c>
      <ns0:c r="E99" s="28" t="inlineStr">
        <ns0:is>
          <ns0:t xml:space="preserve">FB-032–FB-037, FB-047–FB-053</ns0:t>
        </ns0:is>
      </ns0:c>
      <ns0:c r="F99" s="28" t="inlineStr">
        <ns0:is>
          <ns0:t xml:space="preserve">Stories!B35</ns0:t>
        </ns0:is>
      </ns0:c>
    </ns0:row>
    <ns0:row r="100" ht="65" customHeight="1">
      <ns0:c r="A100" s="4" t="inlineStr">
        <ns0:is>
          <ns0:t xml:space="preserve">REQ-097</ns0:t>
        </ns0:is>
      </ns0:c>
      <ns0:c r="B100" s="4" t="inlineStr">
        <ns0:is>
          <ns0:t xml:space="preserve">Inventory management — first version, planning complete</ns0:t>
        </ns0:is>
      </ns0:c>
      <ns0:c r="C100" s="4" t="inlineStr">
        <ns0:is>
          <ns0:t>Current scope</ns0:t>
        </ns0:is>
      </ns0:c>
      <ns0:c r="D100" s="4" t="inlineStr">
        <ns0:is>
          <ns0:t>2026-10-31 finalized: No visible Product codes in version one: no generation, code column, display, search or backfill. Keep internal database IDs and identify stock items by Product, optional brand and package size.</ns0:t>
        </ns0:is>
      </ns0:c>
      <ns0:c r="E100" s="4" t="str">
        <ns0:v>FB-035 (after FB-067, before FB-034)</ns0:v>
      </ns0:c>
      <ns0:c r="F100" s="4" t="inlineStr">
        <ns0:is>
          <ns0:t xml:space="preserve">Stories!B37</ns0:t>
        </ns0:is>
      </ns0:c>
    </ns0:row>
    <ns0:row r="101" ht="52" customHeight="1">
      <ns0:c r="A101" s="28" t="inlineStr">
        <ns0:is>
          <ns0:t xml:space="preserve">REQ-098</ns0:t>
        </ns0:is>
      </ns0:c>
      <ns0:c r="B101" s="28" t="inlineStr">
        <ns0:is>
          <ns0:t xml:space="preserve">Inventory management — first version, planning complete</ns0:t>
        </ns0:is>
      </ns0:c>
      <ns0:c r="C101" s="28" t="inlineStr">
        <ns0:is>
          <ns0:t xml:space="preserve">Current scope</ns0:t>
        </ns0:is>
      </ns0:c>
      <ns0:c r="D101" s="28" t="str">
        <ns0:v>2026-10-30 revised developer-approved agreement (supersedes previous four-level/brand/tag catalogue requirements): Catalogue has exactly three levels: Department → Category → Product. Remove Subcategory entirely. Example Food → Grains → Rice. Rebuild practice catalogue using rewritten create-table migrations and realistic seeders, no add-column migrations. Developer will run migrate:fresh --seed; assistant must not reset local database.</ns0:v>
      </ns0:c>
      <ns0:c r="E101" s="28" t="inlineStr">
        <ns0:is>
          <ns0:t xml:space="preserve">FB-026–FB-030, FB-032</ns0:t>
        </ns0:is>
      </ns0:c>
      <ns0:c r="F101" s="28" t="inlineStr">
        <ns0:is>
          <ns0:t xml:space="preserve">Stories!B29</ns0:t>
        </ns0:is>
      </ns0:c>
    </ns0:row>
    <ns0:row r="102" ht="61" customHeight="1">
      <ns0:c r="A102" s="4" t="inlineStr">
        <ns0:is>
          <ns0:t xml:space="preserve">REQ-099</ns0:t>
        </ns0:is>
      </ns0:c>
      <ns0:c r="B102" s="4" t="inlineStr">
        <ns0:is>
          <ns0:t xml:space="preserve">Inventory management — first version, planning complete</ns0:t>
        </ns0:is>
      </ns0:c>
      <ns0:c r="C102" s="4" t="inlineStr">
        <ns0:is>
          <ns0:t xml:space="preserve">Current scope</ns0:t>
        </ns0:is>
      </ns0:c>
      <ns0:c r="D102" s="4" t="str">
        <ns0:v>2026-10-30 revised developer-approved agreement (supersedes previous four-level/brand/tag catalogue requirements): Each Product belongs directly to one Category; each Category belongs to one Department. Stock references Product, not Category. Product category changes move the complete stock grouping without recreating quantities or history.</ns0:v>
      </ns0:c>
      <ns0:c r="E102" s="4" t="inlineStr">
        <ns0:is>
          <ns0:t xml:space="preserve">FB-026–FB-030, FB-032</ns0:t>
        </ns0:is>
      </ns0:c>
      <ns0:c r="F102" s="4" t="inlineStr">
        <ns0:is>
          <ns0:t xml:space="preserve">Stories!B29</ns0:t>
        </ns0:is>
      </ns0:c>
    </ns0:row>
    <ns0:row r="103" ht="65" customHeight="1">
      <ns0:c r="A103" s="28" t="inlineStr">
        <ns0:is>
          <ns0:t xml:space="preserve">REQ-100</ns0:t>
        </ns0:is>
      </ns0:c>
      <ns0:c r="B103" s="28" t="inlineStr">
        <ns0:is>
          <ns0:t xml:space="preserve">Inventory management — first version, planning complete</ns0:t>
        </ns0:is>
      </ns0:c>
      <ns0:c r="C103" s="28" t="inlineStr">
        <ns0:is>
          <ns0:t xml:space="preserve">Current scope</ns0:t>
        </ns0:is>
      </ns0:c>
      <ns0:c r="D103" s="28" t="inlineStr">
        <ns0:is>
          <ns0:t xml:space="preserve">2026-10-31 finalized: Department/Category/Product names are required. Department names globally unique; Category names unique within Department; Product names unique within Category after existing normalization. No Product Active/Inactive distinction in version one.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03" s="28" t="inlineStr">
        <ns0:is>
          <ns0:t xml:space="preserve">FB-026–FB-030, FB-032</ns0:t>
        </ns0:is>
      </ns0:c>
      <ns0:c r="F103" s="28" t="inlineStr">
        <ns0:is>
          <ns0:t xml:space="preserve">Stories!B29</ns0:t>
        </ns0:is>
      </ns0:c>
    </ns0:row>
    <ns0:row r="104" ht="61" customHeight="1">
      <ns0:c r="A104" s="4" t="inlineStr">
        <ns0:is>
          <ns0:t xml:space="preserve">REQ-101</ns0:t>
        </ns0:is>
      </ns0:c>
      <ns0:c r="B104" s="4" t="inlineStr">
        <ns0:is>
          <ns0:t xml:space="preserve">Inventory management — first version, planning complete</ns0:t>
        </ns0:is>
      </ns0:c>
      <ns0:c r="C104" s="4" t="inlineStr">
        <ns0:is>
          <ns0:t xml:space="preserve">Current scope</ns0:t>
        </ns0:is>
      </ns0:c>
      <ns0:c r="D104" s="4" t="str">
        <ns0:v>2026-10-30 revised developer-approved agreement (supersedes previous four-level/brand/tag catalogue requirements): Department/Category/Product names may be corrected while preserving IDs and links. Product category may change even after stock arrives. Stock history displays current category, not historical category snapshots. Previous first-receipt category lock is explicitly superseded.</ns0:v>
      </ns0:c>
      <ns0:c r="E104" s="4" t="inlineStr">
        <ns0:is>
          <ns0:t xml:space="preserve">FB-026–FB-030, FB-032</ns0:t>
        </ns0:is>
      </ns0:c>
      <ns0:c r="F104" s="4" t="inlineStr">
        <ns0:is>
          <ns0:t xml:space="preserve">Stories!B29</ns0:t>
        </ns0:is>
      </ns0:c>
    </ns0:row>
    <ns0:row r="105" ht="52" customHeight="1">
      <ns0:c r="A105" s="28" t="inlineStr">
        <ns0:is>
          <ns0:t xml:space="preserve">REQ-102</ns0:t>
        </ns0:is>
      </ns0:c>
      <ns0:c r="B105" s="28" t="inlineStr">
        <ns0:is>
          <ns0:t xml:space="preserve">Inventory management — first version, planning complete</ns0:t>
        </ns0:is>
      </ns0:c>
      <ns0:c r="C105" s="28" t="inlineStr">
        <ns0:is>
          <ns0:t xml:space="preserve">##FUTURE</ns0:t>
        </ns0:is>
      </ns0:c>
      <ns0:c r="D105" s="28" t="str">
        <ns0:v>2026-10-30 revised developer-approved agreement (supersedes previous four-level/brand/tag catalogue requirements): ##FUTURE Deletion of catalogue Departments/Categories/Products. Current scope allows Category department changes and Product category changes; no Subcategory exists.</ns0:v>
      </ns0:c>
      <ns0:c r="E105" s="28" t="inlineStr">
        <ns0:is>
          <ns0:t xml:space="preserve">Deferred — no current item</ns0:t>
        </ns0:is>
      </ns0:c>
      <ns0:c r="F105" s="28" t="inlineStr">
        <ns0:is>
          <ns0:t xml:space="preserve">Deferred</ns0:t>
        </ns0:is>
      </ns0:c>
    </ns0:row>
    <ns0:row r="106" ht="65" customHeight="1">
      <ns0:c r="A106" s="4" t="inlineStr">
        <ns0:is>
          <ns0:t xml:space="preserve">REQ-103</ns0:t>
        </ns0:is>
      </ns0:c>
      <ns0:c r="B106" s="4" t="inlineStr">
        <ns0:is>
          <ns0:t xml:space="preserve">Inventory management — first version, planning complete</ns0:t>
        </ns0:is>
      </ns0:c>
      <ns0:c r="C106" s="4" t="inlineStr">
        <ns0:is>
          <ns0:t xml:space="preserve">Current scope</ns0:t>
        </ns0:is>
      </ns0:c>
      <ns0:c r="D106" s="4" t="inlineStr">
        <ns0:is>
          <ns0:t>2026-10-31 finalized: No catalogue or stock tags in version one. No tag management, selection, filters, shared tag records or pivots. Earlier optional stock-tag proposals are superseded; no later tag implementation is authorized.</ns0:t>
        </ns0:is>
      </ns0:c>
      <ns0:c r="E106" s="4" t="inlineStr">
        <ns0:is>
          <ns0:t xml:space="preserve">FB-031, FB-037, FB-048</ns0:t>
        </ns0:is>
      </ns0:c>
      <ns0:c r="F106" s="4" t="inlineStr">
        <ns0:is>
          <ns0:t xml:space="preserve">Stories!B34</ns0:t>
        </ns0:is>
      </ns0:c>
    </ns0:row>
    <ns0:row r="107" ht="65" customHeight="1">
      <ns0:c r="A107" s="28" t="inlineStr">
        <ns0:is>
          <ns0:t xml:space="preserve">REQ-104</ns0:t>
        </ns0:is>
      </ns0:c>
      <ns0:c r="B107" s="28" t="inlineStr">
        <ns0:is>
          <ns0:t xml:space="preserve">Inventory management — first version, planning complete</ns0:t>
        </ns0:is>
      </ns0:c>
      <ns0:c r="C107" s="28" t="inlineStr">
        <ns0:is>
          <ns0:t xml:space="preserve">Current scope</ns0:t>
        </ns0:is>
      </ns0:c>
      <ns0:c r="D107" s="28" t="inlineStr">
        <ns0:is>
          <ns0:t>2026-10-31 finalized: Stock tags excluded from version one. Tags do not form part of stock-item identity. No confirmed version-two tag feature; reconsider only through a later scope discussion.</ns0:t>
        </ns0:is>
      </ns0:c>
      <ns0:c r="E107" s="28" t="str">
        <ns0:v>FB-031, FB-037, FB-040, FB-044, FB-048</ns0:v>
      </ns0:c>
      <ns0:c r="F107" s="28" t="inlineStr">
        <ns0:is>
          <ns0:t xml:space="preserve">Stories!B34</ns0:t>
        </ns0:is>
      </ns0:c>
    </ns0:row>
    <ns0:row r="108" ht="65" customHeight="1">
      <ns0:c r="A108" s="4" t="inlineStr">
        <ns0:is>
          <ns0:t xml:space="preserve">REQ-105</ns0:t>
        </ns0:is>
      </ns0:c>
      <ns0:c r="B108" s="4" t="inlineStr">
        <ns0:is>
          <ns0:t xml:space="preserve">Inventory management — first version, planning complete</ns0:t>
        </ns0:is>
      </ns0:c>
      <ns0:c r="C108" s="4" t="inlineStr">
        <ns0:is>
          <ns0:t xml:space="preserve">Current scope</ns0:t>
        </ns0:is>
      </ns0:c>
      <ns0:c r="D108" s="4" t="inlineStr">
        <ns0:is>
          <ns0:t>2026-10-31 finalized: No stock tag UI, policy or fields in version one. Do not interpret absence of a dietary label as a dietary claim.</ns0:t>
        </ns0:is>
      </ns0:c>
      <ns0:c r="E108" s="4" t="inlineStr">
        <ns0:is>
          <ns0:t xml:space="preserve">FB-031, FB-037, FB-048</ns0:t>
        </ns0:is>
      </ns0:c>
      <ns0:c r="F108" s="4" t="inlineStr">
        <ns0:is>
          <ns0:t xml:space="preserve">Stories!B34</ns0:t>
        </ns0:is>
      </ns0:c>
    </ns0:row>
    <ns0:row r="109" ht="65" customHeight="1">
      <ns0:c r="A109" s="28" t="inlineStr">
        <ns0:is>
          <ns0:t xml:space="preserve">REQ-106</ns0:t>
        </ns0:is>
      </ns0:c>
      <ns0:c r="B109" s="28" t="inlineStr">
        <ns0:is>
          <ns0:t xml:space="preserve">Inventory management — first version, planning complete</ns0:t>
        </ns0:is>
      </ns0:c>
      <ns0:c r="C109" s="28" t="inlineStr">
        <ns0:is>
          <ns0:t xml:space="preserve">Current scope</ns0:t>
        </ns0:is>
      </ns0:c>
      <ns0:c r="D109" s="28" t="inlineStr">
        <ns0:is>
          <ns0:t>2026-10-31 finalized: Catalogue Products are generic, e.g. Rice. A stock item is Product + optional brand text + reusable package definition; each combination has separate balance/history. Normalize brand case and extra spaces for duplicate checks, including one consistent unbranded representation.</ns0:t>
        </ns0:is>
      </ns0:c>
      <ns0:c r="E109" s="28" t="inlineStr">
        <ns0:is>
          <ns0:t xml:space="preserve">FB-032–FB-037, FB-047–FB-053</ns0:t>
        </ns0:is>
      </ns0:c>
      <ns0:c r="F109" s="28" t="inlineStr">
        <ns0:is>
          <ns0:t xml:space="preserve">Stories!B35</ns0:t>
        </ns0:is>
      </ns0:c>
    </ns0:row>
    <ns0:row r="110" ht="65" customHeight="1">
      <ns0:c r="A110" s="4" t="inlineStr">
        <ns0:is>
          <ns0:t xml:space="preserve">REQ-107</ns0:t>
        </ns0:is>
      </ns0:c>
      <ns0:c r="B110" s="4" t="inlineStr">
        <ns0:is>
          <ns0:t xml:space="preserve">Inventory management — first version, planning complete</ns0:t>
        </ns0:is>
      </ns0:c>
      <ns0:c r="C110" s="4" t="inlineStr">
        <ns0:is>
          <ns0:t xml:space="preserve">Current scope</ns0:t>
        </ns0:is>
      </ns0:c>
      <ns0:c r="D110" s="4" t="inlineStr">
        <ns0:is>
          <ns0:t>2026-10-31 finalized: Brand is an optional text field on each stock item; empty means unbranded. No shared Brand table/list/resource. Managers/Super Admin enter it during stock setup; Volunteers select existing stock items. Spelling correction must not create a duplicate combination.</ns0:t>
        </ns0:is>
      </ns0:c>
      <ns0:c r="E110" s="4" t="inlineStr">
        <ns0:is>
          <ns0:t xml:space="preserve">FB-032–FB-037, FB-047–FB-053</ns0:t>
        </ns0:is>
      </ns0:c>
      <ns0:c r="F110" s="4" t="inlineStr">
        <ns0:is>
          <ns0:t xml:space="preserve">Stories!B35</ns0:t>
        </ns0:is>
      </ns0:c>
    </ns0:row>
    <ns0:row r="111" ht="66.14285714285714" customHeight="1">
      <ns0:c r="A111" s="28" t="inlineStr">
        <ns0:is>
          <ns0:t xml:space="preserve">REQ-108</ns0:t>
        </ns0:is>
      </ns0:c>
      <ns0:c r="B111" s="28" t="inlineStr">
        <ns0:is>
          <ns0:t xml:space="preserve">Inventory management — first version, planning complete</ns0:t>
        </ns0:is>
      </ns0:c>
      <ns0:c r="C111" s="28" t="inlineStr">
        <ns0:is>
          <ns0:t xml:space="preserve">Current scope</ns0:t>
        </ns0:is>
      </ns0:c>
      <ns0:c r="D111" s="28" t="inlineStr">
        <ns0:is>
          <ns0:t xml:space="preserve">2026-10-31 finalized: Catalogue Product form contains Department/Category selection and Product name; save category_id/name and derive Department through Category. Remove Product status controls/storage/filter behaviour in a scoped lesson. No brand, tags, package, stock measurements, balances, history, codes or Subcategory fields in catalogue.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11" s="28" t="inlineStr">
        <ns0:is>
          <ns0:t xml:space="preserve">FB-032–FB-037, FB-047–FB-053</ns0:t>
        </ns0:is>
      </ns0:c>
      <ns0:c r="F111" s="28" t="inlineStr">
        <ns0:is>
          <ns0:t xml:space="preserve">Stories!B35</ns0:t>
        </ns0:is>
      </ns0:c>
    </ns0:row>
    <ns0:row r="112" ht="65" customHeight="1">
      <ns0:c r="A112" s="4" t="inlineStr">
        <ns0:is>
          <ns0:t xml:space="preserve">REQ-109</ns0:t>
        </ns0:is>
      </ns0:c>
      <ns0:c r="B112" s="4" t="inlineStr">
        <ns0:is>
          <ns0:t xml:space="preserve">Inventory management — first version, planning complete</ns0:t>
        </ns0:is>
      </ns0:c>
      <ns0:c r="C112" s="4" t="inlineStr">
        <ns0:is>
          <ns0:t xml:space="preserve">Current scope</ns0:t>
        </ns0:is>
      </ns0:c>
      <ns0:c r="D112" s="4" t="inlineStr">
        <ns0:is>
          <ns0:t>2026-10-31 finalized: Block normalized same-name Products within the same Category. Same name in another Category requires explicit confirmation showing current paths on Create/Edit name/category changes. Cancel or changing identity fields clears acknowledgement. Preserve Product ID. Product status-only edit path is removed.</ns0:t>
        </ns0:is>
      </ns0:c>
      <ns0:c r="E112" s="4" t="inlineStr">
        <ns0:is>
          <ns0:t xml:space="preserve">FB-036</ns0:t>
        </ns0:is>
      </ns0:c>
      <ns0:c r="F112" s="4" t="inlineStr">
        <ns0:is>
          <ns0:t xml:space="preserve">Stories!B38</ns0:t>
        </ns0:is>
      </ns0:c>
    </ns0:row>
    <ns0:row r="113" ht="65" customHeight="1">
      <ns0:c r="A113" s="28" t="inlineStr">
        <ns0:is>
          <ns0:t xml:space="preserve">REQ-110</ns0:t>
        </ns0:is>
      </ns0:c>
      <ns0:c r="B113" s="28" t="inlineStr">
        <ns0:is>
          <ns0:t xml:space="preserve">Inventory management — first version, planning complete</ns0:t>
        </ns0:is>
      </ns0:c>
      <ns0:c r="C113" s="28" t="inlineStr">
        <ns0:is>
          <ns0:t xml:space="preserve">Current scope</ns0:t>
        </ns0:is>
      </ns0:c>
      <ns0:c r="D113" s="28" t="inlineStr">
        <ns0:is>
          <ns0:t>2026-10-31 finalized: Stock Management owns package counts/units, package_sizes and stock_items. Catalogue has no quantities or measurement fields. stock_items references Product and package_size; stock_movements references stock_item_id. Stock items start at zero.</ns0:t>
        </ns0:is>
      </ns0:c>
      <ns0:c r="E113" s="28" t="inlineStr">
        <ns0:is>
          <ns0:t xml:space="preserve">FB-032–FB-037, FB-047–FB-053</ns0:t>
        </ns0:is>
      </ns0:c>
      <ns0:c r="F113" s="28" t="inlineStr">
        <ns0:is>
          <ns0:t xml:space="preserve">Stories!B35</ns0:t>
        </ns0:is>
      </ns0:c>
    </ns0:row>
    <ns0:row r="114" ht="61" customHeight="1">
      <ns0:c r="A114" s="4" t="inlineStr">
        <ns0:is>
          <ns0:t xml:space="preserve">REQ-111</ns0:t>
        </ns0:is>
      </ns0:c>
      <ns0:c r="B114" s="4" t="inlineStr">
        <ns0:is>
          <ns0:t xml:space="preserve">Inventory management — first version, planning complete</ns0:t>
        </ns0:is>
      </ns0:c>
      <ns0:c r="C114" s="4" t="inlineStr">
        <ns0:is>
          <ns0:t xml:space="preserve">Current scope</ns0:t>
        </ns0:is>
      </ns0:c>
      <ns0:c r="D114" s="4" t="inlineStr">
        <ns0:is>
          <ns0: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ns0:t>
        </ns0:is>
      </ns0:c>
      <ns0:c r="E114" s="4" t="inlineStr">
        <ns0:is>
          <ns0:t xml:space="preserve">FB-032–FB-037, FB-047–FB-053</ns0:t>
        </ns0:is>
      </ns0:c>
      <ns0:c r="F114" s="4" t="inlineStr">
        <ns0:is>
          <ns0:t xml:space="preserve">Stories!B35</ns0:t>
        </ns0:is>
      </ns0:c>
    </ns0:row>
    <ns0:row r="115" ht="52" customHeight="1">
      <ns0:c r="A115" s="28" t="inlineStr">
        <ns0:is>
          <ns0:t xml:space="preserve">REQ-112</ns0:t>
        </ns0:is>
      </ns0:c>
      <ns0:c r="B115" s="28" t="inlineStr">
        <ns0:is>
          <ns0:t xml:space="preserve">Inventory management — first version, planning complete</ns0:t>
        </ns0:is>
      </ns0:c>
      <ns0:c r="C115" s="28" t="inlineStr">
        <ns0:is>
          <ns0:t xml:space="preserve">Current scope</ns0:t>
        </ns0:is>
      </ns0:c>
      <ns0:c r="D115" s="28" t="inlineStr">
        <ns0:is>
          <ns0:t xml:space="preserve">2026-10-29 approved module separation: Stock Management counting-unit choices: bag, box, can, bottle, carton, jar, packet and individual item. No counting-unit field in catalogue.</ns0:t>
        </ns0:is>
      </ns0:c>
      <ns0:c r="E115" s="28" t="inlineStr">
        <ns0:is>
          <ns0:t xml:space="preserve">FB-032–FB-037, FB-047–FB-053</ns0:t>
        </ns0:is>
      </ns0:c>
      <ns0:c r="F115" s="28" t="inlineStr">
        <ns0:is>
          <ns0:t xml:space="preserve">Stories!B35</ns0:t>
        </ns0:is>
      </ns0:c>
    </ns0:row>
    <ns0:row r="116" ht="67.71428571428572" customHeight="1">
      <ns0:c r="A116" s="4" t="inlineStr">
        <ns0:is>
          <ns0:t xml:space="preserve">REQ-113</ns0:t>
        </ns0:is>
      </ns0:c>
      <ns0:c r="B116" s="4" t="inlineStr">
        <ns0:is>
          <ns0:t xml:space="preserve">Inventory management — first version, planning complete</ns0:t>
        </ns0:is>
      </ns0:c>
      <ns0:c r="C116" s="4" t="inlineStr">
        <ns0:is>
          <ns0:t xml:space="preserve">Current scope</ns0:t>
        </ns0:is>
      </ns0:c>
      <ns0:c r="D116" s="4" t="inlineStr">
        <ns0:is>
          <ns0:t>2026-10-31 finalized: Product total-unit choices are kg, litres and individual items. First stock-item package sets the unit automatically: g/kg -&gt; kg; ml/litres -&gt; litres; individual-item contents -&gt; items. Compatible stock packages only. Separate item counts and measured row totals remain visible; combined totals use all relevant rows. No pound totals.</ns0:t>
        </ns0:is>
      </ns0:c>
      <ns0:c r="E116" s="4" t="inlineStr">
        <ns0:is>
          <ns0:t xml:space="preserve">FB-029, FB-034, FB-053, FB-065–FB-066</ns0:t>
        </ns0:is>
      </ns0:c>
      <ns0:c r="F116" s="4" t="inlineStr">
        <ns0:is>
          <ns0:t xml:space="preserve">Stories!B32</ns0:t>
        </ns0:is>
      </ns0:c>
    </ns0:row>
    <ns0:row r="117" ht="52" customHeight="1">
      <ns0:c r="A117" s="28" t="inlineStr">
        <ns0:is>
          <ns0:t xml:space="preserve">REQ-114</ns0:t>
        </ns0:is>
      </ns0:c>
      <ns0:c r="B117" s="28" t="inlineStr">
        <ns0:is>
          <ns0:t xml:space="preserve">Inventory management — first version, planning complete</ns0:t>
        </ns0:is>
      </ns0:c>
      <ns0:c r="C117" s="28" t="inlineStr">
        <ns0:is>
          <ns0:t xml:space="preserve">##FUTURE</ns0:t>
        </ns0:is>
      </ns0:c>
      <ns0:c r="D117" s="28" t="inlineStr">
        <ns0:is>
          <ns0:t xml:space="preserve">##FUTURE Loose-weight quantities and general unit conversions beyond the agreed kg/g and litres/ml conversions for package contents and summaries.</ns0:t>
        </ns0:is>
      </ns0:c>
      <ns0:c r="E117" s="28" t="inlineStr">
        <ns0:is>
          <ns0:t xml:space="preserve">Deferred — no current item</ns0:t>
        </ns0:is>
      </ns0:c>
      <ns0:c r="F117" s="28" t="inlineStr">
        <ns0:is>
          <ns0:t xml:space="preserve">Deferred</ns0:t>
        </ns0:is>
      </ns0:c>
    </ns0:row>
    <ns0:row r="118" ht="52" customHeight="1">
      <ns0:c r="A118" s="4" t="inlineStr">
        <ns0:is>
          <ns0:t xml:space="preserve">REQ-115</ns0:t>
        </ns0:is>
      </ns0:c>
      <ns0:c r="B118" s="4" t="inlineStr">
        <ns0:is>
          <ns0:t xml:space="preserve">Inventory management — first version, planning complete</ns0:t>
        </ns0:is>
      </ns0:c>
      <ns0:c r="C118" s="4" t="inlineStr">
        <ns0:is>
          <ns0:t xml:space="preserve">Current scope</ns0:t>
        </ns0:is>
      </ns0:c>
      <ns0:c r="D118" s="4" t="inlineStr">
        <ns0:is>
          <ns0:t xml:space="preserve">Use one shared inventory for the first version, without separate stock balances for shelves, rooms, or branches.</ns0:t>
        </ns0:is>
      </ns0:c>
      <ns0:c r="E118" s="4" t="inlineStr">
        <ns0:is>
          <ns0:t xml:space="preserve">FB-049–FB-056, FB-063–FB-064, FB-068</ns0:t>
        </ns0:is>
      </ns0:c>
      <ns0:c r="F118" s="4" t="inlineStr">
        <ns0:is>
          <ns0:t xml:space="preserve">Stories!B53</ns0:t>
        </ns0:is>
      </ns0:c>
    </ns0:row>
    <ns0:row r="119" ht="52" customHeight="1">
      <ns0:c r="A119" s="28" t="inlineStr">
        <ns0:is>
          <ns0:t xml:space="preserve">REQ-116</ns0:t>
        </ns0:is>
      </ns0:c>
      <ns0:c r="B119" s="28" t="inlineStr">
        <ns0:is>
          <ns0:t xml:space="preserve">Inventory management — first version, planning complete</ns0:t>
        </ns0:is>
      </ns0:c>
      <ns0:c r="C119" s="28" t="inlineStr">
        <ns0:is>
          <ns0:t xml:space="preserve">##FUTURE</ns0:t>
        </ns0:is>
      </ns0:c>
      <ns0:c r="D119" s="28" t="inlineStr">
        <ns0:is>
          <ns0:t xml:space="preserve">##FUTURE Stock tracking by location.</ns0:t>
        </ns0:is>
      </ns0:c>
      <ns0:c r="E119" s="28" t="inlineStr">
        <ns0:is>
          <ns0:t xml:space="preserve">Deferred — no current item</ns0:t>
        </ns0:is>
      </ns0:c>
      <ns0:c r="F119" s="28" t="inlineStr">
        <ns0:is>
          <ns0:t xml:space="preserve">Deferred</ns0:t>
        </ns0:is>
      </ns0:c>
    </ns0:row>
    <ns0:row r="120" ht="75.14285714285714" customHeight="1">
      <ns0:c r="A120" s="4" t="inlineStr">
        <ns0:is>
          <ns0:t xml:space="preserve">REQ-117</ns0:t>
        </ns0:is>
      </ns0:c>
      <ns0:c r="B120" s="4" t="inlineStr">
        <ns0:is>
          <ns0:t xml:space="preserve">Inventory management — first version, planning complete</ns0:t>
        </ns0:is>
      </ns0:c>
      <ns0:c r="C120" s="4" t="inlineStr">
        <ns0:is>
          <ns0:t xml:space="preserve">Current scope</ns0:t>
        </ns0:is>
      </ns0:c>
      <ns0:c r="D120" s="4" t="inlineStr">
        <ns0:is>
          <ns0:t>2026-10-31 finalized: Product total unit permanently locks at first saved movement of ANY type on any linked stock item, even when balance returns to zero. Empty setup does not lock it. Before movements, editing the only unused stock item updates its unit automatically; deleting the last unused stock item clears it. If other items remain, preserve compatibility. Version-two cross-family repair is REQ-190.</ns0:t>
        </ns0:is>
      </ns0:c>
      <ns0:c r="E120" s="4" t="inlineStr">
        <ns0:is>
          <ns0:t xml:space="preserve">FB-029, FB-034, FB-053, FB-065–FB-066</ns0:t>
        </ns0:is>
      </ns0:c>
      <ns0:c r="F120" s="4" t="inlineStr">
        <ns0:is>
          <ns0:t xml:space="preserve">Stories!B32</ns0:t>
        </ns0:is>
      </ns0:c>
    </ns0:row>
    <ns0:row r="121" ht="65" customHeight="1">
      <ns0:c r="A121" s="28" t="inlineStr">
        <ns0:is>
          <ns0:t xml:space="preserve">REQ-118</ns0:t>
        </ns0:is>
      </ns0:c>
      <ns0:c r="B121" s="28" t="inlineStr">
        <ns0:is>
          <ns0:t xml:space="preserve">Inventory management — first version, planning complete</ns0:t>
        </ns0:is>
      </ns0:c>
      <ns0:c r="C121" s="28" t="inlineStr">
        <ns0:is>
          <ns0:t xml:space="preserve">Current scope</ns0:t>
        </ns0:is>
      </ns0:c>
      <ns0:c r="D121" s="28" t="inlineStr">
        <ns0:is>
          <ns0:t>2026-10-31 finalized: Combine stock-item count times package contents per Product, with compatible g/kg or ml/litre conversions and at most three displayed decimals. Calculate exactly before formatting, across all linked items regardless of current page. Product category changes retain grouping/IDs/history and show current hierarchy.</ns0:t>
        </ns0:is>
      </ns0:c>
      <ns0:c r="E121" s="28" t="inlineStr">
        <ns0:is>
          <ns0:t xml:space="preserve">FB-029, FB-034, FB-053, FB-065–FB-066</ns0:t>
        </ns0:is>
      </ns0:c>
      <ns0:c r="F121" s="28" t="inlineStr">
        <ns0:is>
          <ns0:t xml:space="preserve">Stories!B32</ns0:t>
        </ns0:is>
      </ns0:c>
    </ns0:row>
    <ns0:row r="122" ht="94.42857142857143" customHeight="1">
      <ns0:c r="A122" s="4" t="inlineStr">
        <ns0:is>
          <ns0:t xml:space="preserve">REQ-119</ns0:t>
        </ns0:is>
      </ns0:c>
      <ns0:c r="B122" s="4" t="inlineStr">
        <ns0:is>
          <ns0:t xml:space="preserve">Inventory management — first version, planning complete</ns0:t>
        </ns0:is>
      </ns0:c>
      <ns0:c r="C122" s="4" t="inlineStr">
        <ns0:is>
          <ns0:t xml:space="preserve">Current scope</ns0:t>
        </ns0:is>
      </ns0:c>
      <ns0:c r="D122" s="4" t="inlineStr">
        <ns0:is>
          <ns0:t>2026-10-31 finalized: Separate Stock items and Product totals SCREENS, not tabs. Stock items includes zero counts, Product/current Department-Category path, optional brand, package size, available whole-package count and Total quantity in Product total unit. Product totals includes only Products with at least one stock item, including zero totals. Both 10 rows/page. Item search: Product name or brand; totals search: Product name. No Department/Category dropdown filters on these screens. Accent table headers and horizontal row separators.</ns0:t>
        </ns0:is>
      </ns0:c>
      <ns0:c r="E122" s="4" t="inlineStr">
        <ns0:is>
          <ns0:t xml:space="preserve">FB-029, FB-034, FB-053, FB-065–FB-066</ns0:t>
        </ns0:is>
      </ns0:c>
      <ns0:c r="F122" s="4" t="inlineStr">
        <ns0:is>
          <ns0:t xml:space="preserve">Stories!B32</ns0:t>
        </ns0:is>
      </ns0:c>
    </ns0:row>
    <ns0:row r="123" ht="52" customHeight="1">
      <ns0:c r="A123" s="28" t="inlineStr">
        <ns0:is>
          <ns0:t xml:space="preserve">REQ-120</ns0:t>
        </ns0:is>
      </ns0:c>
      <ns0:c r="B123" s="28" t="inlineStr">
        <ns0:is>
          <ns0:t xml:space="preserve">Inventory management — first version, planning complete</ns0:t>
        </ns0:is>
      </ns0:c>
      <ns0:c r="C123" s="28" t="inlineStr">
        <ns0:is>
          <ns0:t xml:space="preserve">Current scope</ns0:t>
        </ns0:is>
      </ns0:c>
      <ns0:c r="D123" s="28" t="inlineStr">
        <ns0:is>
          <ns0:t xml:space="preserve">Stock balances change only through recorded stock movements, not by directly editing a balance. Incoming movements increase stock and outgoing movements decrease it; balances reflect those movements.</ns0:t>
        </ns0:is>
      </ns0:c>
      <ns0:c r="E123" s="28" t="inlineStr">
        <ns0:is>
          <ns0:t xml:space="preserve">FB-049–FB-056, FB-063–FB-064, FB-068</ns0:t>
        </ns0:is>
      </ns0:c>
      <ns0:c r="F123" s="28" t="inlineStr">
        <ns0:is>
          <ns0:t xml:space="preserve">Stories!B53</ns0:t>
        </ns0:is>
      </ns0:c>
    </ns0:row>
    <ns0:row r="124" ht="52" customHeight="1">
      <ns0:c r="A124" s="4" t="inlineStr">
        <ns0:is>
          <ns0:t xml:space="preserve">REQ-121</ns0:t>
        </ns0:is>
      </ns0:c>
      <ns0:c r="B124" s="4" t="inlineStr">
        <ns0:is>
          <ns0:t xml:space="preserve">Inventory management — first version, planning complete</ns0:t>
        </ns0:is>
      </ns0:c>
      <ns0:c r="C124" s="4" t="inlineStr">
        <ns0:is>
          <ns0:t xml:space="preserve">Current scope</ns0:t>
        </ns0:is>
      </ns0:c>
      <ns0:c r="D124" s="4" t="inlineStr">
        <ns0:is>
          <ns0:t xml:space="preserve">First-version movement types: Receive (food arrives), Distribute (food goes to a household), and Adjust (count corrections or damaged/ spoiled food). Every adjustment requires a reason.</ns0:t>
        </ns0:is>
      </ns0:c>
      <ns0:c r="E124" s="4" t="inlineStr">
        <ns0:is>
          <ns0:t xml:space="preserve">FB-049–FB-056, FB-063–FB-064, FB-068</ns0:t>
        </ns0:is>
      </ns0:c>
      <ns0:c r="F124" s="4" t="inlineStr">
        <ns0:is>
          <ns0:t xml:space="preserve">Stories!B53</ns0:t>
        </ns0:is>
      </ns0:c>
    </ns0:row>
    <ns0:row r="125" ht="65" customHeight="1">
      <ns0:c r="A125" s="28" t="inlineStr">
        <ns0:is>
          <ns0:t xml:space="preserve">REQ-122</ns0:t>
        </ns0:is>
      </ns0:c>
      <ns0:c r="B125" s="28" t="inlineStr">
        <ns0:is>
          <ns0:t xml:space="preserve">Inventory management — first version, planning complete</ns0:t>
        </ns0:is>
      </ns0:c>
      <ns0:c r="C125" s="28" t="inlineStr">
        <ns0:is>
          <ns0:t xml:space="preserve">Current scope</ns0:t>
        </ns0:is>
      </ns0:c>
      <ns0:c r="D125" s="28" t="inlineStr">
        <ns0:is>
          <ns0:t>2026-10-31 finalized: Prevent any stock-item balance falling below zero. Reject outgoing quantity greater than available packages. Recheck at save under concurrent updates; do not rely on browser displayed availability.</ns0:t>
        </ns0:is>
      </ns0:c>
      <ns0:c r="E125" s="28" t="inlineStr">
        <ns0:is>
          <ns0:t xml:space="preserve">FB-049–FB-056, FB-063–FB-064, FB-068</ns0:t>
        </ns0:is>
      </ns0:c>
      <ns0:c r="F125" s="28" t="inlineStr">
        <ns0:is>
          <ns0:t xml:space="preserve">Stories!B53</ns0:t>
        </ns0:is>
      </ns0:c>
    </ns0:row>
    <ns0:row r="126" ht="69.0" customHeight="1">
      <ns0:c r="A126" s="4" t="inlineStr">
        <ns0:is>
          <ns0:t xml:space="preserve">REQ-123</ns0:t>
        </ns0:is>
      </ns0:c>
      <ns0:c r="B126" s="4" t="inlineStr">
        <ns0:is>
          <ns0:t xml:space="preserve">Inventory management — first version, planning complete</ns0:t>
        </ns0:is>
      </ns0:c>
      <ns0:c r="C126" s="4" t="inlineStr">
        <ns0:is>
          <ns0:t xml:space="preserve">Current scope</ns0:t>
        </ns0:is>
      </ns0:c>
      <ns0:c r="D126" s="4" t="inlineStr">
        <ns0:is>
          <ns0:t>2026-10-31 finalized: Volunteer/Manager/Super Admin can view Stock items and Product totals and record Receive/Distribute/Adjust. Only Manager/Super Admin manage package sizes/stock setup, permitted deletions and history. Preserve active-account checks, first-login restrictions and unrelated user-account boundaries. No stock/Product Active/Inactive status checks.</ns0:t>
        </ns0:is>
      </ns0:c>
      <ns0:c r="E126" s="4" t="inlineStr">
        <ns0:is>
          <ns0:t xml:space="preserve">FB-032–FB-037, FB-047–FB-053</ns0:t>
        </ns0:is>
      </ns0:c>
      <ns0:c r="F126" s="4" t="inlineStr">
        <ns0:is>
          <ns0:t xml:space="preserve">Stories!B35</ns0:t>
        </ns0:is>
      </ns0:c>
    </ns0:row>
    <ns0:row r="127" ht="52" customHeight="1">
      <ns0:c r="A127" s="28" t="inlineStr">
        <ns0:is>
          <ns0:t xml:space="preserve">REQ-124</ns0:t>
        </ns0:is>
      </ns0:c>
      <ns0:c r="B127" s="28" t="inlineStr">
        <ns0:is>
          <ns0:t xml:space="preserve">Inventory management — first version, planning complete</ns0:t>
        </ns0:is>
      </ns0:c>
      <ns0:c r="C127" s="28" t="inlineStr">
        <ns0:is>
          <ns0:t xml:space="preserve">Current scope</ns0:t>
        </ns0:is>
      </ns0:c>
      <ns0:c r="D127" s="28" t="inlineStr">
        <ns0:is>
          <ns0:t xml:space="preserve">One distribution belongs to one household and can include multiple products. Either all its stock changes succeed or none are saved. Use fictional sample households until household management is built.</ns0:t>
        </ns0:is>
      </ns0:c>
      <ns0:c r="E127" s="28" t="inlineStr">
        <ns0:is>
          <ns0:t xml:space="preserve">FB-057–FB-064</ns0:t>
        </ns0:is>
      </ns0:c>
      <ns0:c r="F127" s="28" t="inlineStr">
        <ns0:is>
          <ns0:t xml:space="preserve">Stories!B63</ns0:t>
        </ns0:is>
      </ns0:c>
    </ns0:row>
    <ns0:row r="128" ht="85.57142857142857" customHeight="1">
      <ns0:c r="A128" s="4" t="inlineStr">
        <ns0:is>
          <ns0:t xml:space="preserve">REQ-125</ns0:t>
        </ns0:is>
      </ns0:c>
      <ns0:c r="B128" s="4" t="inlineStr">
        <ns0:is>
          <ns0:t xml:space="preserve">Inventory management — first version, planning complete</ns0:t>
        </ns0:is>
      </ns0:c>
      <ns0:c r="C128" s="4" t="inlineStr">
        <ns0:is>
          <ns0:t xml:space="preserve">Current scope</ns0:t>
        </ns0:is>
      </ns0:c>
      <ns0:c r="D128" s="4" t="inlineStr">
        <ns0:is>
          <ns0:t>2026-10-31 finalized: Separate Distribute screen: choose one existing sample household, then searchable stock-item picker matching Product name/brand. Results show complete Product/brand/package identity and current available whole packages; positive balances only. Multiple distinct stock items allowed. Review household/items/quantities before saving, recheck availability on server, retain failed input and show success summary. No Product-first/Subcategory/code selection flow.</ns0:t>
        </ns0:is>
      </ns0:c>
      <ns0:c r="E128" s="4" t="inlineStr">
        <ns0:is>
          <ns0:t xml:space="preserve">FB-057–FB-064</ns0:t>
        </ns0:is>
      </ns0:c>
      <ns0:c r="F128" s="4" t="inlineStr">
        <ns0:is>
          <ns0:t xml:space="preserve">Stories!B63</ns0:t>
        </ns0:is>
      </ns0:c>
    </ns0:row>
    <ns0:row r="129" ht="65" customHeight="1">
      <ns0:c r="A129" s="28" t="inlineStr">
        <ns0:is>
          <ns0:t xml:space="preserve">REQ-126</ns0:t>
        </ns0:is>
      </ns0:c>
      <ns0:c r="B129" s="28" t="inlineStr">
        <ns0:is>
          <ns0:t xml:space="preserve">Inventory management — first version, planning complete</ns0:t>
        </ns0:is>
      </ns0:c>
      <ns0:c r="C129" s="28" t="inlineStr">
        <ns0:is>
          <ns0:t xml:space="preserve">Current scope</ns0:t>
        </ns0:is>
      </ns0:c>
      <ns0:c r="D129" s="28" t="inlineStr">
        <ns0:is>
          <ns0:t>2026-10-31 finalized: Separate Receive screen: searchable existing-stock-item picker matching Product name/brand, showing complete identity and available packages, including zero balances. Multiple stock items per receipt; all stock changes save or none. No inline volunteer stock-item creation. Opening stock recorded through Receive.</ns0:t>
        </ns0:is>
      </ns0:c>
      <ns0:c r="E129" s="28" t="inlineStr">
        <ns0:is>
          <ns0:t xml:space="preserve">FB-049–FB-052</ns0:t>
        </ns0:is>
      </ns0:c>
      <ns0:c r="F129" s="28" t="inlineStr">
        <ns0:is>
          <ns0:t xml:space="preserve">Stories!B53</ns0:t>
        </ns0:is>
      </ns0:c>
    </ns0:row>
    <ns0:row r="130" ht="65" customHeight="1">
      <ns0:c r="A130" s="4" t="inlineStr">
        <ns0:is>
          <ns0:t xml:space="preserve">REQ-127</ns0:t>
        </ns0:is>
      </ns0:c>
      <ns0:c r="B130" s="4" t="inlineStr">
        <ns0:is>
          <ns0:t xml:space="preserve">Inventory management — first version, planning complete</ns0:t>
        </ns0:is>
      </ns0:c>
      <ns0:c r="C130" s="4" t="inlineStr">
        <ns0:is>
          <ns0:t xml:space="preserve">Current scope</ns0:t>
        </ns0:is>
      </ns0:c>
      <ns0:c r="D130" s="4" t="inlineStr">
        <ns0:is>
          <ns0:t>2026-10-31 finalized: One row per stock_item_id in Receive/Distribute: update existing quantity instead of duplicate rows. Same Product may have different brands/packages on separate rows. All movement quantities positive whole packages/items. Reject duplicate rows and fractional/zero/negative input on server.</ns0:t>
        </ns0:is>
      </ns0:c>
      <ns0:c r="E130" s="4" t="inlineStr">
        <ns0:is>
          <ns0:t xml:space="preserve">FB-050, FB-061</ns0:t>
        </ns0:is>
      </ns0:c>
      <ns0:c r="F130" s="4" t="inlineStr">
        <ns0:is>
          <ns0:t xml:space="preserve">Stories!B54</ns0:t>
        </ns0:is>
      </ns0:c>
    </ns0:row>
    <ns0:row r="131" ht="52" customHeight="1">
      <ns0:c r="A131" s="28" t="inlineStr">
        <ns0:is>
          <ns0:t xml:space="preserve">REQ-128</ns0:t>
        </ns0:is>
      </ns0:c>
      <ns0:c r="B131" s="28" t="inlineStr">
        <ns0:is>
          <ns0:t xml:space="preserve">Inventory management — first version, planning complete</ns0:t>
        </ns0:is>
      </ns0:c>
      <ns0:c r="C131" s="28" t="inlineStr">
        <ns0:is>
          <ns0:t xml:space="preserve">Current scope</ns0:t>
        </ns0:is>
      </ns0:c>
      <ns0:c r="D131" s="28" t="inlineStr">
        <ns0:is>
          <ns0:t xml:space="preserve">Each Receive entry has one optional notes field for the whole entry.</ns0:t>
        </ns0:is>
      </ns0:c>
      <ns0:c r="E131" s="28" t="inlineStr">
        <ns0:is>
          <ns0:t xml:space="preserve">FB-049–FB-052</ns0:t>
        </ns0:is>
      </ns0:c>
      <ns0:c r="F131" s="28" t="inlineStr">
        <ns0:is>
          <ns0:t xml:space="preserve">Stories!B53</ns0:t>
        </ns0:is>
      </ns0:c>
    </ns0:row>
    <ns0:row r="132" ht="61" customHeight="1">
      <ns0:c r="A132" s="4" t="inlineStr">
        <ns0:is>
          <ns0:t xml:space="preserve">REQ-129</ns0:t>
        </ns0:is>
      </ns0:c>
      <ns0:c r="B132" s="4" t="inlineStr">
        <ns0:is>
          <ns0:t xml:space="preserve">Inventory management — first version, planning complete</ns0:t>
        </ns0:is>
      </ns0:c>
      <ns0:c r="C132" s="4" t="inlineStr">
        <ns0:is>
          <ns0:t xml:space="preserve">Current scope</ns0:t>
        </ns0:is>
      </ns0:c>
      <ns0:c r="D132" s="4" t="inlineStr">
        <ns0:is>
          <ns0: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ns0:t>
        </ns0:is>
      </ns0:c>
      <ns0:c r="E132" s="4" t="inlineStr">
        <ns0:is>
          <ns0:t xml:space="preserve">FB-049–FB-056, FB-063–FB-064, FB-068</ns0:t>
        </ns0:is>
      </ns0:c>
      <ns0:c r="F132" s="4" t="inlineStr">
        <ns0:is>
          <ns0:t xml:space="preserve">Stories!B53</ns0:t>
        </ns0:is>
      </ns0:c>
    </ns0:row>
    <ns0:row r="133" ht="52" customHeight="1">
      <ns0:c r="A133" s="28" t="inlineStr">
        <ns0:is>
          <ns0:t xml:space="preserve">REQ-130</ns0:t>
        </ns0:is>
      </ns0:c>
      <ns0:c r="B133" s="28" t="inlineStr">
        <ns0:is>
          <ns0:t xml:space="preserve">Inventory management — first version, planning complete</ns0:t>
        </ns0:is>
      </ns0:c>
      <ns0:c r="C133" s="28" t="inlineStr">
        <ns0:is>
          <ns0:t xml:space="preserve">##FUTURE</ns0:t>
        </ns0:is>
      </ns0:c>
      <ns0:c r="D133" s="28" t="inlineStr">
        <ns0:is>
          <ns0:t xml:space="preserve">##FUTURE User-entered or backdated stock-movement dates.</ns0:t>
        </ns0:is>
      </ns0:c>
      <ns0:c r="E133" s="28" t="inlineStr">
        <ns0:is>
          <ns0:t xml:space="preserve">Deferred — no current item</ns0:t>
        </ns0:is>
      </ns0:c>
      <ns0:c r="F133" s="28" t="inlineStr">
        <ns0:is>
          <ns0:t xml:space="preserve">Deferred</ns0:t>
        </ns0:is>
      </ns0:c>
    </ns0:row>
    <ns0:row r="134" ht="96.0" customHeight="1">
      <ns0:c r="A134" s="4" t="inlineStr">
        <ns0:is>
          <ns0:t xml:space="preserve">REQ-131</ns0:t>
        </ns0:is>
      </ns0:c>
      <ns0:c r="B134" s="4" t="inlineStr">
        <ns0:is>
          <ns0:t xml:space="preserve">Inventory management — first version, planning complete</ns0:t>
        </ns0:is>
      </ns0:c>
      <ns0:c r="C134" s="4" t="inlineStr">
        <ns0:is>
          <ns0:t xml:space="preserve">Current scope</ns0:t>
        </ns0:is>
      </ns0:c>
      <ns0:c r="D134" s="4" t="inlineStr">
        <ns0:is>
          <ns0:t>2026-10-31 finalized: Separate Adjust screen: searchable existing-stock-item picker including zero balances; choose one stock item, Add/Remove, positive whole-package quantity and required reason. Prevent negative balance. Same-family wrong-package correction: remove only physically remaining incorrectly recorded packages with reason and receive them on a separate correct stock item with corresponding note. Preserve original history including prior distributions. No linked correction or physical repacking tool; cross-family repair deferred REQ-190.</ns0:t>
        </ns0:is>
      </ns0:c>
      <ns0:c r="E134" s="4" t="inlineStr">
        <ns0:is>
          <ns0:t xml:space="preserve">FB-055–FB-056</ns0:t>
        </ns0:is>
      </ns0:c>
      <ns0:c r="F134" s="4" t="inlineStr">
        <ns0:is>
          <ns0:t xml:space="preserve">Stories!B61</ns0:t>
        </ns0:is>
      </ns0:c>
    </ns0:row>
    <ns0:row r="135" ht="65" customHeight="1">
      <ns0:c r="A135" s="28" t="inlineStr">
        <ns0:is>
          <ns0:t xml:space="preserve">REQ-132</ns0:t>
        </ns0:is>
      </ns0:c>
      <ns0:c r="B135" s="28" t="inlineStr">
        <ns0:is>
          <ns0:t xml:space="preserve">Inventory management — first version, planning complete</ns0:t>
        </ns0:is>
      </ns0:c>
      <ns0:c r="C135" s="28" t="inlineStr">
        <ns0:is>
          <ns0:t xml:space="preserve">Current scope</ns0:t>
        </ns0:is>
      </ns0:c>
      <ns0:c r="D135" s="28" t="inlineStr">
        <ns0:is>
          <ns0:t>2026-10-31 finalized: Separate history screen for each stock item, reached by View history link on stock-item row; Manager/Super Admin only. Newest first, 10 movements/page. Show type, added/removed whole-package quantity, resulting balance, saved timestamp, recorder and receipt/household/reason context. No history in catalogue.</ns0:t>
        </ns0:is>
      </ns0:c>
      <ns0:c r="E135" s="28" t="inlineStr">
        <ns0:is>
          <ns0:t xml:space="preserve">FB-054, FB-056, FB-063, FB-068</ns0:t>
        </ns0:is>
      </ns0:c>
      <ns0:c r="F135" s="28" t="inlineStr">
        <ns0:is>
          <ns0:t xml:space="preserve">Stories!B58</ns0:t>
        </ns0:is>
      </ns0:c>
    </ns0:row>
    <ns0:row r="136" ht="65" customHeight="1">
      <ns0:c r="A136" s="4" t="inlineStr">
        <ns0:is>
          <ns0:t xml:space="preserve">REQ-133</ns0:t>
        </ns0:is>
      </ns0:c>
      <ns0:c r="B136" s="4" t="inlineStr">
        <ns0:is>
          <ns0:t xml:space="preserve">Inventory management — first version, planning complete</ns0:t>
        </ns0:is>
      </ns0:c>
      <ns0:c r="C136" s="4" t="inlineStr">
        <ns0:is>
          <ns0:t xml:space="preserve">Current scope</ns0:t>
        </ns0:is>
      </ns0:c>
      <ns0:c r="D136" s="4" t="inlineStr">
        <ns0:is>
          <ns0:t>2026-10-31 finalized: All quantities, sizes, units, summaries and history belong to Stock Management. All three roles view stock-item balances and Product totals. Only Manager/Super Admin browse history; protect direct history requests as well as links.</ns0:t>
        </ns0:is>
      </ns0:c>
      <ns0:c r="E136" s="4" t="inlineStr">
        <ns0:is>
          <ns0:t xml:space="preserve">FB-054, FB-066</ns0:t>
        </ns0:is>
      </ns0:c>
      <ns0:c r="F136" s="4" t="inlineStr">
        <ns0:is>
          <ns0:t xml:space="preserve">Stories!B58</ns0:t>
        </ns0:is>
      </ns0:c>
    </ns0:row>
    <ns0:row r="137" ht="52" customHeight="1">
      <ns0:c r="A137" s="28" t="inlineStr">
        <ns0:is>
          <ns0:t xml:space="preserve">REQ-134</ns0:t>
        </ns0:is>
      </ns0:c>
      <ns0:c r="B137" s="28" t="inlineStr">
        <ns0:is>
          <ns0:t xml:space="preserve">Inventory management — first version, planning complete</ns0:t>
        </ns0:is>
      </ns0:c>
      <ns0:c r="C137" s="28" t="inlineStr">
        <ns0:is>
          <ns0:t xml:space="preserve">Current scope</ns0:t>
        </ns0:is>
      </ns0:c>
      <ns0:c r="D137" s="28" t="inlineStr">
        <ns0:is>
          <ns0:t xml:space="preserve">History entries come from recorded movements automatically; users do not enter them separately. This inventory history is distinct from the broader account activity history deferred to future work.</ns0:t>
        </ns0:is>
      </ns0:c>
      <ns0:c r="E137" s="28" t="inlineStr">
        <ns0:is>
          <ns0:t xml:space="preserve">FB-054, FB-056, FB-063, FB-068</ns0:t>
        </ns0:is>
      </ns0:c>
      <ns0:c r="F137" s="28" t="inlineStr">
        <ns0:is>
          <ns0:t xml:space="preserve">Stories!B58</ns0:t>
        </ns0:is>
      </ns0:c>
    </ns0:row>
    <ns0:row r="138" ht="65" customHeight="1">
      <ns0:c r="A138" s="4" t="inlineStr">
        <ns0:is>
          <ns0:t xml:space="preserve">REQ-135</ns0:t>
        </ns0:is>
      </ns0:c>
      <ns0:c r="B138" s="4" t="inlineStr">
        <ns0:is>
          <ns0:t xml:space="preserve">Inventory management — first version, planning complete</ns0:t>
        </ns0:is>
      </ns0:c>
      <ns0:c r="C138" s="4" t="inlineStr">
        <ns0:is>
          <ns0:t xml:space="preserve">Current scope</ns0:t>
        </ns0:is>
      </ns0:c>
      <ns0:c r="D138" s="4" t="inlineStr">
        <ns0:is>
          <ns0:t>2026-10-31 finalized: Saved stock movements cannot be edited/deleted. Preserve originals and record quantity corrections as new reasoned movements. Unused stock-item/package deletion is separately allowed under REQ-192/193; never cascade-delete history.</ns0:t>
        </ns0:is>
      </ns0:c>
      <ns0:c r="E138" s="4" t="inlineStr">
        <ns0:is>
          <ns0:t xml:space="preserve">FB-054, FB-056, FB-063, FB-068</ns0:t>
        </ns0:is>
      </ns0:c>
      <ns0:c r="F138" s="4" t="inlineStr">
        <ns0:is>
          <ns0:t xml:space="preserve">Stories!B58</ns0:t>
        </ns0:is>
      </ns0:c>
    </ns0:row>
    <ns0:row r="139" ht="52" customHeight="1">
      <ns0:c r="A139" s="28" t="inlineStr">
        <ns0:is>
          <ns0:t xml:space="preserve">REQ-136</ns0:t>
        </ns0:is>
      </ns0:c>
      <ns0:c r="B139" s="28" t="inlineStr">
        <ns0:is>
          <ns0:t xml:space="preserve">Inventory management — first version, planning complete</ns0:t>
        </ns0:is>
      </ns0:c>
      <ns0:c r="C139" s="28" t="inlineStr">
        <ns0:is>
          <ns0:t xml:space="preserve">Current scope</ns0:t>
        </ns0:is>
      </ns0:c>
      <ns0:c r="D139" s="28" t="inlineStr">
        <ns0:is>
          <ns0:t xml:space="preserve">2026-10-29 approved module separation: Creating a catalogue product creates no stock quantity. Stock Management starts its stock records at zero and records opening stock through Receive so each quantity has an origin.</ns0:t>
        </ns0:is>
      </ns0:c>
      <ns0:c r="E139" s="28" t="inlineStr">
        <ns0:is>
          <ns0:t xml:space="preserve">FB-049–FB-052</ns0:t>
        </ns0:is>
      </ns0:c>
      <ns0:c r="F139" s="28" t="inlineStr">
        <ns0:is>
          <ns0:t xml:space="preserve">Stories!B53</ns0:t>
        </ns0:is>
      </ns0:c>
    </ns0:row>
    <ns0:row r="140" ht="67.71428571428572" customHeight="1">
      <ns0:c r="A140" s="4" t="inlineStr">
        <ns0:is>
          <ns0:t xml:space="preserve">REQ-137</ns0:t>
        </ns0:is>
      </ns0:c>
      <ns0:c r="B140" s="4" t="inlineStr">
        <ns0:is>
          <ns0:t xml:space="preserve">Inventory management — first version, planning complete</ns0:t>
        </ns0:is>
      </ns0:c>
      <ns0:c r="C140" s="4" t="inlineStr">
        <ns0:is>
          <ns0:t xml:space="preserve">Current scope</ns0:t>
        </ns0:is>
      </ns0:c>
      <ns0:c r="D140" s="4" t="inlineStr">
        <ns0:is>
          <ns0:t xml:space="preserve">2026-10-31 finalized: Activating/deactivating catalogue Products and stock items is excluded from version one. Remove existing catalogue status controls/filters and related behaviour; no zero-stock deactivation guard, reactivation or inactive-item movement blocking. Unused-only deletion is independent. User-account Active/Inactive rules remain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40" s="4" t="inlineStr">
        <ns0:is>
          <ns0:t xml:space="preserve">FB-048, FB-053</ns0:t>
        </ns0:is>
      </ns0:c>
      <ns0:c r="F140" s="4" t="inlineStr">
        <ns0:is>
          <ns0:t xml:space="preserve">Stories!B50</ns0:t>
        </ns0:is>
      </ns0:c>
    </ns0:row>
    <ns0:row r="141" ht="71.71428571428572" customHeight="1">
      <ns0:c r="A141" s="28" t="inlineStr">
        <ns0:is>
          <ns0:t xml:space="preserve">REQ-138</ns0:t>
        </ns0:is>
      </ns0:c>
      <ns0:c r="B141" s="28" t="inlineStr">
        <ns0:is>
          <ns0:t xml:space="preserve">Inventory management — first version, planning complete</ns0:t>
        </ns0:is>
      </ns0:c>
      <ns0:c r="C141" s="28" t="inlineStr">
        <ns0:is>
          <ns0:t xml:space="preserve">Current scope</ns0:t>
        </ns0:is>
      </ns0:c>
      <ns0:c r="D141" s="28" t="inlineStr">
        <ns0:is>
          <ns0:t>2026-10-31 finalized: Package type/contents/unit immutable once referenced by any stock item. Stock-item Product/package identity permanently locks after ANY saved movement, even at zero; before use allow compatible nonduplicate edits. Managers/Super Admin may correct Product names and brand spelling subject to existing duplicate rules. No stock tags or special spelling-audit tool.</ns0:t>
        </ns0:is>
      </ns0:c>
      <ns0:c r="E141" s="28" t="inlineStr">
        <ns0:is>
          <ns0:t xml:space="preserve">FB-053</ns0:t>
        </ns0:is>
      </ns0:c>
      <ns0:c r="F141" s="28" t="inlineStr">
        <ns0:is>
          <ns0:t xml:space="preserve">Stories!B57</ns0:t>
        </ns0:is>
      </ns0:c>
    </ns0:row>
    <ns0:row r="142" ht="65" customHeight="1">
      <ns0:c r="A142" s="4" t="inlineStr">
        <ns0:is>
          <ns0:t xml:space="preserve">REQ-139</ns0:t>
        </ns0:is>
      </ns0:c>
      <ns0:c r="B142" s="4" t="inlineStr">
        <ns0:is>
          <ns0:t xml:space="preserve">Inventory management — first version, planning complete</ns0:t>
        </ns0:is>
      </ns0:c>
      <ns0:c r="C142" s="4" t="inlineStr">
        <ns0:is>
          <ns0:t xml:space="preserve">Current scope</ns0:t>
        </ns0:is>
      </ns0:c>
      <ns0:c r="D142" s="4" t="inlineStr">
        <ns0:is>
          <ns0:t>2026-10-31 finalized: Product total unit locks permanently after any first saved movement across its stock items. Category changes remain allowed after stock; preserve IDs and balances/history, showing current category. Stock-item identity lock does not lock catalogue Product category.</ns0:t>
        </ns0:is>
      </ns0:c>
      <ns0:c r="E142" s="4" t="inlineStr">
        <ns0:is>
          <ns0:t xml:space="preserve">FB-053</ns0:t>
        </ns0:is>
      </ns0:c>
      <ns0:c r="F142" s="4" t="inlineStr">
        <ns0:is>
          <ns0:t xml:space="preserve">Stories!B57</ns0:t>
        </ns0:is>
      </ns0:c>
    </ns0:row>
    <ns0:row r="143" ht="65" customHeight="1">
      <ns0:c r="A143" s="28" t="inlineStr">
        <ns0:is>
          <ns0:t xml:space="preserve">REQ-140</ns0:t>
        </ns0:is>
      </ns0:c>
      <ns0:c r="B143" s="28" t="inlineStr">
        <ns0:is>
          <ns0:t xml:space="preserve">Inventory management — first version, planning complete</ns0:t>
        </ns0:is>
      </ns0:c>
      <ns0:c r="C143" s="28" t="inlineStr">
        <ns0:is>
          <ns0:t xml:space="preserve">Current scope</ns0:t>
        </ns0:is>
      </ns0:c>
      <ns0:c r="D143" s="28" t="inlineStr">
        <ns0:is>
          <ns0:t>2026-10-31 finalized: Use consistent Stock Management measurement/summary formatting, at most three displayed decimals, exact totals before formatting and g/kg or ml/litre compatible conversions only. No pounds, loose-weight movements or general cross-family conversion.</ns0:t>
        </ns0:is>
      </ns0:c>
      <ns0:c r="E143" s="28" t="inlineStr">
        <ns0:is>
          <ns0:t xml:space="preserve">FB-029, FB-034, FB-053, FB-065–FB-066</ns0:t>
        </ns0:is>
      </ns0:c>
      <ns0:c r="F143" s="28" t="inlineStr">
        <ns0:is>
          <ns0:t xml:space="preserve">Stories!B32</ns0:t>
        </ns0:is>
      </ns0:c>
    </ns0:row>
    <ns0:row r="144" ht="66.14285714285714" customHeight="1">
      <ns0:c r="A144" s="4" t="inlineStr">
        <ns0:is>
          <ns0:t xml:space="preserve">REQ-141</ns0:t>
        </ns0:is>
      </ns0:c>
      <ns0:c r="B144" s="4" t="inlineStr">
        <ns0:is>
          <ns0:t xml:space="preserve">Inventory management — first version, planning complete</ns0:t>
        </ns0:is>
      </ns0:c>
      <ns0:c r="C144" s="4" t="inlineStr">
        <ns0:is>
          <ns0:t xml:space="preserve">Current scope</ns0:t>
        </ns0:is>
      </ns0:c>
      <ns0:c r="D144" s="4" t="inlineStr">
        <ns0:is>
          <ns0:t>2026-10-31 finalized: Separate model policies for catalogue, stock items and package sizes. Managers/Super Admin manage setup; Volunteers select existing choices and view balances/totals, but cannot manage catalogue/setup or view movement history. Enforce display and submission/delete authorization on server; hidden buttons alone insufficient.</ns0:t>
        </ns0:is>
      </ns0:c>
      <ns0:c r="E144" s="4" t="inlineStr">
        <ns0:is>
          <ns0:t xml:space="preserve">FB-031, FB-037, FB-048</ns0:t>
        </ns0:is>
      </ns0:c>
      <ns0:c r="F144" s="4" t="inlineStr">
        <ns0:is>
          <ns0:t xml:space="preserve">Stories!B34</ns0:t>
        </ns0:is>
      </ns0:c>
    </ns0:row>
    <ns0:row r="145" ht="65" customHeight="1">
      <ns0:c r="A145" s="28" t="inlineStr">
        <ns0:is>
          <ns0:t xml:space="preserve">REQ-142</ns0:t>
        </ns0:is>
      </ns0:c>
      <ns0:c r="B145" s="28" t="inlineStr">
        <ns0:is>
          <ns0:t xml:space="preserve">Inventory management — first version, planning complete</ns0:t>
        </ns0:is>
      </ns0:c>
      <ns0:c r="C145" s="28" t="inlineStr">
        <ns0:is>
          <ns0:t xml:space="preserve">Current scope</ns0:t>
        </ns0:is>
      </ns0:c>
      <ns0:c r="D145" s="28" t="inlineStr">
        <ns0:is>
          <ns0:t>2026-10-31 finalized: Catalogue list shows Product name and current Department/Category path, without status. Retain existing Product-name search and Department/Category filters, 10 rows/page, Create/Edit permissions and responsive layout. Stock-only no-dropdown search decision does not remove catalogue hierarchy filters.</ns0:t>
        </ns0:is>
      </ns0:c>
      <ns0:c r="E145" s="28" t="inlineStr">
        <ns0:is>
          <ns0:t xml:space="preserve">FB-037–FB-046</ns0:t>
        </ns0:is>
      </ns0:c>
      <ns0:c r="F145" s="28" t="inlineStr">
        <ns0:is>
          <ns0:t xml:space="preserve">Stories!B39</ns0:t>
        </ns0:is>
      </ns0:c>
    </ns0:row>
    <ns0:row r="146" ht="52" customHeight="1">
      <ns0:c r="A146" s="4" t="inlineStr">
        <ns0:is>
          <ns0:t xml:space="preserve">REQ-143</ns0:t>
        </ns0:is>
      </ns0:c>
      <ns0:c r="B146" s="4" t="inlineStr">
        <ns0:is>
          <ns0:t xml:space="preserve">Inventory management — first version, planning complete</ns0:t>
        </ns0:is>
      </ns0:c>
      <ns0:c r="C146" s="4" t="inlineStr">
        <ns0:is>
          <ns0:t xml:space="preserve">Current scope</ns0:t>
        </ns0:is>
      </ns0:c>
      <ns0:c r="D146" s="4" t="inlineStr">
        <ns0:is>
          <ns0:t xml:space="preserve">Show 10 products per page. Search and filters apply across the full catalogue before results are divided into pages.</ns0:t>
        </ns0:is>
      </ns0:c>
      <ns0:c r="E146" s="4" t="inlineStr">
        <ns0:is>
          <ns0:t xml:space="preserve">FB-037–FB-046</ns0:t>
        </ns0:is>
      </ns0:c>
      <ns0:c r="F146" s="4" t="inlineStr">
        <ns0:is>
          <ns0:t xml:space="preserve">Stories!B39</ns0:t>
        </ns0:is>
      </ns0:c>
    </ns0:row>
    <ns0:row r="147" ht="65" customHeight="1">
      <ns0:c r="A147" s="28" t="inlineStr">
        <ns0:is>
          <ns0:t xml:space="preserve">REQ-144</ns0:t>
        </ns0:is>
      </ns0:c>
      <ns0:c r="B147" s="28" t="inlineStr">
        <ns0:is>
          <ns0:t xml:space="preserve">Inventory management — first version, planning complete</ns0:t>
        </ns0:is>
      </ns0:c>
      <ns0:c r="C147" s="28" t="inlineStr">
        <ns0:is>
          <ns0:t xml:space="preserve">Verification</ns0:t>
        </ns0:is>
      </ns0:c>
      <ns0:c r="D147" s="28" t="inlineStr">
        <ns0:is>
          <ns0:t>2026-10-31 finalized: Version-one stock plan explicitly finalized by developer on 2026-10-31. Requirements and acceptance checks describe approved behaviour, not implemented/tested completion. Ask developer before the first implementation lesson. Existing account deferrals remain; Super Admin recovery is final implementation item.</ns0:t>
        </ns0:is>
      </ns0:c>
      <ns0:c r="E147" s="28" t="inlineStr">
        <ns0:is>
          <ns0:t xml:space="preserve">FB-067–FB-069</ns0:t>
        </ns0:is>
      </ns0:c>
      <ns0:c r="F147" s="28" t="inlineStr">
        <ns0:is>
          <ns0:t xml:space="preserve">Stories!B51</ns0:t>
        </ns0:is>
      </ns0:c>
    </ns0:row>
    <ns0:row r="148" ht="66.0" customHeight="1">
      <ns0:c r="A148" s="4" t="inlineStr">
        <ns0:is>
          <ns0:t xml:space="preserve">REQ-145</ns0:t>
        </ns0:is>
      </ns0:c>
      <ns0:c r="B148" s="4" t="inlineStr">
        <ns0:is>
          <ns0:t xml:space="preserve">Inventory management — first version, planning complete</ns0:t>
        </ns0:is>
      </ns0:c>
      <ns0:c r="C148" s="4" t="inlineStr">
        <ns0:is>
          <ns0:t xml:space="preserve">Verification</ns0:t>
        </ns0:is>
      </ns0:c>
      <ns0:c r="D148" s="4" t="inlineStr">
        <ns0:is>
          <ns0:t xml:space="preserve">2026-10-31 finalized: Verify three-level catalogue, required fields, normalized per-category uniqueness and cross-category confirmation. Verify Product activation/status is removed without changing account status rules. Catalogue codes, stock fields and tags excluded. Previous status-bearing catalogue snapshot requires scoped re-verification.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48" s="4" t="inlineStr">
        <ns0:is>
          <ns0:t xml:space="preserve">FB-067, FB-069</ns0:t>
        </ns0:is>
      </ns0:c>
      <ns0:c r="F148" s="4" t="inlineStr">
        <ns0:is>
          <ns0:t xml:space="preserve">Stories!B51</ns0:t>
        </ns0:is>
      </ns0:c>
    </ns0:row>
    <ns0:row r="149" ht="52" customHeight="1">
      <ns0:c r="A149" s="28" t="inlineStr">
        <ns0:is>
          <ns0:t xml:space="preserve">REQ-146</ns0:t>
        </ns0:is>
      </ns0:c>
      <ns0:c r="B149" s="28" t="inlineStr">
        <ns0:is>
          <ns0:t xml:space="preserve">Inventory management — first version, planning complete</ns0:t>
        </ns0:is>
      </ns0:c>
      <ns0:c r="C149" s="28" t="inlineStr">
        <ns0:is>
          <ns0:t xml:space="preserve">Verification</ns0:t>
        </ns0:is>
      </ns0:c>
      <ns0:c r="D149" s="28" t="inlineStr">
        <ns0:is>
          <ns0:t xml:space="preserve">Verify Receive, Distribute, and Adjust balances; prevent negative stock, including when multiple users save simultaneously.</ns0:t>
        </ns0:is>
      </ns0:c>
      <ns0:c r="E149" s="28" t="inlineStr">
        <ns0:is>
          <ns0:t xml:space="preserve">FB-051, FB-052, FB-056, FB-063, FB-068, FB-069</ns0:t>
        </ns0:is>
      </ns0:c>
      <ns0:c r="F149" s="28" t="inlineStr">
        <ns0:is>
          <ns0:t xml:space="preserve">Stories!B55</ns0:t>
        </ns0:is>
      </ns0:c>
    </ns0:row>
    <ns0:row r="150" ht="52" customHeight="1">
      <ns0:c r="A150" s="4" t="inlineStr">
        <ns0:is>
          <ns0:t xml:space="preserve">REQ-147</ns0:t>
        </ns0:is>
      </ns0:c>
      <ns0:c r="B150" s="4" t="inlineStr">
        <ns0:is>
          <ns0:t xml:space="preserve">Inventory management — first version, planning complete</ns0:t>
        </ns0:is>
      </ns0:c>
      <ns0:c r="C150" s="4" t="inlineStr">
        <ns0:is>
          <ns0:t xml:space="preserve">Verification</ns0:t>
        </ns0:is>
      </ns0:c>
      <ns0:c r="D150" s="4" t="inlineStr">
        <ns0:is>
          <ns0:t xml:space="preserve">Verify multi-product entries save all movements together or none.</ns0:t>
        </ns0:is>
      </ns0:c>
      <ns0:c r="E150" s="4" t="inlineStr">
        <ns0:is>
          <ns0:t xml:space="preserve">FB-051, FB-063, FB-068, FB-069</ns0:t>
        </ns0:is>
      </ns0:c>
      <ns0:c r="F150" s="4" t="inlineStr">
        <ns0:is>
          <ns0:t xml:space="preserve">Stories!B55</ns0:t>
        </ns0:is>
      </ns0:c>
    </ns0:row>
    <ns0:row r="151" ht="65" customHeight="1">
      <ns0:c r="A151" s="28" t="inlineStr">
        <ns0:is>
          <ns0:t xml:space="preserve">REQ-148</ns0:t>
        </ns0:is>
      </ns0:c>
      <ns0:c r="B151" s="28" t="inlineStr">
        <ns0:is>
          <ns0:t xml:space="preserve">Inventory management — first version, planning complete</ns0:t>
        </ns0:is>
      </ns0:c>
      <ns0:c r="C151" s="28" t="inlineStr">
        <ns0:is>
          <ns0:t xml:space="preserve">Verification</ns0:t>
        </ns0:is>
      </ns0:c>
      <ns0:c r="D151" s="28" t="inlineStr">
        <ns0:is>
          <ns0:t>2026-10-31 finalized: Verify whole-package counts, one entry row per stock_item_id, optional brand normalization, reusable nonduplicate packages, g/kg and ml/litre summaries, separate row totals and combined Product totals across all pages, zero balances and first-item unit initialization.</ns0:t>
        </ns0:is>
      </ns0:c>
      <ns0:c r="E151" s="28" t="inlineStr">
        <ns0:is>
          <ns0:t xml:space="preserve">FB-050, FB-061, FB-065, FB-066, FB-068, FB-069</ns0:t>
        </ns0:is>
      </ns0:c>
      <ns0:c r="F151" s="28" t="inlineStr">
        <ns0:is>
          <ns0:t xml:space="preserve">Stories!B54</ns0:t>
        </ns0:is>
      </ns0:c>
    </ns0:row>
    <ns0:row r="152" ht="65" customHeight="1">
      <ns0:c r="A152" s="4" t="inlineStr">
        <ns0:is>
          <ns0:t xml:space="preserve">REQ-149</ns0:t>
        </ns0:is>
      </ns0:c>
      <ns0:c r="B152" s="4" t="inlineStr">
        <ns0:is>
          <ns0:t xml:space="preserve">Inventory management — first version, planning complete</ns0:t>
        </ns0:is>
      </ns0:c>
      <ns0:c r="C152" s="4" t="inlineStr">
        <ns0:is>
          <ns0:t xml:space="preserve">Verification</ns0:t>
        </ns0:is>
      </ns0:c>
      <ns0:c r="D152" s="4" t="inlineStr">
        <ns0:is>
          <ns0:t xml:space="preserve">2026-10-31 finalized: Verify no Product/stock-item activation behaviour, package immutability after reference, Product/package stock-item locks after any movement, Product unit lock after any movement, pre-use unit reset/recalculation and unused-only deletion with concurrent protection.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52" s="4" t="inlineStr">
        <ns0:is>
          <ns0:t xml:space="preserve">FB-048, FB-053, FB-068, FB-069</ns0:t>
        </ns0:is>
      </ns0:c>
      <ns0:c r="F152" s="4" t="inlineStr">
        <ns0:is>
          <ns0:t xml:space="preserve">Stories!B50</ns0:t>
        </ns0:is>
      </ns0:c>
    </ns0:row>
    <ns0:row r="153" ht="65" customHeight="1">
      <ns0:c r="A153" s="28" t="inlineStr">
        <ns0:is>
          <ns0:t xml:space="preserve">REQ-150</ns0:t>
        </ns0:is>
      </ns0:c>
      <ns0:c r="B153" s="28" t="inlineStr">
        <ns0:is>
          <ns0:t xml:space="preserve">Inventory management — first version, planning complete</ns0:t>
        </ns0:is>
      </ns0:c>
      <ns0:c r="C153" s="28" t="inlineStr">
        <ns0:is>
          <ns0:t xml:space="preserve">Verification</ns0:t>
        </ns0:is>
      </ns0:c>
      <ns0:c r="D153" s="28" t="inlineStr">
        <ns0:is>
          <ns0:t>2026-10-31 finalized: Verify server permissions and direct requests: all three roles view balances/totals and record movements; Volunteers cannot manage catalogue/package/stock setup, delete setup records or browse history. Retain user-account restrictions.</ns0:t>
        </ns0:is>
      </ns0:c>
      <ns0:c r="E153" s="28" t="inlineStr">
        <ns0:is>
          <ns0:t xml:space="preserve">FB-067, FB-051, FB-054, FB-056, FB-063, FB-066, FB-068, FB-069</ns0:t>
        </ns0:is>
      </ns0:c>
      <ns0:c r="F153" s="28" t="inlineStr">
        <ns0:is>
          <ns0:t xml:space="preserve">Stories!B51</ns0:t>
        </ns0:is>
      </ns0:c>
    </ns0:row>
    <ns0:row r="154" ht="65" customHeight="1">
      <ns0:c r="A154" s="4" t="inlineStr">
        <ns0:is>
          <ns0:t xml:space="preserve">REQ-151</ns0:t>
        </ns0:is>
      </ns0:c>
      <ns0:c r="B154" s="4" t="inlineStr">
        <ns0:is>
          <ns0:t xml:space="preserve">Inventory management — first version, planning complete</ns0:t>
        </ns0:is>
      </ns0:c>
      <ns0:c r="C154" s="4" t="inlineStr">
        <ns0:is>
          <ns0:t xml:space="preserve">Verification</ns0:t>
        </ns0:is>
      </ns0:c>
      <ns0:c r="D154" s="4" t="inlineStr">
        <ns0:is>
          <ns0:t>2026-10-31 finalized: Verify separate stock screens and single searches without stock dropdown filters; 10-row pages on Stock items/Product totals/history; newest-first item history, household selection, distribution review, picker availability restrictions, processing/errors/retained input/success feedback.</ns0:t>
        </ns0:is>
      </ns0:c>
      <ns0:c r="E154" s="4" t="inlineStr">
        <ns0:is>
          <ns0:t xml:space="preserve">FB-067, FB-052, FB-058, FB-060, FB-062, FB-064, FB-068, FB-069</ns0:t>
        </ns0:is>
      </ns0:c>
      <ns0:c r="F154" s="4" t="inlineStr">
        <ns0:is>
          <ns0:t xml:space="preserve">Stories!B51</ns0:t>
        </ns0:is>
      </ns0:c>
    </ns0:row>
    <ns0:row r="155" ht="52" customHeight="1">
      <ns0:c r="A155" s="28" t="inlineStr">
        <ns0:is>
          <ns0:t xml:space="preserve">REQ-152</ns0:t>
        </ns0:is>
      </ns0:c>
      <ns0:c r="B155" s="28" t="inlineStr">
        <ns0:is>
          <ns0:t xml:space="preserve">##FUTURE — Confirmed future direction</ns0:t>
        </ns0:is>
      </ns0:c>
      <ns0:c r="C155" s="28" t="inlineStr">
        <ns0:is>
          <ns0:t xml:space="preserve">##FUTURE</ns0:t>
        </ns0:is>
      </ns0:c>
      <ns0:c r="D155" s="28" t="inlineStr">
        <ns0:is>
          <ns0:t xml:space="preserve">##FUTURE Batch and expiry tracking, including separate expiry dates for different deliveries of the same product. Version one tracks stock at product level without batch or expiry balances.</ns0:t>
        </ns0:is>
      </ns0:c>
      <ns0:c r="E155" s="28" t="inlineStr">
        <ns0:is>
          <ns0:t xml:space="preserve">Deferred — no current item</ns0:t>
        </ns0:is>
      </ns0:c>
      <ns0:c r="F155" s="28" t="inlineStr">
        <ns0:is>
          <ns0:t xml:space="preserve">Deferred</ns0:t>
        </ns0:is>
      </ns0:c>
    </ns0:row>
    <ns0:row r="156" ht="52" customHeight="1">
      <ns0:c r="A156" s="4" t="inlineStr">
        <ns0:is>
          <ns0:t xml:space="preserve">REQ-153</ns0:t>
        </ns0:is>
      </ns0:c>
      <ns0:c r="B156" s="4" t="inlineStr">
        <ns0:is>
          <ns0:t xml:space="preserve">##FUTURE — Confirmed future direction</ns0:t>
        </ns0:is>
      </ns0:c>
      <ns0:c r="C156" s="4" t="inlineStr">
        <ns0:is>
          <ns0:t xml:space="preserve">##FUTURE</ns0:t>
        </ns0:is>
      </ns0:c>
      <ns0:c r="D156" s="4" t="inlineStr">
        <ns0:is>
          <ns0:t xml:space="preserve">##FUTURE Donation management module; detailed requirements remain undecided.</ns0:t>
        </ns0:is>
      </ns0:c>
      <ns0:c r="E156" s="4" t="inlineStr">
        <ns0:is>
          <ns0:t xml:space="preserve">Deferred — no current item</ns0:t>
        </ns0:is>
      </ns0:c>
      <ns0:c r="F156" s="4" t="inlineStr">
        <ns0:is>
          <ns0:t xml:space="preserve">Deferred</ns0:t>
        </ns0:is>
      </ns0:c>
    </ns0:row>
    <ns0:row r="157" ht="52" customHeight="1">
      <ns0:c r="A157" s="28" t="inlineStr">
        <ns0:is>
          <ns0:t xml:space="preserve">REQ-154</ns0:t>
        </ns0:is>
      </ns0:c>
      <ns0:c r="B157" s="28" t="inlineStr">
        <ns0:is>
          <ns0:t xml:space="preserve">##FUTURE — Confirmed future direction</ns0:t>
        </ns0:is>
      </ns0:c>
      <ns0:c r="C157" s="28" t="inlineStr">
        <ns0:is>
          <ns0:t xml:space="preserve">##FUTURE</ns0:t>
        </ns0:is>
      </ns0:c>
      <ns0:c r="D157" s="28" t="inlineStr">
        <ns0:is>
          <ns0:t xml:space="preserve">##FUTURE Purchase management module; detailed requirements remain undecided.</ns0:t>
        </ns0:is>
      </ns0:c>
      <ns0:c r="E157" s="28" t="inlineStr">
        <ns0:is>
          <ns0:t xml:space="preserve">Deferred — no current item</ns0:t>
        </ns0:is>
      </ns0:c>
      <ns0:c r="F157" s="28" t="inlineStr">
        <ns0:is>
          <ns0:t xml:space="preserve">Deferred</ns0:t>
        </ns0:is>
      </ns0:c>
    </ns0:row>
    <ns0:row r="158" ht="52" customHeight="1">
      <ns0:c r="A158" s="4" t="inlineStr">
        <ns0:is>
          <ns0:t xml:space="preserve">REQ-155</ns0:t>
        </ns0:is>
      </ns0:c>
      <ns0:c r="B158" s="4" t="inlineStr">
        <ns0:is>
          <ns0:t xml:space="preserve">##FUTURE — Confirmed future direction</ns0:t>
        </ns0:is>
      </ns0:c>
      <ns0:c r="C158" s="4" t="inlineStr">
        <ns0:is>
          <ns0:t xml:space="preserve">##FUTURE</ns0:t>
        </ns0:is>
      </ns0:c>
      <ns0:c r="D158" s="4" t="inlineStr">
        <ns0:is>
          <ns0:t xml:space="preserve">##FUTURE Stock tracking by location.</ns0:t>
        </ns0:is>
      </ns0:c>
      <ns0:c r="E158" s="4" t="inlineStr">
        <ns0:is>
          <ns0:t xml:space="preserve">Deferred — no current item</ns0:t>
        </ns0:is>
      </ns0:c>
      <ns0:c r="F158" s="4" t="inlineStr">
        <ns0:is>
          <ns0:t xml:space="preserve">Deferred</ns0:t>
        </ns0:is>
      </ns0:c>
    </ns0:row>
    <ns0:row r="159" ht="52" customHeight="1">
      <ns0:c r="A159" s="28" t="inlineStr">
        <ns0:is>
          <ns0:t xml:space="preserve">REQ-156</ns0:t>
        </ns0:is>
      </ns0:c>
      <ns0:c r="B159" s="28" t="inlineStr">
        <ns0:is>
          <ns0:t xml:space="preserve">##FUTURE — Confirmed future direction</ns0:t>
        </ns0:is>
      </ns0:c>
      <ns0:c r="C159" s="28" t="inlineStr">
        <ns0:is>
          <ns0:t xml:space="preserve">##FUTURE</ns0:t>
        </ns0:is>
      </ns0:c>
      <ns0:c r="D159" s="28" t="inlineStr">
        <ns0:is>
          <ns0:t xml:space="preserve">##FUTURE Inventory quantities measured by loose weight and conversions between units. Detailed requirements remain undecided.</ns0:t>
        </ns0:is>
      </ns0:c>
      <ns0:c r="E159" s="28" t="inlineStr">
        <ns0:is>
          <ns0:t xml:space="preserve">Deferred — no current item</ns0:t>
        </ns0:is>
      </ns0:c>
      <ns0:c r="F159" s="28" t="inlineStr">
        <ns0:is>
          <ns0:t xml:space="preserve">Deferred</ns0:t>
        </ns0:is>
      </ns0:c>
    </ns0:row>
    <ns0:row r="160" ht="52" customHeight="1">
      <ns0:c r="A160" s="4" t="inlineStr">
        <ns0:is>
          <ns0:t xml:space="preserve">REQ-157</ns0:t>
        </ns0:is>
      </ns0:c>
      <ns0:c r="B160" s="4" t="inlineStr">
        <ns0:is>
          <ns0:t xml:space="preserve">##FUTURE — Confirmed future direction</ns0:t>
        </ns0:is>
      </ns0:c>
      <ns0:c r="C160" s="4" t="inlineStr">
        <ns0:is>
          <ns0:t xml:space="preserve">##FUTURE</ns0:t>
        </ns0:is>
      </ns0:c>
      <ns0:c r="D160" s="4" t="inlineStr">
        <ns0:is>
          <ns0:t xml:space="preserve">##FUTURE Activity history recording who created, edited, activated, deactivated, or reset an account. Detailed requirements remain undecided.</ns0:t>
        </ns0:is>
      </ns0:c>
      <ns0:c r="E160" s="4" t="inlineStr">
        <ns0:is>
          <ns0:t xml:space="preserve">Deferred — no current item</ns0:t>
        </ns0:is>
      </ns0:c>
      <ns0:c r="F160" s="4" t="inlineStr">
        <ns0:is>
          <ns0:t xml:space="preserve">Deferred</ns0:t>
        </ns0:is>
      </ns0:c>
    </ns0:row>
    <ns0:row r="161" ht="52" customHeight="1">
      <ns0:c r="A161" s="28" t="inlineStr">
        <ns0:is>
          <ns0:t xml:space="preserve">REQ-158</ns0:t>
        </ns0:is>
      </ns0:c>
      <ns0:c r="B161" s="28" t="inlineStr">
        <ns0:is>
          <ns0:t xml:space="preserve">##FUTURE — Confirmed future direction</ns0:t>
        </ns0:is>
      </ns0:c>
      <ns0:c r="C161" s="28" t="inlineStr">
        <ns0:is>
          <ns0:t xml:space="preserve">##FUTURE</ns0:t>
        </ns0:is>
      </ns0:c>
      <ns0:c r="D161" s="28" t="inlineStr">
        <ns0:is>
          <ns0:t xml:space="preserve">##FUTURE Household registration and management.</ns0:t>
        </ns0:is>
      </ns0:c>
      <ns0:c r="E161" s="28" t="inlineStr">
        <ns0:is>
          <ns0:t xml:space="preserve">Deferred — no current item</ns0:t>
        </ns0:is>
      </ns0:c>
      <ns0:c r="F161" s="28" t="inlineStr">
        <ns0:is>
          <ns0:t xml:space="preserve">Deferred</ns0:t>
        </ns0:is>
      </ns0:c>
    </ns0:row>
    <ns0:row r="162" ht="52" customHeight="1">
      <ns0:c r="A162" s="4" t="inlineStr">
        <ns0:is>
          <ns0:t xml:space="preserve">REQ-159</ns0:t>
        </ns0:is>
      </ns0:c>
      <ns0:c r="B162" s="4" t="inlineStr">
        <ns0:is>
          <ns0:t xml:space="preserve">##FUTURE — Confirmed future direction</ns0:t>
        </ns0:is>
      </ns0:c>
      <ns0:c r="C162" s="4" t="inlineStr">
        <ns0:is>
          <ns0:t xml:space="preserve">##FUTURE</ns0:t>
        </ns0:is>
      </ns0:c>
      <ns0:c r="D162" s="4" t="inlineStr">
        <ns0:is>
          <ns0:t xml:space="preserve">##FUTURE Appointment management.</ns0:t>
        </ns0:is>
      </ns0:c>
      <ns0:c r="E162" s="4" t="inlineStr">
        <ns0:is>
          <ns0:t xml:space="preserve">Deferred — no current item</ns0:t>
        </ns0:is>
      </ns0:c>
      <ns0:c r="F162" s="4" t="inlineStr">
        <ns0:is>
          <ns0:t xml:space="preserve">Deferred</ns0:t>
        </ns0:is>
      </ns0:c>
    </ns0:row>
    <ns0:row r="163" ht="52" customHeight="1">
      <ns0:c r="A163" s="28" t="inlineStr">
        <ns0:is>
          <ns0:t xml:space="preserve">REQ-160</ns0:t>
        </ns0:is>
      </ns0:c>
      <ns0:c r="B163" s="28" t="inlineStr">
        <ns0:is>
          <ns0:t xml:space="preserve">##FUTURE — Confirmed future direction</ns0:t>
        </ns0:is>
      </ns0:c>
      <ns0:c r="C163" s="28" t="inlineStr">
        <ns0:is>
          <ns0:t xml:space="preserve">##FUTURE</ns0:t>
        </ns0:is>
      </ns0:c>
      <ns0:c r="D163" s="28" t="inlineStr">
        <ns0:is>
          <ns0:t xml:space="preserve">##FUTURE Email-based initial password setup links.</ns0:t>
        </ns0:is>
      </ns0:c>
      <ns0:c r="E163" s="28" t="inlineStr">
        <ns0:is>
          <ns0:t xml:space="preserve">Deferred — no current item</ns0:t>
        </ns0:is>
      </ns0:c>
      <ns0:c r="F163" s="28" t="inlineStr">
        <ns0:is>
          <ns0:t xml:space="preserve">Deferred</ns0:t>
        </ns0:is>
      </ns0:c>
    </ns0:row>
    <ns0:row r="164" ht="52" customHeight="1">
      <ns0:c r="A164" s="4" t="inlineStr">
        <ns0:is>
          <ns0:t xml:space="preserve">REQ-161</ns0:t>
        </ns0:is>
      </ns0:c>
      <ns0:c r="B164" s="4" t="inlineStr">
        <ns0:is>
          <ns0:t xml:space="preserve">##FUTURE — Confirmed future direction</ns0:t>
        </ns0:is>
      </ns0:c>
      <ns0:c r="C164" s="4" t="inlineStr">
        <ns0:is>
          <ns0:t xml:space="preserve">##FUTURE</ns0:t>
        </ns0:is>
      </ns0:c>
      <ns0:c r="D164" s="4"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64" s="4" t="inlineStr">
        <ns0:is>
          <ns0:t xml:space="preserve">Deferred — no current item</ns0:t>
        </ns0:is>
      </ns0:c>
      <ns0:c r="F164" s="4" t="inlineStr">
        <ns0:is>
          <ns0:t xml:space="preserve">Deferred</ns0:t>
        </ns0:is>
      </ns0:c>
    </ns0:row>
    <ns0:row r="165" ht="52" customHeight="1">
      <ns0:c r="A165" s="28" t="inlineStr">
        <ns0:is>
          <ns0:t xml:space="preserve">REQ-162</ns0:t>
        </ns0:is>
      </ns0:c>
      <ns0:c r="B165" s="28" t="inlineStr">
        <ns0:is>
          <ns0:t xml:space="preserve">##FUTURE — Confirmed future direction</ns0:t>
        </ns0:is>
      </ns0:c>
      <ns0:c r="C165" s="28" t="inlineStr">
        <ns0:is>
          <ns0:t xml:space="preserve">##FUTURE</ns0:t>
        </ns0:is>
      </ns0:c>
      <ns0:c r="D165" s="28" t="inlineStr">
        <ns0:is>
          <ns0:t xml:space="preserve">##FUTURE Self-service profile editing (name, email, and phone).</ns0:t>
        </ns0:is>
      </ns0:c>
      <ns0:c r="E165" s="28" t="inlineStr">
        <ns0:is>
          <ns0:t xml:space="preserve">Deferred — no current item</ns0:t>
        </ns0:is>
      </ns0:c>
      <ns0:c r="F165" s="28" t="inlineStr">
        <ns0:is>
          <ns0:t xml:space="preserve">Deferred</ns0:t>
        </ns0:is>
      </ns0:c>
    </ns0:row>
    <ns0:row r="166" ht="52" customHeight="1">
      <ns0:c r="A166" s="4" t="inlineStr">
        <ns0:is>
          <ns0:t xml:space="preserve">REQ-163</ns0:t>
        </ns0:is>
      </ns0:c>
      <ns0:c r="B166" s="4" t="inlineStr">
        <ns0:is>
          <ns0:t xml:space="preserve">##FUTURE — Confirmed future direction</ns0:t>
        </ns0:is>
      </ns0:c>
      <ns0:c r="C166" s="4" t="inlineStr">
        <ns0:is>
          <ns0:t xml:space="preserve">##FUTURE</ns0:t>
        </ns0:is>
      </ns0:c>
      <ns0:c r="D166" s="4" t="inlineStr">
        <ns0:is>
          <ns0:t xml:space="preserve">##FUTURE Volunteer deletion; deletion and record-retention rules remain undecided.</ns0:t>
        </ns0:is>
      </ns0:c>
      <ns0:c r="E166" s="4" t="inlineStr">
        <ns0:is>
          <ns0:t xml:space="preserve">Deferred — no current item</ns0:t>
        </ns0:is>
      </ns0:c>
      <ns0:c r="F166" s="4" t="inlineStr">
        <ns0:is>
          <ns0:t xml:space="preserve">Deferred</ns0:t>
        </ns0:is>
      </ns0:c>
    </ns0:row>
    <ns0:row r="167" ht="52" customHeight="1">
      <ns0:c r="A167" s="28" t="inlineStr">
        <ns0:is>
          <ns0:t xml:space="preserve">REQ-164</ns0:t>
        </ns0:is>
      </ns0:c>
      <ns0:c r="B167" s="28" t="inlineStr">
        <ns0:is>
          <ns0:t xml:space="preserve">##FUTURE — Confirmed future direction</ns0:t>
        </ns0:is>
      </ns0:c>
      <ns0:c r="C167" s="28" t="inlineStr">
        <ns0:is>
          <ns0:t xml:space="preserve">##FUTURE</ns0:t>
        </ns0:is>
      </ns0:c>
      <ns0:c r="D167" s="28" t="inlineStr">
        <ns0:is>
          <ns0:t xml:space="preserve">##FUTURE Broader volunteer module, beyond basic data management; specific capabilities still need discussion.</ns0:t>
        </ns0:is>
      </ns0:c>
      <ns0:c r="E167" s="28" t="inlineStr">
        <ns0:is>
          <ns0:t xml:space="preserve">Deferred — no current item</ns0:t>
        </ns0:is>
      </ns0:c>
      <ns0:c r="F167" s="28" t="inlineStr">
        <ns0:is>
          <ns0:t xml:space="preserve">Deferred</ns0:t>
        </ns0:is>
      </ns0:c>
    </ns0:row>
    <ns0:row r="168" ht="52" customHeight="1">
      <ns0:c r="A168" s="4" t="inlineStr">
        <ns0:is>
          <ns0:t xml:space="preserve">REQ-165</ns0:t>
        </ns0:is>
      </ns0:c>
      <ns0:c r="B168" s="4" t="inlineStr">
        <ns0:is>
          <ns0:t xml:space="preserve">##FUTURE — Confirmed future direction</ns0:t>
        </ns0:is>
      </ns0:c>
      <ns0:c r="C168" s="4" t="inlineStr">
        <ns0:is>
          <ns0:t xml:space="preserve">##FUTURE</ns0:t>
        </ns0:is>
      </ns0:c>
      <ns0:c r="D168" s="4" t="inlineStr">
        <ns0:is>
          <ns0:t xml:space="preserve">##FUTURE Additional roles, to be defined later.</ns0:t>
        </ns0:is>
      </ns0:c>
      <ns0:c r="E168" s="4" t="inlineStr">
        <ns0:is>
          <ns0:t xml:space="preserve">Deferred — no current item</ns0:t>
        </ns0:is>
      </ns0:c>
      <ns0:c r="F168" s="4" t="inlineStr">
        <ns0:is>
          <ns0:t xml:space="preserve">Deferred</ns0:t>
        </ns0:is>
      </ns0:c>
    </ns0:row>
    <ns0:row r="169" ht="52" customHeight="1">
      <ns0:c r="A169" s="28" t="inlineStr">
        <ns0:is>
          <ns0:t xml:space="preserve">REQ-166</ns0:t>
        </ns0:is>
      </ns0:c>
      <ns0:c r="B169" s="28" t="inlineStr">
        <ns0:is>
          <ns0:t xml:space="preserve">1. Roles and account creation</ns0:t>
        </ns0:is>
      </ns0:c>
      <ns0:c r="C169" s="28" t="inlineStr">
        <ns0:is>
          <ns0:t xml:space="preserve">Current scope</ns0:t>
        </ns0:is>
      </ns0:c>
      <ns0:c r="D169" s="28"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169" s="28" t="inlineStr">
        <ns0:is>
          <ns0:t xml:space="preserve">FB-021</ns0:t>
        </ns0:is>
      </ns0:c>
      <ns0:c r="F169" s="28" t="inlineStr">
        <ns0:is>
          <ns0:t xml:space="preserve">Stories!B25</ns0:t>
        </ns0:is>
      </ns0:c>
    </ns0:row>
    <ns0:row r="170" ht="76" customHeight="1">
      <ns0:c r="A170" s="4" t="inlineStr">
        <ns0:is>
          <ns0:t xml:space="preserve">REQ-167</ns0:t>
        </ns0:is>
      </ns0:c>
      <ns0:c r="B170" s="4" t="inlineStr">
        <ns0:is>
          <ns0:t xml:space="preserve">Business context</ns0:t>
        </ns0:is>
      </ns0:c>
      <ns0:c r="C170" s="4" t="inlineStr">
        <ns0:is>
          <ns0:t xml:space="preserve">Current scope</ns0:t>
        </ns0:is>
      </ns0:c>
      <ns0:c r="D170" s="4" t="inlineStr">
        <ns0:is>
          <ns0: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ns0:t>
        </ns0:is>
      </ns0:c>
      <ns0:c r="E170" s="4" t="inlineStr">
        <ns0:is>
          <ns0:t xml:space="preserve">FB-057</ns0:t>
        </ns0:is>
      </ns0:c>
      <ns0:c r="F170" s="4" t="inlineStr">
        <ns0:is>
          <ns0:t xml:space="preserve">Stories!B63</ns0:t>
        </ns0:is>
      </ns0:c>
    </ns0:row>
    <ns0:row r="171" ht="52" customHeight="1">
      <ns0:c r="A171" s="28" t="inlineStr">
        <ns0:is>
          <ns0:t xml:space="preserve">REQ-168</ns0:t>
        </ns0:is>
      </ns0:c>
      <ns0:c r="B171" s="28" t="inlineStr">
        <ns0:is>
          <ns0:t xml:space="preserve">Business context</ns0:t>
        </ns0:is>
      </ns0:c>
      <ns0:c r="C171" s="28" t="inlineStr">
        <ns0:is>
          <ns0:t xml:space="preserve">Current scope</ns0:t>
        </ns0:is>
      </ns0:c>
      <ns0:c r="D171" s="28" t="inlineStr">
        <ns0:is>
          <ns0:t xml:space="preserve">Food recipients belong to registered households.</ns0:t>
        </ns0:is>
      </ns0:c>
      <ns0:c r="E171" s="28" t="inlineStr">
        <ns0:is>
          <ns0:t xml:space="preserve">FB-057–FB-064</ns0:t>
        </ns0:is>
      </ns0:c>
      <ns0:c r="F171" s="28" t="inlineStr">
        <ns0:is>
          <ns0:t xml:space="preserve">Stories!B63</ns0:t>
        </ns0:is>
      </ns0:c>
    </ns0:row>
    <ns0:row r="172" ht="52" customHeight="1">
      <ns0:c r="A172" s="4" t="inlineStr">
        <ns0:is>
          <ns0:t xml:space="preserve">REQ-169</ns0:t>
        </ns0:is>
      </ns0:c>
      <ns0:c r="B172" s="4" t="inlineStr">
        <ns0:is>
          <ns0:t xml:space="preserve">Business context</ns0:t>
        </ns0:is>
      </ns0:c>
      <ns0:c r="C172" s="4" t="inlineStr">
        <ns0:is>
          <ns0:t xml:space="preserve">Current scope</ns0:t>
        </ns0:is>
      </ns0:c>
      <ns0:c r="D172" s="4" t="inlineStr">
        <ns0:is>
          <ns0:t xml:space="preserve">Assume households have appointments when they arrive to receive food.</ns0:t>
        </ns0:is>
      </ns0:c>
      <ns0:c r="E172" s="4" t="inlineStr">
        <ns0:is>
          <ns0:t xml:space="preserve">FB-057–FB-064</ns0:t>
        </ns0:is>
      </ns0:c>
      <ns0:c r="F172" s="4" t="inlineStr">
        <ns0:is>
          <ns0:t xml:space="preserve">Stories!B63</ns0:t>
        </ns0:is>
      </ns0:c>
    </ns0:row>
    <ns0:row r="173" ht="61" customHeight="1">
      <ns0:c r="A173" s="28" t="inlineStr">
        <ns0:is>
          <ns0:t xml:space="preserve">REQ-170</ns0:t>
        </ns0:is>
      </ns0:c>
      <ns0:c r="B173" s="28" t="inlineStr">
        <ns0:is>
          <ns0:t xml:space="preserve">Business context</ns0:t>
        </ns0:is>
      </ns0:c>
      <ns0:c r="C173" s="28" t="inlineStr">
        <ns0:is>
          <ns0:t xml:space="preserve">Current scope</ns0:t>
        </ns0:is>
      </ns0:c>
      <ns0:c r="D173" s="28" t="inlineStr">
        <ns0:is>
          <ns0: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ns0:t>
        </ns0:is>
      </ns0:c>
      <ns0:c r="E173" s="28" t="inlineStr">
        <ns0:is>
          <ns0:t xml:space="preserve">FB-057–FB-064</ns0:t>
        </ns0:is>
      </ns0:c>
      <ns0:c r="F173" s="28" t="inlineStr">
        <ns0:is>
          <ns0:t xml:space="preserve">Stories!B63</ns0:t>
        </ns0:is>
      </ns0:c>
    </ns0:row>
    <ns0:row r="174" ht="65" customHeight="1">
      <ns0:c r="A174" s="4" t="inlineStr">
        <ns0:is>
          <ns0:t xml:space="preserve">REQ-171</ns0:t>
        </ns0:is>
      </ns0:c>
      <ns0:c r="B174" s="4" t="inlineStr">
        <ns0:is>
          <ns0:t xml:space="preserve">Business context</ns0:t>
        </ns0:is>
      </ns0:c>
      <ns0:c r="C174" s="4" t="inlineStr">
        <ns0:is>
          <ns0:t xml:space="preserve">Current scope</ns0:t>
        </ns0:is>
      </ns0:c>
      <ns0:c r="D174" s="4" t="inlineStr">
        <ns0:is>
          <ns0:t>2026-10-31 finalized: Inventory and household distribution are current scope as detailed here. Donation/purchase/household/appointment management remain future. Approved reporting is separate Product totals and stock-item history, not Subcategory totals or monetary valuation.</ns0:t>
        </ns0:is>
      </ns0:c>
      <ns0:c r="E174" s="4" t="inlineStr">
        <ns0:is>
          <ns0:t xml:space="preserve">FB-057–FB-064</ns0:t>
        </ns0:is>
      </ns0:c>
      <ns0:c r="F174" s="4" t="inlineStr">
        <ns0:is>
          <ns0:t xml:space="preserve">Stories!B63</ns0:t>
        </ns0:is>
      </ns0:c>
    </ns0:row>
    <ns0:row r="175" ht="61" customHeight="1">
      <ns0:c r="A175" s="28" t="inlineStr">
        <ns0:is>
          <ns0:t xml:space="preserve">REQ-172</ns0:t>
        </ns0:is>
      </ns0:c>
      <ns0:c r="B175" s="28" t="inlineStr">
        <ns0:is>
          <ns0:t xml:space="preserve">Build order</ns0:t>
        </ns0:is>
      </ns0:c>
      <ns0:c r="C175" s="28" t="inlineStr">
        <ns0:is>
          <ns0:t xml:space="preserve">Project context</ns0:t>
        </ns0:is>
      </ns0:c>
      <ns0:c r="D175" s="28" t="str">
        <ns0: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2026-10-30 explicit developer-approved early sidebar integration of User Management and Product Catalogue only. Remaining FB-008 role landing pages and account/password deferrals unchanged; preserve existing policy permissions.</ns0:v>
      </ns0:c>
      <ns0:c r="E175" s="28" t="inlineStr">
        <ns0:is>
          <ns0:t xml:space="preserve">All current items</ns0:t>
        </ns0:is>
      </ns0:c>
      <ns0:c r="F175" s="28" t="inlineStr">
        <ns0:is>
          <ns0:t xml:space="preserve">Stories!B4</ns0:t>
        </ns0:is>
      </ns0:c>
    </ns0:row>
    <ns0:row r="176" ht="52" customHeight="1">
      <ns0:c r="A176" s="4" t="inlineStr">
        <ns0:is>
          <ns0:t xml:space="preserve">REQ-173</ns0:t>
        </ns0:is>
      </ns0:c>
      <ns0:c r="B176" s="4" t="inlineStr">
        <ns0:is>
          <ns0:t xml:space="preserve">Build order</ns0:t>
        </ns0:is>
      </ns0:c>
      <ns0:c r="C176" s="4" t="inlineStr">
        <ns0:is>
          <ns0:t xml:space="preserve">Project context</ns0:t>
        </ns0:is>
      </ns0:c>
      <ns0:c r="D176" s="4" t="inlineStr">
        <ns0:is>
          <ns0:t xml:space="preserve">Ask the developer to test first; test on their behalf only if delegated. A done response to test instructions confirms the developer tested it.</ns0:t>
        </ns0:is>
      </ns0:c>
      <ns0:c r="E176" s="4" t="inlineStr">
        <ns0:is>
          <ns0:t xml:space="preserve">All current items</ns0:t>
        </ns0:is>
      </ns0:c>
      <ns0:c r="F176" s="4" t="inlineStr">
        <ns0:is>
          <ns0:t xml:space="preserve">Stories!B4</ns0:t>
        </ns0:is>
      </ns0:c>
    </ns0:row>
    <ns0:row r="177" ht="100" customHeight="1">
      <ns0:c r="A177" s="28" t="inlineStr">
        <ns0:is>
          <ns0:t xml:space="preserve">REQ-174</ns0:t>
        </ns0:is>
      </ns0:c>
      <ns0:c r="B177" s="28" t="inlineStr">
        <ns0:is>
          <ns0:t xml:space="preserve">Build order</ns0:t>
        </ns0:is>
      </ns0:c>
      <ns0:c r="C177" s="28" t="inlineStr">
        <ns0:is>
          <ns0:t xml:space="preserve">Project context</ns0:t>
        </ns0:is>
      </ns0:c>
      <ns0:c r="D177" s="28" t="inlineStr">
        <ns0:is>
          <ns0: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ns0:t>
        </ns0:is>
      </ns0:c>
      <ns0:c r="E177" s="28" t="inlineStr">
        <ns0:is>
          <ns0:t xml:space="preserve">All current items</ns0:t>
        </ns0:is>
      </ns0:c>
      <ns0:c r="F177" s="28" t="inlineStr">
        <ns0:is>
          <ns0:t xml:space="preserve">Stories!B4</ns0:t>
        </ns0:is>
      </ns0:c>
    </ns0:row>
    <ns0:row r="178" ht="52" customHeight="1">
      <ns0:c r="A178" s="4" t="inlineStr">
        <ns0:is>
          <ns0:t xml:space="preserve">REQ-175</ns0:t>
        </ns0:is>
      </ns0:c>
      <ns0:c r="B178" s="4" t="inlineStr">
        <ns0:is>
          <ns0:t xml:space="preserve">Build order</ns0:t>
        </ns0:is>
      </ns0:c>
      <ns0:c r="C178" s="4" t="inlineStr">
        <ns0:is>
          <ns0:t xml:space="preserve">Project context</ns0:t>
        </ns0:is>
      </ns0:c>
      <ns0:c r="D178" s="4" t="inlineStr">
        <ns0:is>
          <ns0:t xml:space="preserve">Fixed ordering constraint: implement Super Admin recovery last.</ns0:t>
        </ns0:is>
      </ns0:c>
      <ns0:c r="E178" s="4" t="inlineStr">
        <ns0:is>
          <ns0:t xml:space="preserve">All current items</ns0:t>
        </ns0:is>
      </ns0:c>
      <ns0:c r="F178" s="4" t="inlineStr">
        <ns0:is>
          <ns0:t xml:space="preserve">Stories!B4</ns0:t>
        </ns0:is>
      </ns0:c>
    </ns0:row>
    <ns0:row r="179" ht="110" customHeight="1">
      <ns0:c r="A179" s="9" t="inlineStr">
        <ns0:is>
          <ns0:t xml:space="preserve">REQ-176</ns0:t>
        </ns0:is>
      </ns0:c>
      <ns0:c r="B179" s="9" t="inlineStr">
        <ns0:is>
          <ns0:t xml:space="preserve">Login design</ns0:t>
        </ns0:is>
      </ns0:c>
      <ns0:c r="C179" s="9" t="inlineStr">
        <ns0:is>
          <ns0:t xml:space="preserve">Current scope</ns0:t>
        </ns0:is>
      </ns0:c>
      <ns0:c r="D179" s="9" t="inlineStr">
        <ns0:is>
          <ns0: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ns0:t>
        </ns0:is>
      </ns0:c>
      <ns0:c r="E179" s="9" t="inlineStr">
        <ns0:is>
          <ns0:t xml:space="preserve">FB-002</ns0:t>
        </ns0:is>
      </ns0:c>
      <ns0:c r="F179" s="9" t="inlineStr">
        <ns0:is>
          <ns0:t xml:space="preserve">Stories!B5</ns0:t>
        </ns0:is>
      </ns0:c>
    </ns0:row>
    <ns0:row r="180" ht="110" customHeight="1">
      <ns0:c r="A180" s="4" t="inlineStr">
        <ns0:is>
          <ns0:t xml:space="preserve">REQ-177</ns0:t>
        </ns0:is>
      </ns0:c>
      <ns0:c r="B180" s="4" t="inlineStr">
        <ns0:is>
          <ns0:t xml:space="preserve">Login redesign task</ns0:t>
        </ns0:is>
      </ns0:c>
      <ns0:c r="C180" s="4" t="inlineStr">
        <ns0:is>
          <ns0:t xml:space="preserve">##FUTURE</ns0:t>
        </ns0:is>
      </ns0:c>
      <ns0:c r="D180" s="4" t="inlineStr">
        <ns0:is>
          <ns0: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ns0:t>
        </ns0:is>
      </ns0:c>
      <ns0:c r="E180" s="4" t="inlineStr">
        <ns0:is>
          <ns0:t xml:space="preserve">FB-002–FB-008 (prerequisites)</ns0:t>
        </ns0:is>
      </ns0:c>
      <ns0:c r="F180" s="4" t="inlineStr">
        <ns0:is>
          <ns0:t xml:space="preserve">Stories!B5</ns0:t>
        </ns0:is>
      </ns0:c>
    </ns0:row>
    <ns0:row r="181" ht="100" customHeight="1">
      <ns0:c r="A181" s="9" t="inlineStr">
        <ns0:is>
          <ns0:t xml:space="preserve">REQ-178</ns0:t>
        </ns0:is>
      </ns0:c>
      <ns0:c r="B181" s="9" t="inlineStr">
        <ns0:is>
          <ns0:t xml:space="preserve">Shared login: Remember me</ns0:t>
        </ns0:is>
      </ns0:c>
      <ns0:c r="C181" s="9" t="inlineStr">
        <ns0:is>
          <ns0:t xml:space="preserve">Current scope</ns0:t>
        </ns0:is>
      </ns0:c>
      <ns0:c r="D181" s="9" t="inlineStr">
        <ns0:is>
          <ns0: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81" s="9" t="inlineStr">
        <ns0:is>
          <ns0:t xml:space="preserve">FB-002, FB-003, FB-005</ns0:t>
        </ns0:is>
      </ns0:c>
      <ns0:c r="F181" s="9" t="inlineStr">
        <ns0:is>
          <ns0:t xml:space="preserve">Stories!B5</ns0:t>
        </ns0:is>
      </ns0:c>
    </ns0:row>
    <ns0:row r="182" ht="100" customHeight="1">
      <ns0:c r="A182" s="9" t="inlineStr">
        <ns0:is>
          <ns0:t xml:space="preserve">REQ-179</ns0:t>
        </ns0:is>
      </ns0:c>
      <ns0:c r="B182" s="9" t="inlineStr">
        <ns0:is>
          <ns0:t xml:space="preserve">Login keyboard order</ns0:t>
        </ns0:is>
      </ns0:c>
      <ns0:c r="C182" s="9" t="inlineStr">
        <ns0:is>
          <ns0:t xml:space="preserve">Current scope</ns0:t>
        </ns0:is>
      </ns0:c>
      <ns0:c r="D182" s="9" t="inlineStr">
        <ns0:is>
          <ns0: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ns0:t>
        </ns0:is>
      </ns0:c>
      <ns0:c r="E182" s="9" t="inlineStr">
        <ns0:is>
          <ns0:t xml:space="preserve">FB-003</ns0:t>
        </ns0:is>
      </ns0:c>
      <ns0:c r="F182" s="9" t="inlineStr">
        <ns0:is>
          <ns0:t xml:space="preserve">Stories!B6</ns0:t>
        </ns0:is>
      </ns0:c>
    </ns0:row>
    <ns0:row r="183">
      <ns0:c r="A183" t="inlineStr">
        <ns0:is>
          <ns0:t xml:space="preserve">REQ-180</ns0:t>
        </ns0:is>
      </ns0:c>
      <ns0:c r="B183" t="inlineStr">
        <ns0:is>
          <ns0:t xml:space="preserve">User details and navigation</ns0:t>
        </ns0:is>
      </ns0:c>
      <ns0:c r="C183" t="inlineStr">
        <ns0:is>
          <ns0:t xml:space="preserve">Current scope</ns0:t>
        </ns0:is>
      </ns0:c>
      <ns0:c r="D183" t="inlineStr">
        <ns0:is>
          <ns0: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ns0:t>
        </ns0:is>
      </ns0:c>
      <ns0:c r="E183" t="inlineStr">
        <ns0:is>
          <ns0:t xml:space="preserve">FB-020</ns0:t>
        </ns0:is>
      </ns0:c>
      <ns0:c r="F183" t="inlineStr">
        <ns0:is>
          <ns0:t xml:space="preserve">Stories!B12</ns0:t>
        </ns0:is>
      </ns0:c>
    </ns0:row>
    <ns0:row r="184">
      <ns0:c r="A184" t="inlineStr">
        <ns0:is>
          <ns0:t xml:space="preserve">REQ-181</ns0:t>
        </ns0:is>
      </ns0:c>
      <ns0:c r="B184" t="inlineStr">
        <ns0:is>
          <ns0:t xml:space="preserve">Department list search</ns0:t>
        </ns0:is>
      </ns0:c>
      <ns0:c r="C184" t="inlineStr">
        <ns0:is>
          <ns0:t xml:space="preserve">Current scope</ns0:t>
        </ns0:is>
      </ns0:c>
      <ns0:c r="D184" t="str">
        <ns0:v>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
2026-10-30 approved usability fix: Department list has policy-controlled Create department button linking its existing form.</ns0:v>
      </ns0:c>
      <ns0:c r="E184" t="inlineStr">
        <ns0:is>
          <ns0:t xml:space="preserve">FB-027</ns0:t>
        </ns0:is>
      </ns0:c>
      <ns0:c r="F184" t="inlineStr">
        <ns0:is>
          <ns0:t xml:space="preserve">Stories!B30</ns0:t>
        </ns0:is>
      </ns0:c>
    </ns0:row>
    <ns0:row r="185">
      <ns0:c r="A185" t="inlineStr">
        <ns0:is>
          <ns0:t xml:space="preserve">REQ-182</ns0:t>
        </ns0:is>
      </ns0:c>
      <ns0:c r="B185" t="inlineStr">
        <ns0:is>
          <ns0:t xml:space="preserve">Inventory management — first version</ns0:t>
        </ns0:is>
      </ns0:c>
      <ns0:c r="C185" t="inlineStr">
        <ns0:is>
          <ns0:t xml:space="preserve">Current scope</ns0:t>
        </ns0:is>
      </ns0:c>
      <ns0:c r="D185" t="str">
        <ns0:v>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
2026-10-30 approved usability fix: Category list has policy-controlled Create category button linking its existing form.</ns0:v>
      </ns0:c>
      <ns0:c r="E185" t="inlineStr">
        <ns0:is>
          <ns0:t xml:space="preserve">FB-028</ns0:t>
        </ns0:is>
      </ns0:c>
      <ns0:c r="F185" t="inlineStr">
        <ns0:is>
          <ns0:t xml:space="preserve">Stories!B31</ns0:t>
        </ns0:is>
      </ns0:c>
    </ns0:row>
    <ns0:row r="186" ht="65" customHeight="1">
      <ns0:c r="A186" t="inlineStr">
        <ns0:is>
          <ns0:t xml:space="preserve">REQ-183</ns0:t>
        </ns0:is>
      </ns0:c>
      <ns0:c r="B186" t="inlineStr">
        <ns0:is>
          <ns0:t xml:space="preserve">Inventory management — first version</ns0:t>
        </ns0:is>
      </ns0:c>
      <ns0:c r="C186" t="inlineStr">
        <ns0:is>
          <ns0:t xml:space="preserve">Current scope</ns0:t>
        </ns0:is>
      </ns0:c>
      <ns0:c r="D186" t="inlineStr">
        <ns0:is>
          <ns0:t>2026-10-31 finalized: Category may change Department while preserving ID,with destination existence/uniqueness and old/new Department confirmation. Product category moves follow REQ-188; no Subcategory. Catalogue deletion remains FUTURE.</ns0:t>
        </ns0:is>
      </ns0:c>
      <ns0:c r="E186" t="inlineStr">
        <ns0:is>
          <ns0:t>FB-028</ns0:t>
        </ns0:is>
      </ns0:c>
      <ns0:c r="F186" t="inlineStr">
        <ns0:is>
          <ns0:t xml:space="preserve">Stories!B31</ns0:t>
        </ns0:is>
      </ns0:c>
    </ns0:row>
    <ns0:row r="187" ht="65" customHeight="1">
      <ns0:c r="A187" t="inlineStr">
        <ns0:is>
          <ns0:t xml:space="preserve">REQ-184</ns0:t>
        </ns0:is>
      </ns0:c>
      <ns0:c r="B187" t="inlineStr">
        <ns0:is>
          <ns0:t xml:space="preserve">Module separation</ns0:t>
        </ns0:is>
      </ns0:c>
      <ns0:c r="C187" t="inlineStr">
        <ns0:is>
          <ns0:t xml:space="preserve">Current scope</ns0:t>
        </ns0:is>
      </ns0:c>
      <ns0:c r="D187" t="inlineStr">
        <ns0:is>
          <ns0:t xml:space="preserve">2026-10-31 finalized: Catalogue owns Department/Category/Product identity only; no Product status, codes, brands, tags, stock sizes/units/balances/history. Stock Management owns optional brand text, package definitions, stock items, movement-based quantities, totals and history. No deactivation-count query/guard required.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7" t="inlineStr">
        <ns0:is>
          <ns0:t xml:space="preserve">FB-029–FB-068</ns0:t>
        </ns0:is>
      </ns0:c>
      <ns0:c r="F187" t="inlineStr">
        <ns0:is>
          <ns0:t xml:space="preserve">Stories!B32</ns0:t>
        </ns0:is>
      </ns0:c>
    </ns0:row>
    <ns0:row r="188" ht="128.85714285714286" customHeight="1">
      <ns0:c r="A188" t="inlineStr">
        <ns0:is>
          <ns0:t xml:space="preserve">REQ-185</ns0:t>
        </ns0:is>
      </ns0:c>
      <ns0:c r="B188" t="inlineStr">
        <ns0:is>
          <ns0:t xml:space="preserve">Stock Management — shared package definitions</ns0:t>
        </ns0:is>
      </ns0:c>
      <ns0:c r="C188" t="inlineStr">
        <ns0:is>
          <ns0:t xml:space="preserve">Current scope</ns0:t>
        </ns0:is>
      </ns0:c>
      <ns0:c r="D188" t="inlineStr">
        <ns0:is>
          <ns0:t xml:space="preserve">2026-10-31 finalized: Final version-one Stock Management plan approved 2026-10-31. Reusable package_sizes(type,contents,unit); stock_items references Product/package_size and optional brand text, unique normalized Product/brand/package combination including unbranded. Movements reference stock_item_id. Separate Package sizes, Stock items, Product totals, Receive, Distribute, Adjust and per-item History screens. See REQ-095, REQ-106/107, REQ-113/117/119, REQ-123/125/126/127/131/132/138/139 and REQ-191–195 for complete approved details. No codes/tags/Product-or-stock-item activation; cross-family post-movement repair is version-two REQ-190. Plan approval is not source-edit permission; developer writes code in small lessons, with feature-level review and developer-first tests.
2026-10-31 approved table decision: use stock_entries for each complete saved form and stock_movements for its item changes; see REQ-196.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8" t="inlineStr">
        <ns0:is>
          <ns0:t xml:space="preserve">FB-034, FB-049–FB-056, FB-059–FB-068</ns0:t>
        </ns0:is>
      </ns0:c>
      <ns0:c r="F188" t="inlineStr">
        <ns0:is>
          <ns0:t xml:space="preserve">Stories!B52</ns0:t>
        </ns0:is>
      </ns0:c>
    </ns0:row>
    <ns0:row r="189" ht="65" customHeight="1">
      <ns0:c r="A189" t="inlineStr">
        <ns0:is>
          <ns0:t xml:space="preserve">REQ-186</ns0:t>
        </ns0:is>
      </ns0:c>
      <ns0:c r="B189" t="inlineStr">
        <ns0:is>
          <ns0:t xml:space="preserve">Product Catalogue — Subcategory creation</ns0:t>
        </ns0:is>
      </ns0:c>
      <ns0:c r="C189" t="inlineStr">
        <ns0:is>
          <ns0:t xml:space="preserve">Current scope</ns0:t>
        </ns0:is>
      </ns0:c>
      <ns0:c r="D189" t="inlineStr">
        <ns0:is>
          <ns0:t xml:space="preserve">2026-10-31 finalized: Subcategory removed by three-level catalogue refactor. Product selects Department/Category and name only; no status. Stable FB-029 retains removed-layer/direct Category connection evidence.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9" t="inlineStr">
        <ns0:is>
          <ns0:t xml:space="preserve">FB-029</ns0:t>
        </ns0:is>
      </ns0:c>
      <ns0:c r="F189" t="inlineStr">
        <ns0:is>
          <ns0:t xml:space="preserve">Stories!B32</ns0:t>
        </ns0:is>
      </ns0:c>
    </ns0:row>
    <ns0:row r="190">
      <ns0:c r="A190" t="inlineStr">
        <ns0:is>
          <ns0:t xml:space="preserve">REQ-187</ns0:t>
        </ns0:is>
      </ns0:c>
      <ns0:c r="B190" t="inlineStr">
        <ns0:is>
          <ns0:t xml:space="preserve">Product Catalogue — Subcategory list</ns0:t>
        </ns0:is>
      </ns0:c>
      <ns0:c r="C190" t="inlineStr">
        <ns0:is>
          <ns0:t xml:space="preserve">Current scope</ns0:t>
        </ns0:is>
      </ns0:c>
      <ns0:c r="D190" t="str">
        <ns0:v>2026-10-30 revised developer-approved agreement (supersedes previous four-level/brand/tag catalogue requirements): Subcategory list removed. Product list displays Department/Category/Product current hierarchy; no measurement fields. FB-043 verifies obsolete Subcategory UI/filter removal.</ns0:v>
      </ns0:c>
      <ns0:c r="E190" t="inlineStr">
        <ns0:is>
          <ns0:t xml:space="preserve">FB-029</ns0:t>
        </ns0:is>
      </ns0:c>
      <ns0:c r="F190" t="inlineStr">
        <ns0:is>
          <ns0:t xml:space="preserve">Stories!B32</ns0:t>
        </ns0:is>
      </ns0:c>
    </ns0:row>
    <ns0:row r="191">
      <ns0:c r="A191" t="inlineStr">
        <ns0:is>
          <ns0:t xml:space="preserve">REQ-188</ns0:t>
        </ns0:is>
      </ns0:c>
      <ns0:c r="B191" t="inlineStr">
        <ns0:is>
          <ns0:t xml:space="preserve">Product Catalogue — Subcategory moves</ns0:t>
        </ns0:is>
      </ns0:c>
      <ns0:c r="C191" t="inlineStr">
        <ns0:is>
          <ns0:t xml:space="preserve">Current scope</ns0:t>
        </ns0:is>
      </ns0:c>
      <ns0:c r="D191" t="str">
        <ns0:v>2026-10-30 revised developer-approved agreement (supersedes previous four-level/brand/tag catalogue requirements): Subcategory moves removed. Product can move to any valid Category, preserving ID and all future stock/history links. Destination same-name duplicate blocked; other-category same-name warning confirmed for identity edits. Stock history shows current Category.</ns0:v>
      </ns0:c>
      <ns0:c r="E191" t="inlineStr">
        <ns0:is>
          <ns0:t xml:space="preserve">FB-030</ns0:t>
        </ns0:is>
      </ns0:c>
      <ns0:c r="F191" t="inlineStr">
        <ns0:is>
          <ns0:t xml:space="preserve">Stories!B33</ns0:t>
        </ns0:is>
      </ns0:c>
    </ns0:row>
    <ns0:row r="192" ht="65" customHeight="1">
      <ns0:c r="A192" t="str">
        <ns0:v>REQ-189</ns0:v>
      </ns0:c>
      <ns0:c r="B192" t="str">
        <ns0:v>Product Catalogue — Create form tag search</ns0:v>
      </ns0:c>
      <ns0:c r="C192" t="str">
        <ns0:v>Current scope</ns0:v>
      </ns0:c>
      <ns0:c r="D192" t="inlineStr">
        <ns0:is>
          <ns0:t>2026-10-31 finalized: No tag fields/search/selection/management in catalogue or Stock Management version one. Previous optional stock-tag suggestion withdrawn; no current tag implementation checkpoint.</ns0:t>
        </ns0:is>
      </ns0:c>
      <ns0:c r="E192" t="str">
        <ns0:v>FB-032, FB-033, FB-037</ns0:v>
      </ns0:c>
      <ns0:c r="F192" t="str">
        <ns0:v>Stories!B35</ns0:v>
      </ns0:c>
    </ns0:row>
    <ns0:row r="193" ht="120" customHeight="1">
      <ns0:c r="A193" t="inlineStr">
        <ns0:is>
          <ns0:t>REQ-190</ns0:t>
        </ns0:is>
      </ns0:c>
      <ns0:c r="B193" t="inlineStr">
        <ns0:is>
          <ns0:t>##FUTURE — Version two stock setup correction</ns0:t>
        </ns0:is>
      </ns0:c>
      <ns0:c r="C193" t="inlineStr">
        <ns0:is>
          <ns0:t>##FUTURE</ns0:t>
        </ns0:is>
      </ns0:c>
      <ns0:c r="D193" t="inlineStr">
        <ns0:is>
          <ns0:t>##FUTURE 2026-10-31 developer confirmed version-two direction: controlled Manager/Super Admin correction of wrong measurement-family setup after movements (e.g. kg incorrectly used for Milk instead of litres). Proposed process requires reason, recorded correction of remaining quantity, preservation of original movements including prior distributions, correct replacement setup and protection against further use of replaced incorrect item. Exact implementation, permissions and history presentation to be finalized in version two; not approved for version-one implementation.</ns0:t>
        </ns0:is>
      </ns0:c>
      <ns0:c r="E193" t="inlineStr">
        <ns0:is>
          <ns0:t>Deferred — no current item</ns0:t>
        </ns0:is>
      </ns0:c>
      <ns0:c r="F193" t="inlineStr">
        <ns0:is>
          <ns0:t>Deferred</ns0:t>
        </ns0:is>
      </ns0:c>
    </ns0:row>
    <ns0:row r="194" ht="80" customHeight="1">
      <ns0:c r="A194" t="inlineStr">
        <ns0:is>
          <ns0:t>REQ-191</ns0:t>
        </ns0:is>
      </ns0:c>
      <ns0:c r="B194" t="inlineStr">
        <ns0:is>
          <ns0:t>Stock Management — package setup</ns0:t>
        </ns0:is>
      </ns0:c>
      <ns0:c r="C194" t="inlineStr">
        <ns0:is>
          <ns0:t>Current scope</ns0:t>
        </ns0:is>
      </ns0:c>
      <ns0:c r="D194" t="inlineStr">
        <ns0:is>
          <ns0:t xml:space="preserve">2026-10-31 finalized: Separate Package sizes screen for Manager/Super Admin. Define package type (bag, box, can, bottle, carton, jar, packet, individual item), positive contents and contents unit. Reuse across Products. Reject equivalent definitions in same package type after g/kg or ml/litre normalization; different package types remain distinct. Definition fields editable only before reference.
2026-10-31 approved addition: Package sizes list includes one text search for package type. Search all matching definitions before pagination and retain search while changing pages.</ns0:t>
        </ns0:is>
      </ns0:c>
      <ns0:c r="E194" t="inlineStr">
        <ns0:is>
          <ns0:t>FB-034</ns0:t>
        </ns0:is>
      </ns0:c>
      <ns0:c r="F194" t="inlineStr">
        <ns0:is>
          <ns0:t>Stories!B52</ns0:t>
        </ns0:is>
      </ns0:c>
    </ns0:row>
    <ns0:row r="195" ht="80" customHeight="1">
      <ns0:c r="A195" t="inlineStr">
        <ns0:is>
          <ns0:t>REQ-192</ns0:t>
        </ns0:is>
      </ns0:c>
      <ns0:c r="B195" t="inlineStr">
        <ns0:is>
          <ns0:t>Stock Management — unused stock-item deletion</ns0:t>
        </ns0:is>
      </ns0:c>
      <ns0:c r="C195" t="inlineStr">
        <ns0:is>
          <ns0:t>Current scope</ns0:t>
        </ns0:is>
      </ns0:c>
      <ns0:c r="D195" t="inlineStr">
        <ns0:is>
          <ns0:t>2026-10-31 finalized: Manager/Super Admin may delete stock item only if no stock_movements references its ID. Zero balance alone is not enough. Server existence check plus restrictive foreign key protect history and concurrent requests; no cascade. If last unused item removed, clear Product total unit; Product itself remains.</ns0:t>
        </ns0:is>
      </ns0:c>
      <ns0:c r="E195" t="inlineStr">
        <ns0:is>
          <ns0:t>FB-034, FB-053, FB-068</ns0:t>
        </ns0:is>
      </ns0:c>
      <ns0:c r="F195" t="inlineStr">
        <ns0:is>
          <ns0:t>Stories!B52</ns0:t>
        </ns0:is>
      </ns0:c>
    </ns0:row>
    <ns0:row r="196" ht="80" customHeight="1">
      <ns0:c r="A196" t="inlineStr">
        <ns0:is>
          <ns0:t>REQ-193</ns0:t>
        </ns0:is>
      </ns0:c>
      <ns0:c r="B196" t="inlineStr">
        <ns0:is>
          <ns0:t>Stock Management — unused package deletion</ns0:t>
        </ns0:is>
      </ns0:c>
      <ns0:c r="C196" t="inlineStr">
        <ns0:is>
          <ns0:t>Current scope</ns0:t>
        </ns0:is>
      </ns0:c>
      <ns0:c r="D196" t="inlineStr">
        <ns0:is>
          <ns0:t xml:space="preserve">2026-10-31 finalized: Manager/Super Admin may delete package definition only if no stock_item references package_size_id, including zero-balance items. Enforce policy and restrictive foreign key. No cascading deletion.
2026-10-31 implementation timing explicitly revised by developer: show disabled Delete button now; defer actual delete action/route/guards until Stock items table and dependencies exist. Unused-only policy and restrictive FK requirements remain current scope.</ns0:t>
        </ns0:is>
      </ns0:c>
      <ns0:c r="E196" t="inlineStr">
        <ns0:is>
          <ns0:t>FB-034, FB-053, FB-068</ns0:t>
        </ns0:is>
      </ns0:c>
      <ns0:c r="F196" t="inlineStr">
        <ns0:is>
          <ns0:t>Stories!B52</ns0:t>
        </ns0:is>
      </ns0:c>
    </ns0:row>
    <ns0:row r="197" ht="80" customHeight="1">
      <ns0:c r="A197" t="inlineStr">
        <ns0:is>
          <ns0:t>REQ-194</ns0:t>
        </ns0:is>
      </ns0:c>
      <ns0:c r="B197" t="inlineStr">
        <ns0:is>
          <ns0:t>Stock Management — shared picker, separate forms</ns0:t>
        </ns0:is>
      </ns0:c>
      <ns0:c r="C197" t="inlineStr">
        <ns0:is>
          <ns0:t>Current scope</ns0:t>
        </ns0:is>
      </ns0:c>
      <ns0:c r="D197" t="inlineStr">
        <ns0:is>
          <ns0:t>2026-10-31 finalized: Receive, Distribute and Adjust are separate screens using the same searchable stock-item picker. Search Product name/optional brand; show complete identity and current count. Receive/Adjust include zero; Distribute only positive. Receive/Distribute multiple unique items, Adjust one. Demo mode buttons are not application tabs.</ns0:t>
        </ns0:is>
      </ns0:c>
      <ns0:c r="E197" t="inlineStr">
        <ns0:is>
          <ns0:t>FB-049–FB-064</ns0:t>
        </ns0:is>
      </ns0:c>
      <ns0:c r="F197" t="inlineStr">
        <ns0:is>
          <ns0:t>Stories!B52</ns0:t>
        </ns0:is>
      </ns0:c>
    </ns0:row>
    <ns0:row r="198" ht="80" customHeight="1">
      <ns0:c r="A198" t="inlineStr">
        <ns0:is>
          <ns0:t>REQ-195</ns0:t>
        </ns0:is>
      </ns0:c>
      <ns0:c r="B198" t="inlineStr">
        <ns0:is>
          <ns0:t>Stock Management — shared table appearance</ns0:t>
        </ns0:is>
      </ns0:c>
      <ns0:c r="C198" t="inlineStr">
        <ns0:is>
          <ns0:t>Current scope</ns0:t>
        </ns0:is>
      </ns0:c>
      <ns0:c r="D198" t="inlineStr">
        <ns0:is>
          <ns0:t>2026-10-31 finalized: All table views use theme accent header background and matching text, plus horizontal row separators in light/dark. Shared app.css styling source-reviewed/build PASS and developer-reported visual PASS 2026-10-31. Stock screens not implemented or verified by this styling evidence.</ns0:t>
        </ns0:is>
      </ns0:c>
      <ns0:c r="E198" t="inlineStr">
        <ns0:is>
          <ns0:t>FB-034, FB-054, FB-066</ns0:t>
        </ns0:is>
      </ns0:c>
      <ns0:c r="F198" t="inlineStr">
        <ns0:is>
          <ns0:t>Stories!B52</ns0:t>
        </ns0:is>
      </ns0:c>
    </ns0:row>
    <ns0:row r="199" ht="80" customHeight="1">
      <ns0:c r="A199" t="inlineStr">
        <ns0:is>
          <ns0:t xml:space="preserve">REQ-196</ns0:t>
        </ns0:is>
      </ns0:c>
      <ns0:c r="B199" t="inlineStr">
        <ns0:is>
          <ns0:t xml:space="preserve">Stock Management — entry and movement tables</ns0:t>
        </ns0:is>
      </ns0:c>
      <ns0:c r="C199" t="inlineStr">
        <ns0:is>
          <ns0:t xml:space="preserve">Current scope</ns0:t>
        </ns0:is>
      </ns0:c>
      <ns0:c r="D199" t="inlineStr">
        <ns0:is>
          <ns0:t xml:space="preserve">2026-10-31 developer approved both stock_entries and stock_movements. One stock_entries row represents one saved Receive, Distribute or Adjust form and stores shared type, authenticated recorder, automatic saved timestamp and relevant entry context: optional Receive notes, one household for Distribute, required reason for Adjust. Each stock_movements row belongs to exactly one entry through stock_entry_id and one stock item through stock_item_id; records add/remove direction, positive whole-package quantity and resulting balance. Receive/Distribute entries may contain multiple distinct stock items; Adjust has one movement. Store shared context once and obtain it through the entry relationship for per-item history. Save entry plus all movements and stock changes in one database transaction: all succeed or none save. Preserve immutable saved history and existing first-movement locks. This approves the two-table structure, not application-code changes, implementation start or passed verification.</ns0:t>
        </ns0:is>
      </ns0:c>
      <ns0:c r="E199" t="inlineStr">
        <ns0:is>
          <ns0:t xml:space="preserve">FB-051, FB-054, FB-056, FB-063, FB-068</ns0:t>
        </ns0:is>
      </ns0:c>
      <ns0:c r="F199" t="inlineStr">
        <ns0:is>
          <ns0:t xml:space="preserve">Stories!B55</ns0:t>
        </ns0:is>
      </ns0:c>
    </ns0:row>
    <ns0:row r="200" ht="80" customHeight="1">
      <ns0:c r="A200" t="inlineStr">
        <ns0:is>
          <ns0:t xml:space="preserve">REQ-197</ns0:t>
        </ns0:is>
      </ns0:c>
      <ns0:c r="B200" t="inlineStr">
        <ns0:is>
          <ns0:t xml:space="preserve">Product status — retain storage, hide controls</ns0:t>
        </ns0:is>
      </ns0:c>
      <ns0:c r="C200" t="inlineStr">
        <ns0:is>
          <ns0:t xml:space="preserve">Current scope</ns0:t>
        </ns0:is>
      </ns0:c>
      <ns0:c r="D200" t="inlineStr">
        <ns0:is>
          <ns0:t xml:space="preserve">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200" t="inlineStr">
        <ns0:is>
          <ns0:t xml:space="preserve">FB-048, FB-067, FB-068</ns0:t>
        </ns0:is>
      </ns0:c>
      <ns0:c r="F200" t="inlineStr">
        <ns0:is>
          <ns0:t xml:space="preserve">Stories!B50</ns0:t>
        </ns0:is>
      </ns0:c>
    </ns0:row>
  </ns0:sheetData>
  <ns0:mergeCells>
    <ns0:mergeCell ref="A2:F2"/>
    <ns0:mergeCell ref="A1:F1"/>
  </ns0:mergeCells>
  <ns0:conditionalFormatting sqref="C4:C178">
    <ns0:cfRule type="containsText" dxfId="1" priority="1" operator="containsText" text="##FUTURE"/>
  </ns0:conditionalFormatting>
  <ns0:pageMargins left="0.7" right="0.7" top="0.75" bottom="0.75" header="0.3" footer="0.3"/>
  <ns0:tableParts count="1">
    <ns0:tablePart ns1:id="Rcfac444b8b3c440a"/>
  </ns0:tableParts>
</ns0:worksheet>
</file>