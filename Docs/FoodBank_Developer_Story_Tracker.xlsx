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tories" sheetId="2" state="visible" r:id="rId2"/>
    <sheet xmlns:r="http://schemas.openxmlformats.org/officeDocument/2006/relationships" name="Requirements" sheetId="3" state="visible" r:id="rId3"/>
  </sheets>
  <definedNames/>
</workbook>
</file>

<file path=xl/styles.xml><?xml version="1.0" encoding="utf-8"?>
<styleSheet xmlns="http://schemas.openxmlformats.org/spreadsheetml/2006/main">
  <numFmts count="1">
    <numFmt numFmtId="164" formatCode="yyyy-mm-dd"/>
  </numFmts>
  <fonts count="10">
    <font>
      <name val="Carlito"/>
      <sz val="11"/>
    </font>
    <font>
      <name val="Arial"/>
      <color rgb="FF233447"/>
      <sz val="10"/>
    </font>
    <font>
      <name val="Arial"/>
      <b val="1"/>
      <color rgb="FF17324D"/>
      <sz val="15"/>
    </font>
    <font>
      <name val="Arial"/>
      <b val="1"/>
      <color rgb="FFFFFFFF"/>
      <sz val="10"/>
    </font>
    <font>
      <name val="Arial"/>
      <color rgb="FF7D5300"/>
      <sz val="10"/>
    </font>
    <font>
      <name val="Arial"/>
      <color rgb="FF233447"/>
      <sz val="11"/>
    </font>
    <font>
      <name val="Arial"/>
      <b val="1"/>
      <color rgb="FF17324D"/>
      <sz val="16"/>
    </font>
    <font>
      <name val="Arial"/>
      <b val="1"/>
      <color rgb="FFFFFFFF"/>
      <sz val="11"/>
    </font>
    <font>
      <name val="Arial"/>
      <b val="1"/>
      <color rgb="FF233447"/>
      <sz val="11"/>
    </font>
    <font>
      <name val="Arial"/>
      <i val="1"/>
      <color rgb="FF526273"/>
      <sz val="10"/>
    </font>
  </fonts>
  <fills count="7">
    <fill>
      <patternFill/>
    </fill>
    <fill>
      <patternFill patternType="gray125"/>
    </fill>
    <fill>
      <patternFill patternType="solid">
        <fgColor rgb="FF17324D"/>
      </patternFill>
    </fill>
    <fill>
      <patternFill patternType="solid">
        <fgColor rgb="FFF2F5F8"/>
      </patternFill>
    </fill>
    <fill>
      <patternFill patternType="solid">
        <fgColor rgb="FFFFF2CC"/>
      </patternFill>
    </fill>
    <fill>
      <patternFill patternType="solid">
        <fgColor rgb="FF17324D"/>
      </patternFill>
    </fill>
    <fill>
      <patternFill patternType="solid">
        <fgColor rgb="FFF2F5F8"/>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1" fillId="2"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horizontal="center" vertical="top" wrapText="1"/>
    </xf>
    <xf numFmtId="0" fontId="3" fillId="2" borderId="0" applyAlignment="1" pivotButton="0" quotePrefix="0" xfId="0">
      <alignment horizontal="center" vertical="center" wrapText="1"/>
    </xf>
    <xf numFmtId="0" fontId="1" fillId="3"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164" fontId="4" fillId="0" borderId="0" applyAlignment="1" pivotButton="0" quotePrefix="0" xfId="0">
      <alignment vertical="top" wrapText="1"/>
    </xf>
    <xf numFmtId="164" fontId="4" fillId="3" borderId="0" applyAlignment="1" pivotButton="0" quotePrefix="0" xfId="0">
      <alignment vertical="top" wrapText="1"/>
    </xf>
    <xf numFmtId="0" fontId="5" fillId="0" borderId="0" pivotButton="0" quotePrefix="0" xfId="0"/>
    <xf numFmtId="0" fontId="5" fillId="0" borderId="0" applyAlignment="1" pivotButton="0" quotePrefix="0" xfId="0">
      <alignment vertical="center"/>
    </xf>
    <xf numFmtId="0" fontId="6" fillId="0" borderId="0" applyAlignment="1" pivotButton="0" quotePrefix="0" xfId="0">
      <alignment vertical="center"/>
    </xf>
    <xf numFmtId="9" fontId="5" fillId="0" borderId="0" applyAlignment="1" pivotButton="0" quotePrefix="0" xfId="0">
      <alignment vertical="center"/>
    </xf>
    <xf numFmtId="0" fontId="5" fillId="0" borderId="0" applyAlignment="1" pivotButton="0" quotePrefix="0" xfId="0">
      <alignment vertical="center" wrapText="1"/>
    </xf>
    <xf numFmtId="0" fontId="5" fillId="2" borderId="0" applyAlignment="1" pivotButton="0" quotePrefix="0" xfId="0">
      <alignment vertical="center"/>
    </xf>
    <xf numFmtId="0" fontId="7" fillId="2" borderId="0" applyAlignment="1" pivotButton="0" quotePrefix="0" xfId="0">
      <alignment vertical="center"/>
    </xf>
    <xf numFmtId="0" fontId="8" fillId="0" borderId="0" applyAlignment="1" pivotButton="0" quotePrefix="0" xfId="0">
      <alignment vertical="center" wrapText="1"/>
    </xf>
    <xf numFmtId="0" fontId="5" fillId="4" borderId="0" applyAlignment="1" pivotButton="0" quotePrefix="0" xfId="0">
      <alignment vertical="center" wrapText="1"/>
    </xf>
    <xf numFmtId="0" fontId="9" fillId="0" borderId="0" pivotButton="0" quotePrefix="0" xfId="0"/>
    <xf numFmtId="0" fontId="1" fillId="5" borderId="0" applyAlignment="1" pivotButton="0" quotePrefix="0" xfId="0">
      <alignment vertical="top" wrapText="1"/>
    </xf>
    <xf numFmtId="0" fontId="3" fillId="5" borderId="0" applyAlignment="1" pivotButton="0" quotePrefix="0" xfId="0">
      <alignment vertical="top" wrapText="1"/>
    </xf>
    <xf numFmtId="0" fontId="3" fillId="5" borderId="0" applyAlignment="1" pivotButton="0" quotePrefix="0" xfId="0">
      <alignment horizontal="center" vertical="top" wrapText="1"/>
    </xf>
    <xf numFmtId="0" fontId="3" fillId="5" borderId="0" applyAlignment="1" pivotButton="0" quotePrefix="0" xfId="0">
      <alignment horizontal="center" vertical="center" wrapText="1"/>
    </xf>
    <xf numFmtId="0" fontId="1" fillId="6" borderId="0" applyAlignment="1" pivotButton="0" quotePrefix="0" xfId="0">
      <alignment vertical="top" wrapText="1"/>
    </xf>
    <xf numFmtId="9" fontId="5" fillId="0" borderId="0" applyAlignment="1" pivotButton="0" quotePrefix="0" xfId="0">
      <alignment vertical="center"/>
    </xf>
    <xf numFmtId="164" fontId="4" fillId="0" borderId="0" applyAlignment="1" pivotButton="0" quotePrefix="0" xfId="0">
      <alignment vertical="top" wrapText="1"/>
    </xf>
    <xf numFmtId="164" fontId="4" fillId="3" borderId="0" applyAlignment="1" pivotButton="0" quotePrefix="0" xfId="0">
      <alignment vertical="top" wrapText="1"/>
    </xf>
  </cellXfs>
  <cellStyles count="1">
    <cellStyle name="Normal" xfId="0"/>
  </cellStyles>
  <dxfs count="4">
    <dxf>
      <font>
        <color rgb="FF24502A"/>
      </font>
      <fill>
        <patternFill>
          <bgColor rgb="FFE2EFDA"/>
        </patternFill>
      </fill>
    </dxf>
    <dxf>
      <font>
        <color rgb="FF7D5300"/>
      </font>
      <fill>
        <patternFill>
          <bgColor rgb="FFFFF2CC"/>
        </patternFill>
      </fill>
    </dxf>
    <dxf>
      <font>
        <color rgb="FF9C2020"/>
      </font>
      <fill>
        <patternFill>
          <bgColor rgb="FFFCE4D6"/>
        </patternFill>
      </fill>
    </dxf>
    <dxf>
      <font>
        <color rgb="FF7D5300"/>
      </font>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FoodBankItems" displayName="FoodBankItems" ref="A3:S73" headerRowCount="1" totalsRowCount="0" totalsRowShown="0">
  <tableColumns count="19">
    <tableColumn id="1" name="#"/>
    <tableColumn id="2" name="Item ID"/>
    <tableColumn id="3" name="Feature"/>
    <tableColumn id="4" name="Learning item"/>
    <tableColumn id="5" name="Acceptance checks"/>
    <tableColumn id="6" name="Previous item"/>
    <tableColumn id="7" name="Readiness"/>
    <tableColumn id="8" name="Status"/>
    <tableColumn id="9" name="Work stage"/>
    <tableColumn id="10" name="Code review"/>
    <tableColumn id="11" name="Review evidence"/>
    <tableColumn id="12" name="Review date"/>
    <tableColumn id="13" name="Tested by"/>
    <tableColumn id="14" name="Test result"/>
    <tableColumn id="15" name="Test evidence"/>
    <tableColumn id="16" name="Test date"/>
    <tableColumn id="17" name="Lesson / last step"/>
    <tableColumn id="18" name="Next action"/>
    <tableColumn id="19" name="Blocker"/>
  </tableColumns>
  <tableStyleInfo name="TableStyleMedium2" showFirstColumn="0" showLastColumn="0" showRowStripes="1" showColumnStripes="0"/>
</table>
</file>

<file path=xl/tables/table2.xml><?xml version="1.0" encoding="utf-8"?>
<table xmlns="http://schemas.openxmlformats.org/spreadsheetml/2006/main" id="2" name="FoodBankRequirements" displayName="FoodBankRequirements" ref="A3:F182" headerRowCount="1" totalsRowCount="0" totalsRowShown="0">
  <tableColumns count="6">
    <tableColumn id="1" name="Rule ID"/>
    <tableColumn id="2" name="Area"/>
    <tableColumn id="3" name="Scope"/>
    <tableColumn id="4" name="Detailed rule"/>
    <tableColumn id="5" name="Related learning items"/>
    <tableColumn id="6" name="First item loca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24D"/>
    <outlinePr summaryBelow="1" summaryRight="1"/>
    <pageSetUpPr/>
  </sheetPr>
  <dimension ref="A1:H40"/>
  <sheetViews>
    <sheetView showGridLines="0" workbookViewId="0">
      <selection activeCell="A1" sqref="A1"/>
    </sheetView>
  </sheetViews>
  <sheetFormatPr baseColWidth="8" defaultRowHeight="15"/>
  <cols>
    <col width="27" customWidth="1" min="1" max="1"/>
    <col width="20" customWidth="1" min="2" max="2"/>
    <col width="3" customWidth="1" min="3" max="3"/>
    <col width="18" customWidth="1" min="4" max="4"/>
    <col width="18" customWidth="1" min="5" max="5"/>
    <col width="18" customWidth="1" min="6" max="6"/>
    <col width="18" customWidth="1" min="7" max="7"/>
    <col width="18" customWidth="1" min="8" max="8"/>
  </cols>
  <sheetData>
    <row r="1">
      <c r="A1" s="15" t="n"/>
      <c r="B1" s="15" t="n"/>
      <c r="C1" s="15" t="n"/>
      <c r="D1" s="15" t="n"/>
      <c r="E1" s="15" t="n"/>
      <c r="F1" s="15" t="n"/>
      <c r="G1" s="15" t="n"/>
      <c r="H1" s="15" t="n"/>
    </row>
    <row r="2" ht="32" customHeight="1">
      <c r="A2" s="16" t="inlineStr">
        <is>
          <t>FoodBank developer story tracker</t>
        </is>
      </c>
    </row>
    <row r="3">
      <c r="A3" s="15" t="n"/>
      <c r="B3" s="15" t="n"/>
      <c r="C3" s="15" t="n"/>
      <c r="D3" s="15" t="n"/>
      <c r="E3" s="15" t="n"/>
      <c r="F3" s="15" t="n"/>
      <c r="G3" s="15" t="n"/>
      <c r="H3" s="15" t="n"/>
    </row>
    <row r="4" ht="26" customHeight="1">
      <c r="A4" s="20" t="inlineStr">
        <is>
          <t>Progress</t>
        </is>
      </c>
      <c r="B4" s="20" t="inlineStr">
        <is>
          <t>Items</t>
        </is>
      </c>
      <c r="C4" s="15" t="n"/>
      <c r="D4" s="18" t="inlineStr">
        <is>
          <t>Owner: assistant maintains this workbook; developer writes application code.</t>
        </is>
      </c>
    </row>
    <row r="5" ht="24" customHeight="1">
      <c r="A5" s="15" t="inlineStr">
        <is>
          <t>Total learning items</t>
        </is>
      </c>
      <c r="B5" s="15" t="n">
        <v>70</v>
      </c>
      <c r="C5" s="15" t="n"/>
    </row>
    <row r="6" ht="24" customHeight="1">
      <c r="A6" s="15" t="inlineStr">
        <is>
          <t>Complete</t>
        </is>
      </c>
      <c r="B6" s="15">
        <f>COUNTIF(Stories!H4:H73,"Complete")</f>
        <v/>
      </c>
      <c r="C6" s="15" t="n"/>
      <c r="D6" s="18" t="inlineStr">
        <is>
          <t>Complete requires code review AND a passed behaviour test, with evidence and dates.</t>
        </is>
      </c>
    </row>
    <row r="7" ht="24" customHeight="1">
      <c r="A7" s="15" t="inlineStr">
        <is>
          <t>In progress</t>
        </is>
      </c>
      <c r="B7" s="15">
        <f>COUNTIF(Stories!H4:H73,"In progress")</f>
        <v/>
      </c>
      <c r="C7" s="15" t="n"/>
    </row>
    <row r="8" ht="24" customHeight="1">
      <c r="A8" s="15" t="inlineStr">
        <is>
          <t>Awaiting review/test</t>
        </is>
      </c>
      <c r="B8" s="15">
        <f>COUNTIF(Stories!H4:H73,"Awaiting*")</f>
        <v/>
      </c>
      <c r="C8" s="15" t="n"/>
      <c r="D8" s="18" t="inlineStr">
        <is>
          <t>Ask the developer to test first. “Done” after the test request confirms it worked.</t>
        </is>
      </c>
    </row>
    <row r="9" ht="24" customHeight="1">
      <c r="A9" s="15" t="inlineStr">
        <is>
          <t>Blocked</t>
        </is>
      </c>
      <c r="B9" s="15">
        <f>COUNTIF(Stories!H4:H73,"Blocked")</f>
        <v/>
      </c>
      <c r="C9" s="15" t="n"/>
    </row>
    <row r="10" ht="24" customHeight="1">
      <c r="A10" s="15" t="inlineStr">
        <is>
          <t>Ready to start</t>
        </is>
      </c>
      <c r="B10" s="15" t="inlineStr">
        <is>
          <t>FB-029</t>
        </is>
      </c>
      <c r="C10" s="15" t="n"/>
      <c r="D10" s="18" t="inlineStr">
        <is>
          <t>Only test application behaviour yourself after the developer delegates it.</t>
        </is>
      </c>
    </row>
    <row r="11" ht="24" customHeight="1">
      <c r="A11" s="15" t="inlineStr">
        <is>
          <t>Verified progress</t>
        </is>
      </c>
      <c r="B11" s="29" t="inlineStr">
        <is>
          <t>2026-10-29 Department and Category modules verified, including confirmed Category department changes. FB-029 Subcategory next; Subcategory moves remain FUTURE. Account deferrals preserved.</t>
        </is>
      </c>
      <c r="C11" s="15" t="n"/>
    </row>
    <row r="12">
      <c r="A12" s="15" t="n"/>
      <c r="B12" s="15" t="inlineStr">
        <is>
          <t>Before starting/resuming this item or feature: reread AGENTS.md from disk; apply teaching/testing rules. FB-029 creation-only implementation reviewed and assistant-tested under explicit delegation; Department/dependent Category/name only. List remains pending, then FB-030 rename/full-module review. Do not mark row complete or implement list/search/edit without current scope authorization. Catalogue only; postpone stock design and size-dependent code decisions.</t>
        </is>
      </c>
      <c r="C12" s="15" t="n"/>
      <c r="D12" s="15" t="n"/>
      <c r="E12" s="15" t="n"/>
      <c r="F12" s="15" t="n"/>
      <c r="G12" s="15" t="n"/>
      <c r="H12" s="15" t="n"/>
    </row>
    <row r="13" ht="40" customHeight="1">
      <c r="A13" s="21" t="inlineStr">
        <is>
          <t>Current item ID</t>
        </is>
      </c>
      <c r="B13" s="22" t="inlineStr">
        <is>
          <t>FB-029</t>
        </is>
      </c>
    </row>
    <row r="14" ht="100" customHeight="1">
      <c r="A14" s="21" t="inlineStr">
        <is>
          <t>Current lesson</t>
        </is>
      </c>
      <c r="B14" s="22" t="inlineStr">
        <is>
          <t>Subcategory creation verified with Department/Category dropdowns; list not implemented.</t>
        </is>
      </c>
    </row>
    <row r="15" ht="100" customHeight="1">
      <c r="A15" s="21" t="inlineStr">
        <is>
          <t>Next action</t>
        </is>
      </c>
      <c r="B15" s="22" t="inlineStr">
        <is>
          <t>Before starting/resuming this item or feature: reread AGENTS.md from disk; apply teaching/testing rules. FB-029 creation-only implementation reviewed and assistant-tested under explicit delegation; Department/dependent Category/name only. List remains pending, then FB-030 rename/full-module review. Do not mark row complete or implement list/search/edit without current scope authorization. Catalogue only; postpone stock design and size-dependent code decisions.</t>
        </is>
      </c>
    </row>
    <row r="16" ht="65" customHeight="1">
      <c r="A16" s="21" t="inlineStr">
        <is>
          <t>Waiting on</t>
        </is>
      </c>
      <c r="B16" s="22" t="inlineStr">
        <is>
          <t>Developer can try creation; list is next on request.</t>
        </is>
      </c>
    </row>
    <row r="17" ht="65" customHeight="1">
      <c r="A17" s="21" t="inlineStr">
        <is>
          <t>Last reviewed revision</t>
        </is>
      </c>
      <c r="B17" s="22" t="inlineStr">
        <is>
          <t>2026-10-29 creation-only source review passed; snapshot in Stories K32. Full Subcategory module review pending.</t>
        </is>
      </c>
    </row>
    <row r="18" ht="40" customHeight="1">
      <c r="A18" s="21" t="inlineStr">
        <is>
          <t>Current item status</t>
        </is>
      </c>
      <c r="B18" s="18" t="inlineStr">
        <is>
          <t>In progress</t>
        </is>
      </c>
    </row>
    <row r="19">
      <c r="A19" s="15" t="n"/>
      <c r="B19" s="15" t="inlineStr">
        <is>
          <t>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t>
        </is>
      </c>
      <c r="C19" s="15" t="n"/>
      <c r="D19" s="15" t="n"/>
      <c r="E19" s="15" t="n"/>
      <c r="F19" s="15" t="n"/>
      <c r="G19" s="15" t="n"/>
      <c r="H19" s="15" t="n"/>
    </row>
    <row r="20" ht="44" customHeight="1">
      <c r="A20" s="21" t="inlineStr">
        <is>
          <t>Completion process</t>
        </is>
      </c>
      <c r="B20" s="18" t="inlineStr">
        <is>
          <t>Build small lessons and ask developer to check behaviour. Review the connected feature at completion, correct findings, and record both review and passed testing before marking Complete.</t>
        </is>
      </c>
    </row>
    <row r="21" ht="44" customHeight="1">
      <c r="A21" s="21" t="inlineStr">
        <is>
          <t>Meaning of done</t>
        </is>
      </c>
      <c r="B21" s="18" t="inlineStr">
        <is>
          <t>After an explicit test request, done means the developer tested that item and it worked. Otherwise it means continue the lesson; it never bypasses code review.</t>
        </is>
      </c>
    </row>
    <row r="22" ht="44" customHeight="1">
      <c r="A22" s="21" t="inlineStr">
        <is>
          <t>What to record</t>
        </is>
      </c>
      <c r="B22" s="18" t="inlineStr">
        <is>
          <t>Keep current item, lesson, next action and blocker current. Record review/test evidence and dates in Stories. Save inspected Poker paths and pattern findings with the relevant item for reuse.</t>
        </is>
      </c>
    </row>
    <row r="23" ht="44" customHeight="1">
      <c r="A23" s="21" t="inlineStr">
        <is>
          <t>How completion works</t>
        </is>
      </c>
      <c r="B23" s="18" t="inlineStr">
        <is>
          <t>Set Work stage to Ready for review; record Passed review and test with evidence/dates. Status is calculated. Never overwrite it to claim completion.</t>
        </is>
      </c>
    </row>
    <row r="24" ht="65" customHeight="1">
      <c r="A24" s="21" t="inlineStr">
        <is>
          <t>Dependencies</t>
        </is>
      </c>
      <c r="B24" s="18" t="inlineStr">
        <is>
          <t>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t>
        </is>
      </c>
    </row>
    <row r="25" ht="65" customHeight="1">
      <c r="A25" s="21" t="inlineStr">
        <is>
          <t>One lesson at a time</t>
        </is>
      </c>
      <c r="B25" s="18" t="inlineStr">
        <is>
          <t>Understanding comes first. Apply teaching examples where useful and use judgment to adapt the sequence. One tracker row may take several small lessons. Build prerequisites and connect dependent behaviour as needed; verify before moving on.</t>
        </is>
      </c>
    </row>
    <row r="26" ht="44" customHeight="1">
      <c r="A26" s="21" t="inlineStr">
        <is>
          <t>Teaching emphasis</t>
        </is>
      </c>
      <c r="B26" s="18" t="inlineStr">
        <is>
          <t>Vue, Inertia and Tailwind layout: parent/child relationships, flex/grid, sizing, spacing, overflow and responsive behaviour. Reuse existing colours/typography.</t>
        </is>
      </c>
    </row>
    <row r="27" ht="44" customHeight="1">
      <c r="A27" s="21" t="inlineStr">
        <is>
          <t>Final implementation item</t>
        </is>
      </c>
      <c r="B27" s="18" t="inlineStr">
        <is>
          <t>FB-070 — Super Admin recovery remains last, including its own review and delegated/user testing.</t>
        </is>
      </c>
    </row>
    <row r="28" ht="44" customHeight="1">
      <c r="A28" s="21" t="inlineStr">
        <is>
          <t>Future work</t>
        </is>
      </c>
      <c r="B28" s="18" t="inlineStr">
        <is>
          <t>Rules marked ##FUTURE on Requirements remain deferred and are excluded from Stories and completion totals. Unresolved future details do not authorize implementation.</t>
        </is>
      </c>
    </row>
    <row r="29" ht="44" customHeight="1">
      <c r="A29" s="21" t="inlineStr">
        <is>
          <t>Source of requirements</t>
        </is>
      </c>
      <c r="B29" s="18" t="inlineStr">
        <is>
          <t>Requirements is the authoritative scope record, with detailed rules and related FB item IDs. Stories tracks implementation/evidence; Start Here records where to resume.</t>
        </is>
      </c>
    </row>
    <row r="30" ht="65" customHeight="1">
      <c r="A30" s="21" t="inlineStr">
        <is>
          <t>Reference format</t>
        </is>
      </c>
      <c r="B30" s="18"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t>
        </is>
      </c>
    </row>
    <row r="31" ht="44" customHeight="1">
      <c r="A31" s="21" t="inlineStr">
        <is>
          <t>Resume in a new chat</t>
        </is>
      </c>
      <c r="B31" s="18" t="inlineStr">
        <is>
          <t>Read AGENTS.md and this workbook: Start Here, the current Stories row, and its Requirements. Inspect relevant Poker conventions at new-chat start or on request. Reread AGENTS.md before each item.</t>
        </is>
      </c>
    </row>
    <row r="32" ht="44" customHeight="1">
      <c r="A32" s="21" t="inlineStr">
        <is>
          <t>Changes after verification</t>
        </is>
      </c>
      <c r="B32" s="18" t="inlineStr">
        <is>
          <t>If later edits invalidate a passed item, reopen it and retest affected behaviour. Preserve previous evidence in notes; never silently keep a stale Complete status.</t>
        </is>
      </c>
    </row>
    <row r="33" ht="44" customHeight="1">
      <c r="A33" s="21" t="inlineStr">
        <is>
          <t>Workbook maintenance</t>
        </is>
      </c>
      <c r="B33" s="18" t="inlineStr">
        <is>
          <t>Maintain this same workbook. Update Requirements for agreed scope changes, Stories for evidence/progress, and Start Here for handoff. Do not maintain separate feature-list or resume files.</t>
        </is>
      </c>
    </row>
    <row r="34" ht="44" customHeight="1">
      <c r="A34" s="21" t="inlineStr">
        <is>
          <t>Commit checkpoints</t>
        </is>
      </c>
      <c r="B34" s="18" t="inlineStr">
        <is>
          <t>After a coherent verified feature, suggest an accurate commit message. The developer commits unless explicitly requesting otherwise.</t>
        </is>
      </c>
    </row>
    <row r="35" ht="65" customHeight="1">
      <c r="A35" s="21" t="inlineStr">
        <is>
          <t>Application test status</t>
        </is>
      </c>
      <c r="B35" s="18" t="inlineStr">
        <is>
          <t>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t>
        </is>
      </c>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sheetData>
  <mergeCells count="27">
    <mergeCell ref="D4:H5"/>
    <mergeCell ref="B24:H24"/>
    <mergeCell ref="B30:H30"/>
    <mergeCell ref="B15:H15"/>
    <mergeCell ref="B33:H33"/>
    <mergeCell ref="B20:H20"/>
    <mergeCell ref="B32:H32"/>
    <mergeCell ref="B26:H26"/>
    <mergeCell ref="D8:H9"/>
    <mergeCell ref="B35:H35"/>
    <mergeCell ref="B16:H16"/>
    <mergeCell ref="B25:H25"/>
    <mergeCell ref="D10:H11"/>
    <mergeCell ref="B31:H31"/>
    <mergeCell ref="B22:H22"/>
    <mergeCell ref="B18:H18"/>
    <mergeCell ref="B27:H27"/>
    <mergeCell ref="B21:H21"/>
    <mergeCell ref="A2:H2"/>
    <mergeCell ref="D6:H7"/>
    <mergeCell ref="B23:H23"/>
    <mergeCell ref="B14:H14"/>
    <mergeCell ref="B17:H17"/>
    <mergeCell ref="B13:H13"/>
    <mergeCell ref="B29:H29"/>
    <mergeCell ref="B34:H34"/>
    <mergeCell ref="B28:H28"/>
  </mergeCells>
  <pageMargins left="0.7" right="0.7" top="0.75" bottom="0.75" header="0.3" footer="0.3"/>
</worksheet>
</file>

<file path=xl/worksheets/sheet2.xml><?xml version="1.0" encoding="utf-8"?>
<worksheet xmlns="http://schemas.openxmlformats.org/spreadsheetml/2006/main">
  <sheetPr>
    <tabColor rgb="FF17324D"/>
    <outlinePr summaryBelow="1" summaryRight="1"/>
    <pageSetUpPr/>
  </sheetPr>
  <dimension ref="A1:S73"/>
  <sheetViews>
    <sheetView showGridLines="0" workbookViewId="0">
      <pane xSplit="2" ySplit="3" topLeftCell="C4" activePane="bottomRight" state="frozen"/>
      <selection activeCell="A1" sqref="A1"/>
    </sheetView>
  </sheetViews>
  <sheetFormatPr baseColWidth="8" defaultRowHeight="15"/>
  <cols>
    <col width="5" customWidth="1" min="1" max="1"/>
    <col width="12" customWidth="1" min="2" max="2"/>
    <col width="22" customWidth="1" min="3" max="3"/>
    <col width="42" customWidth="1" min="4" max="4"/>
    <col width="78" customWidth="1" min="5" max="5"/>
    <col width="14" customWidth="1" min="6" max="6"/>
    <col width="14" customWidth="1" min="7" max="7"/>
    <col width="26" customWidth="1" min="8" max="8"/>
    <col width="20" customWidth="1" min="9" max="9"/>
    <col width="18" customWidth="1" min="10" max="10"/>
    <col width="55" customWidth="1" min="11" max="11"/>
    <col width="15" customWidth="1" min="12" max="12"/>
    <col width="19" customWidth="1" min="13" max="13"/>
    <col width="17" customWidth="1" min="14" max="14"/>
    <col width="55" customWidth="1" min="15" max="15"/>
    <col width="15" customWidth="1" min="16" max="16"/>
    <col width="45" customWidth="1" min="17" max="17"/>
    <col width="48" customWidth="1" min="18" max="18"/>
    <col width="40" customWidth="1" min="19" max="19"/>
  </cols>
  <sheetData>
    <row r="1" ht="30" customHeight="1">
      <c r="A1" s="2" t="inlineStr">
        <is>
          <t>FoodBank learning tracker — complete one small item before continuing</t>
        </is>
      </c>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3" ht="30" customHeight="1">
      <c r="A3" s="8" t="inlineStr">
        <is>
          <t>#</t>
        </is>
      </c>
      <c r="B3" s="8" t="inlineStr">
        <is>
          <t>Item ID</t>
        </is>
      </c>
      <c r="C3" s="8" t="inlineStr">
        <is>
          <t>Feature</t>
        </is>
      </c>
      <c r="D3" s="8" t="inlineStr">
        <is>
          <t>Learning item</t>
        </is>
      </c>
      <c r="E3" s="8" t="inlineStr">
        <is>
          <t>Acceptance checks</t>
        </is>
      </c>
      <c r="F3" s="8" t="inlineStr">
        <is>
          <t>Previous item</t>
        </is>
      </c>
      <c r="G3" s="8" t="inlineStr">
        <is>
          <t>Readiness</t>
        </is>
      </c>
      <c r="H3" s="8" t="inlineStr">
        <is>
          <t>Status</t>
        </is>
      </c>
      <c r="I3" s="8" t="inlineStr">
        <is>
          <t>Work stage</t>
        </is>
      </c>
      <c r="J3" s="8" t="inlineStr">
        <is>
          <t>Code review</t>
        </is>
      </c>
      <c r="K3" s="8" t="inlineStr">
        <is>
          <t>Review evidence</t>
        </is>
      </c>
      <c r="L3" s="8" t="inlineStr">
        <is>
          <t>Review date</t>
        </is>
      </c>
      <c r="M3" s="8" t="inlineStr">
        <is>
          <t>Tested by</t>
        </is>
      </c>
      <c r="N3" s="8" t="inlineStr">
        <is>
          <t>Test result</t>
        </is>
      </c>
      <c r="O3" s="8" t="inlineStr">
        <is>
          <t>Test evidence</t>
        </is>
      </c>
      <c r="P3" s="8" t="inlineStr">
        <is>
          <t>Test date</t>
        </is>
      </c>
      <c r="Q3" s="8" t="inlineStr">
        <is>
          <t>Lesson / last step</t>
        </is>
      </c>
      <c r="R3" s="8" t="inlineStr">
        <is>
          <t>Next action</t>
        </is>
      </c>
      <c r="S3" s="8" t="inlineStr">
        <is>
          <t>Blocker</t>
        </is>
      </c>
    </row>
    <row r="4" ht="400" customHeight="1">
      <c r="A4" s="4" t="n">
        <v>1</v>
      </c>
      <c r="B4" s="4" t="inlineStr">
        <is>
          <t>FB-001</t>
        </is>
      </c>
      <c r="C4" s="4" t="inlineStr">
        <is>
          <t>Starting point</t>
        </is>
      </c>
      <c r="D4" s="4" t="inlineStr">
        <is>
          <t>Inspect the projects and confirm the local starting point</t>
        </is>
      </c>
      <c r="E4" s="4" t="inlineStr">
        <is>
          <t>Review existing FoodBank code and relevant Poker workflows; explain how the current page runs; developer verifies the local page and database connection. Record actual findings before marking complete.</t>
        </is>
      </c>
      <c r="F4" s="4" t="n"/>
      <c r="G4" s="4">
        <f>IF(H4="Complete","Complete",IF(I4="Blocked","Blocked",IF(I4="In progress","Ready",IF(F4="","Ready",IF(COUNTIFS($B$4:$B$73,F4,$H$4:$H$73,"Complete")=1,"Ready","Waiting")))))</f>
        <v/>
      </c>
      <c r="H4" s="4">
        <f>IF(I4="Not started","Not started",IF(I4="Blocked","Blocked",IF(I4="In progress","In progress",IF(J4&lt;&gt;"Passed","Awaiting code review",IF(OR(K4="",NOT(ISNUMBER(L4))),"Awaiting review evidence",IF(N4&lt;&gt;"Passed","Awaiting test",IF(OR(M4="",O4="",NOT(ISNUMBER(P4))),"Awaiting test evidence","Complete")))))))</f>
        <v/>
      </c>
      <c r="I4" s="10" t="inlineStr">
        <is>
          <t>Ready for review</t>
        </is>
      </c>
      <c r="J4" s="10" t="inlineStr">
        <is>
          <t>Passed</t>
        </is>
      </c>
      <c r="K4" s="10" t="inlineStr">
        <is>
          <t>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t>
        </is>
      </c>
      <c r="L4" s="30" t="n">
        <v>46320</v>
      </c>
      <c r="M4" s="10" t="inlineStr">
        <is>
          <t>Developer</t>
        </is>
      </c>
      <c r="N4" s="10" t="inlineStr">
        <is>
          <t>Passed</t>
        </is>
      </c>
      <c r="O4" s="10" t="inlineStr">
        <is>
          <t>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t>
        </is>
      </c>
      <c r="P4" s="30" t="n">
        <v>46320</v>
      </c>
      <c r="Q4" s="10" t="inlineStr">
        <is>
          <t>2026-10-25: FB-001 complete after source review and developer-confirmed local page, Light/Dark refresh persistence and MySQL connection checks. Initial commit d8cdf44 already contains setup; no new tracked application changes.</t>
        </is>
      </c>
      <c r="R4" s="10" t="inlineStr">
        <is>
          <t>Before starting this item or feature: reread AGENTS.md from disk; apply its teaching and testing rules. Completed; continue with FB-002 shared login page.</t>
        </is>
      </c>
      <c r="S4" s="10" t="n"/>
    </row>
    <row r="5" ht="105" customHeight="1">
      <c r="A5" s="9" t="n">
        <v>2</v>
      </c>
      <c r="B5" s="9" t="inlineStr">
        <is>
          <t>FB-002</t>
        </is>
      </c>
      <c r="C5" s="9" t="inlineStr">
        <is>
          <t>Access</t>
        </is>
      </c>
      <c r="D5" s="9" t="inlineStr">
        <is>
          <t>Display the shared login page</t>
        </is>
      </c>
      <c r="E5" s="9" t="inlineStr">
        <is>
          <t>Show one login page for all roles, with username/email and password fields. Explain URL-to-page flow and inherited components; use local fictional accounts. Include approved Remember me checkbox (REQ-178) and verify the selected centered-card appearance (REQ-176).</t>
        </is>
      </c>
      <c r="F5" s="9" t="inlineStr">
        <is>
          <t>FB-001</t>
        </is>
      </c>
      <c r="G5" s="9">
        <f>IF(H5="Complete","Complete",IF(I5="Blocked","Blocked",IF(I5="In progress","Ready",IF(F5="","Ready",IF(COUNTIFS($B$4:$B$73,F5,$H$4:$H$73,"Complete")=1,"Ready","Waiting")))))</f>
        <v/>
      </c>
      <c r="H5" s="9">
        <f>IF(I5="Not started","Not started",IF(I5="Blocked","Blocked",IF(I5="In progress","In progress",IF(J5&lt;&gt;"Passed","Awaiting code review",IF(OR(K5="",NOT(ISNUMBER(L5))),"Awaiting review evidence",IF(N5&lt;&gt;"Passed","Awaiting test",IF(OR(M5="",O5="",NOT(ISNUMBER(P5))),"Awaiting test evidence","Complete")))))))</f>
        <v/>
      </c>
      <c r="I5" s="11" t="inlineStr">
        <is>
          <t>Ready for review</t>
        </is>
      </c>
      <c r="J5" s="11" t="inlineStr">
        <is>
          <t>Passed</t>
        </is>
      </c>
      <c r="K5" s="11" t="inlineStr">
        <is>
          <t>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t>
        </is>
      </c>
      <c r="L5" s="31" t="n">
        <v>46320</v>
      </c>
      <c r="M5" s="11" t="inlineStr">
        <is>
          <t>Developer</t>
        </is>
      </c>
      <c r="N5" s="11" t="inlineStr">
        <is>
          <t>Passed</t>
        </is>
      </c>
      <c r="O5" s="11" t="inlineStr">
        <is>
          <t>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t>
        </is>
      </c>
      <c r="P5" s="31" t="n">
        <v>46320</v>
      </c>
      <c r="Q5" s="11" t="inlineStr">
        <is>
          <t>2026-10-25: Reopened display work complete after final review and developer narrow/short viewport checks. Remember me display included, authentication not connected.</t>
        </is>
      </c>
      <c r="R5" s="11" t="inlineStr">
        <is>
          <t>Before starting this item or feature: reread AGENTS.md from disk; apply its teaching and testing rules. Display verified; continue FB-003 keyboard checks. Commit checkpoint: Build centered login screen with sprout branding and Remember me.</t>
        </is>
      </c>
      <c r="S5" s="11" t="n"/>
    </row>
    <row r="6" ht="105" customHeight="1">
      <c r="A6" s="4" t="n">
        <v>3</v>
      </c>
      <c r="B6" s="4" t="inlineStr">
        <is>
          <t>FB-003</t>
        </is>
      </c>
      <c r="C6" s="4" t="inlineStr">
        <is>
          <t>Access</t>
        </is>
      </c>
      <c r="D6" s="4" t="inlineStr">
        <is>
          <t>Arrange the login form for narrow and wide screens</t>
        </is>
      </c>
      <c r="E6" s="4" t="inlineStr">
        <is>
          <t>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t>
        </is>
      </c>
      <c r="F6" s="4" t="inlineStr">
        <is>
          <t>FB-002</t>
        </is>
      </c>
      <c r="G6" s="4">
        <f>IF(H6="Complete","Complete",IF(I6="Blocked","Blocked",IF(I6="In progress","Ready",IF(F6="","Ready",IF(COUNTIFS($B$4:$B$73,F6,$H$4:$H$73,"Complete")=1,"Ready","Waiting")))))</f>
        <v/>
      </c>
      <c r="H6" s="4">
        <f>IF(I6="Not started","Not started",IF(I6="Blocked","Blocked",IF(I6="In progress","In progress",IF(J6&lt;&gt;"Passed","Awaiting code review",IF(OR(K6="",NOT(ISNUMBER(L6))),"Awaiting review evidence",IF(N6&lt;&gt;"Passed","Awaiting test",IF(OR(M6="",O6="",NOT(ISNUMBER(P6))),"Awaiting test evidence","Complete")))))))</f>
        <v/>
      </c>
      <c r="I6" s="10" t="inlineStr">
        <is>
          <t>Ready for review</t>
        </is>
      </c>
      <c r="J6" s="10" t="inlineStr">
        <is>
          <t>Passed</t>
        </is>
      </c>
      <c r="K6" s="10" t="inlineStr">
        <is>
          <t>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t>
        </is>
      </c>
      <c r="L6" s="30" t="n">
        <v>46320</v>
      </c>
      <c r="M6" s="10" t="inlineStr">
        <is>
          <t>Developer</t>
        </is>
      </c>
      <c r="N6" s="10" t="inlineStr">
        <is>
          <t>Passed</t>
        </is>
      </c>
      <c r="O6" s="10" t="inlineStr">
        <is>
          <t>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t>
        </is>
      </c>
      <c r="P6" s="30" t="n">
        <v>46320</v>
      </c>
      <c r="Q6" s="10" t="inlineStr">
        <is>
          <t>Layout and approved keyboard checks complete 2026-10-25.</t>
        </is>
      </c>
      <c r="R6" s="10" t="inlineStr">
        <is>
          <t>Before starting this item or feature: reread AGENTS.md from disk; apply its teaching and testing rules. Continue FB-004 account prerequisites. Commit checkpoint: Build centered login screen with sprout branding and Remember me.</t>
        </is>
      </c>
      <c r="S6" s="10" t="n"/>
    </row>
    <row r="7" ht="105" customHeight="1">
      <c r="A7" s="9" t="n">
        <v>4</v>
      </c>
      <c r="B7" s="9" t="inlineStr">
        <is>
          <t>FB-004</t>
        </is>
      </c>
      <c r="C7" s="9" t="inlineStr">
        <is>
          <t>Access</t>
        </is>
      </c>
      <c r="D7" s="9" t="inlineStr">
        <is>
          <t>Create the initial account and fixed roles</t>
        </is>
      </c>
      <c r="E7" s="9" t="inlineStr">
        <is>
          <t>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F7" s="9" t="inlineStr">
        <is>
          <t>FB-003</t>
        </is>
      </c>
      <c r="G7" s="9">
        <f>IF(H7="Complete","Complete",IF(I7="Blocked","Blocked",IF(I7="In progress","Ready",IF(F7="","Ready",IF(COUNTIFS($B$4:$B$73,F7,$H$4:$H$73,"Complete")=1,"Ready","Waiting")))))</f>
        <v/>
      </c>
      <c r="H7" s="9">
        <f>IF(I7="Not started","Not started",IF(I7="Blocked","Blocked",IF(I7="In progress","In progress",IF(J7&lt;&gt;"Passed","Awaiting code review",IF(OR(K7="",NOT(ISNUMBER(L7))),"Awaiting review evidence",IF(N7&lt;&gt;"Passed","Awaiting test",IF(OR(M7="",O7="",NOT(ISNUMBER(P7))),"Awaiting test evidence","Complete")))))))</f>
        <v/>
      </c>
      <c r="I7" s="11" t="inlineStr">
        <is>
          <t>In progress</t>
        </is>
      </c>
      <c r="J7" s="11" t="inlineStr">
        <is>
          <t>Passed</t>
        </is>
      </c>
      <c r="K7" s="11" t="inlineStr">
        <is>
          <t>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t>
        </is>
      </c>
      <c r="L7" s="31" t="n">
        <v>46321</v>
      </c>
      <c r="M7" s="11" t="inlineStr">
        <is>
          <t>Developer</t>
        </is>
      </c>
      <c r="N7" s="11" t="inlineStr">
        <is>
          <t>Passed</t>
        </is>
      </c>
      <c r="O7" s="11" t="inlineStr">
        <is>
          <t>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t>
        </is>
      </c>
      <c r="P7" s="31" t="n">
        <v>46321</v>
      </c>
      <c r="Q7" s="11" t="inlineStr">
        <is>
          <t>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t>
        </is>
      </c>
      <c r="R7" s="11" t="inlineStr">
        <is>
          <t>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S7" s="11" t="n"/>
    </row>
    <row r="8" ht="105" customHeight="1">
      <c r="A8" s="4" t="n">
        <v>5</v>
      </c>
      <c r="B8" s="4" t="inlineStr">
        <is>
          <t>FB-005</t>
        </is>
      </c>
      <c r="C8" s="4" t="inlineStr">
        <is>
          <t>Access</t>
        </is>
      </c>
      <c r="D8" s="4" t="inlineStr">
        <is>
          <t>Connect login, logout and protected access</t>
        </is>
      </c>
      <c r="E8" s="4" t="inlineStr">
        <is>
          <t>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t>
        </is>
      </c>
      <c r="F8" s="4" t="inlineStr">
        <is>
          <t>FB-004</t>
        </is>
      </c>
      <c r="G8" s="4">
        <f>IF(H8="Complete","Complete",IF(I8="Blocked","Blocked",IF(I8="In progress","Ready",IF(F8="","Ready",IF(COUNTIFS($B$4:$B$73,F8,$H$4:$H$73,"Complete")=1,"Ready","Waiting")))))</f>
        <v/>
      </c>
      <c r="H8" s="4">
        <f>IF(I8="Not started","Not started",IF(I8="Blocked","Blocked",IF(I8="In progress","In progress",IF(J8&lt;&gt;"Passed","Awaiting code review",IF(OR(K8="",NOT(ISNUMBER(L8))),"Awaiting review evidence",IF(N8&lt;&gt;"Passed","Awaiting test",IF(OR(M8="",O8="",NOT(ISNUMBER(P8))),"Awaiting test evidence","Complete")))))))</f>
        <v/>
      </c>
      <c r="I8" s="10" t="inlineStr">
        <is>
          <t>In progress</t>
        </is>
      </c>
      <c r="J8" s="10" t="inlineStr">
        <is>
          <t>Needs changes</t>
        </is>
      </c>
      <c r="K8" s="10" t="inlineStr">
        <is>
          <t>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L8" s="30" t="n">
        <v>46321</v>
      </c>
      <c r="M8" s="10" t="inlineStr">
        <is>
          <t>Developer and assistant (delegated)</t>
        </is>
      </c>
      <c r="N8" s="10" t="inlineStr">
        <is>
          <t>Not tested</t>
        </is>
      </c>
      <c r="O8" s="10" t="inlineStr">
        <is>
          <t>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t>
        </is>
      </c>
      <c r="P8" s="30" t="n">
        <v>46321</v>
      </c>
      <c r="Q8" s="10" t="inlineStr">
        <is>
          <t>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8" s="10" t="inlineStr">
        <is>
          <t>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8" s="10" t="n"/>
    </row>
    <row r="9" ht="105" customHeight="1">
      <c r="A9" s="9" t="n">
        <v>6</v>
      </c>
      <c r="B9" s="9" t="inlineStr">
        <is>
          <t>FB-016</t>
        </is>
      </c>
      <c r="C9" s="9" t="inlineStr">
        <is>
          <t>Accounts</t>
        </is>
      </c>
      <c r="D9" s="9" t="inlineStr">
        <is>
          <t>Display a create-user page and reactive fields</t>
        </is>
      </c>
      <c r="E9" s="9" t="inlineStr">
        <is>
          <t>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t>
        </is>
      </c>
      <c r="F9" s="9" t="inlineStr">
        <is>
          <t>FB-005</t>
        </is>
      </c>
      <c r="G9" s="9">
        <f>IF(H9="Complete","Complete",IF(I9="Blocked","Blocked",IF(I9="In progress","Ready",IF(F9="","Ready",IF(COUNTIFS($B$4:$B$73,F9,$H$4:$H$73,"Complete")=1,"Ready","Waiting")))))</f>
        <v/>
      </c>
      <c r="H9" s="9">
        <f>IF(I9="Not started","Not started",IF(I9="Blocked","Blocked",IF(I9="In progress","In progress",IF(J9&lt;&gt;"Passed","Awaiting code review",IF(OR(K9="",NOT(ISNUMBER(L9))),"Awaiting review evidence",IF(N9&lt;&gt;"Passed","Awaiting test",IF(OR(M9="",O9="",NOT(ISNUMBER(P9))),"Awaiting test evidence","Complete")))))))</f>
        <v/>
      </c>
      <c r="I9" s="11" t="inlineStr">
        <is>
          <t>In progress</t>
        </is>
      </c>
      <c r="J9" s="11" t="inlineStr">
        <is>
          <t>Changes needed</t>
        </is>
      </c>
      <c r="K9"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9" s="31" t="n">
        <v>46323.5</v>
      </c>
      <c r="M9" s="11" t="inlineStr">
        <is>
          <t>Assistant (explicitly delegated; prior developer evidence retained)</t>
        </is>
      </c>
      <c r="N9" s="11" t="inlineStr">
        <is>
          <t>Failed</t>
        </is>
      </c>
      <c r="O9" s="11" t="inlineStr">
        <is>
          <t>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9" s="31" t="n">
        <v>46323.5</v>
      </c>
      <c r="Q9" s="11"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t>
        </is>
      </c>
      <c r="R9"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9" s="11" t="n"/>
    </row>
    <row r="10" ht="105" customHeight="1">
      <c r="A10" s="4" t="n">
        <v>7</v>
      </c>
      <c r="B10" s="4" t="inlineStr">
        <is>
          <t>FB-017</t>
        </is>
      </c>
      <c r="C10" s="4" t="inlineStr">
        <is>
          <t>Accounts</t>
        </is>
      </c>
      <c r="D10" s="4" t="inlineStr">
        <is>
          <t>Arrange the create form and format Canadian phones</t>
        </is>
      </c>
      <c r="E10" s="4" t="inlineStr">
        <is>
          <t>Teach stacked-to-column layout. While typing, phone becomes +1 506-555-0123; ten digits after +1. Labels and field errors fit without overflow.</t>
        </is>
      </c>
      <c r="F10" s="4" t="inlineStr">
        <is>
          <t>FB-016</t>
        </is>
      </c>
      <c r="G10" s="4">
        <f>IF(H10="Complete","Complete",IF(I10="Blocked","Blocked",IF(I10="In progress","Ready",IF(F10="","Ready",IF(COUNTIFS($B$4:$B$73,F10,$H$4:$H$73,"Complete")=1,"Ready","Waiting")))))</f>
        <v/>
      </c>
      <c r="H10" s="4">
        <f>IF(I10="Not started","Not started",IF(I10="Blocked","Blocked",IF(I10="In progress","In progress",IF(J10&lt;&gt;"Passed","Awaiting code review",IF(OR(K10="",NOT(ISNUMBER(L10))),"Awaiting review evidence",IF(N10&lt;&gt;"Passed","Awaiting test",IF(OR(M10="",O10="",NOT(ISNUMBER(P10))),"Awaiting test evidence","Complete")))))))</f>
        <v/>
      </c>
      <c r="I10" s="10" t="inlineStr">
        <is>
          <t>In progress</t>
        </is>
      </c>
      <c r="J10" s="10" t="inlineStr">
        <is>
          <t>Changes needed</t>
        </is>
      </c>
      <c r="K10" s="10"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0" s="30" t="n">
        <v>46323.5</v>
      </c>
      <c r="M10" s="10" t="inlineStr">
        <is>
          <t>Assistant (explicitly delegated; prior developer evidence retained)</t>
        </is>
      </c>
      <c r="N10" s="10" t="inlineStr">
        <is>
          <t>Failed</t>
        </is>
      </c>
      <c r="O10" s="10" t="inlineStr">
        <is>
          <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0" s="30" t="n">
        <v>46323.5</v>
      </c>
      <c r="Q10" s="10" t="inlineStr">
        <is>
          <t>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0" s="10"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0" s="10" t="n"/>
    </row>
    <row r="11" ht="105" customHeight="1">
      <c r="A11" s="9" t="n">
        <v>8</v>
      </c>
      <c r="B11" s="9" t="inlineStr">
        <is>
          <t>FB-018</t>
        </is>
      </c>
      <c r="C11" s="9" t="inlineStr">
        <is>
          <t>Accounts</t>
        </is>
      </c>
      <c r="D11" s="9" t="inlineStr">
        <is>
          <t>Generate meaningful unique usernames</t>
        </is>
      </c>
      <c r="E11" s="9" t="inlineStr">
        <is>
          <t>Lowercase first.last; remove spaces/hyphens/apostrophes and transliterate accents for username only. Collisions across all roles use .01, .02 etc. Unexpected symbols or unusable name parts block saving; no user.user fallback.</t>
        </is>
      </c>
      <c r="F11" s="9" t="inlineStr">
        <is>
          <t>FB-017</t>
        </is>
      </c>
      <c r="G11" s="9">
        <f>IF(H11="Complete","Complete",IF(I11="Blocked","Blocked",IF(I11="In progress","Ready",IF(F11="","Ready",IF(COUNTIFS($B$4:$B$73,F11,$H$4:$H$73,"Complete")=1,"Ready","Waiting")))))</f>
        <v/>
      </c>
      <c r="H11" s="9">
        <f>IF(I11="Not started","Not started",IF(I11="Blocked","Blocked",IF(I11="In progress","In progress",IF(J11&lt;&gt;"Passed","Awaiting code review",IF(OR(K11="",NOT(ISNUMBER(L11))),"Awaiting review evidence",IF(N11&lt;&gt;"Passed","Awaiting test",IF(OR(M11="",O11="",NOT(ISNUMBER(P11))),"Awaiting test evidence","Complete")))))))</f>
        <v/>
      </c>
      <c r="I11" s="11" t="inlineStr">
        <is>
          <t>In progress</t>
        </is>
      </c>
      <c r="J11" s="11" t="inlineStr">
        <is>
          <t>Changes needed</t>
        </is>
      </c>
      <c r="K11" s="11"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1" s="31" t="n">
        <v>46324</v>
      </c>
      <c r="M11" s="11" t="inlineStr">
        <is>
          <t>Assistant (delegated; browser Cancel user-assisted)</t>
        </is>
      </c>
      <c r="N11" s="11" t="inlineStr">
        <is>
          <t>Failed</t>
        </is>
      </c>
      <c r="O11" s="11" t="inlineStr">
        <is>
          <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1" s="31" t="n">
        <v>46324</v>
      </c>
      <c r="Q11" s="11" t="inlineStr">
        <is>
          <t>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t>
        </is>
      </c>
      <c r="R11" s="11" t="inlineStr">
        <is>
          <t>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t>
        </is>
      </c>
      <c r="S11" s="11" t="n"/>
    </row>
    <row r="12" ht="105" customHeight="1">
      <c r="A12" s="4" t="n">
        <v>9</v>
      </c>
      <c r="B12" s="4" t="inlineStr">
        <is>
          <t>FB-020</t>
        </is>
      </c>
      <c r="C12" s="4" t="inlineStr">
        <is>
          <t>Accounts</t>
        </is>
      </c>
      <c r="D12" s="4" t="inlineStr">
        <is>
          <t>Build the protected read-only account details page</t>
        </is>
      </c>
      <c r="E12" s="4" t="inlineStr">
        <is>
          <t>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t>
        </is>
      </c>
      <c r="F12" s="4" t="inlineStr">
        <is>
          <t>FB-018</t>
        </is>
      </c>
      <c r="G12" s="4">
        <f>IF(H12="Complete","Complete",IF(I12="Blocked","Blocked",IF(I12="In progress","Ready",IF(F12="","Ready",IF(COUNTIFS($B$4:$B$73,F12,$H$4:$H$73,"Complete")=1,"Ready","Waiting")))))</f>
        <v/>
      </c>
      <c r="H12" s="4">
        <f>IF(I12="Not started","Not started",IF(I12="Blocked","Blocked",IF(I12="In progress","In progress",IF(J12&lt;&gt;"Passed","Awaiting code review",IF(OR(K12="",NOT(ISNUMBER(L12))),"Awaiting review evidence",IF(N12&lt;&gt;"Passed","Awaiting test",IF(OR(M12="",O12="",NOT(ISNUMBER(P12))),"Awaiting test evidence","Complete")))))))</f>
        <v/>
      </c>
      <c r="I12" s="10" t="inlineStr">
        <is>
          <t>Ready for review</t>
        </is>
      </c>
      <c r="J12" s="10" t="inlineStr">
        <is>
          <t>Passed</t>
        </is>
      </c>
      <c r="K12" s="10" t="inlineStr">
        <is>
          <t>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2" s="30" t="n">
        <v>46323.5</v>
      </c>
      <c r="M12" s="10" t="inlineStr">
        <is>
          <t>Assistant (delegated) and Developer</t>
        </is>
      </c>
      <c r="N12" s="10" t="inlineStr">
        <is>
          <t>Passed</t>
        </is>
      </c>
      <c r="O12" s="10" t="inlineStr">
        <is>
          <t>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2" s="30" t="n">
        <v>46323.5</v>
      </c>
      <c r="Q12" s="10" t="inlineStr">
        <is>
          <t>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t>
        </is>
      </c>
      <c r="R12" s="10" t="inlineStr">
        <is>
          <t>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t>
        </is>
      </c>
      <c r="S12" s="10" t="n"/>
    </row>
    <row r="13" ht="105" customHeight="1">
      <c r="A13" s="9" t="n">
        <v>10</v>
      </c>
      <c r="B13" s="9" t="inlineStr">
        <is>
          <t>FB-019</t>
        </is>
      </c>
      <c r="C13" s="9" t="inlineStr">
        <is>
          <t>Accounts</t>
        </is>
      </c>
      <c r="D13" s="9" t="inlineStr">
        <is>
          <t>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t>
        </is>
      </c>
      <c r="E13" s="9" t="inlineStr">
        <is>
          <t>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F13" s="9" t="inlineStr">
        <is>
          <t>FB-020</t>
        </is>
      </c>
      <c r="G13" s="9">
        <f>IF(H13="Complete","Complete",IF(I13="Blocked","Blocked",IF(I13="In progress","Ready",IF(F13="","Ready",IF(COUNTIFS($B$4:$B$73,F13,$H$4:$H$73,"Complete")=1,"Ready","Waiting")))))</f>
        <v/>
      </c>
      <c r="H13" s="9">
        <f>IF(I13="Not started","Not started",IF(I13="Blocked","Blocked",IF(I13="In progress","In progress",IF(J13&lt;&gt;"Passed","Awaiting code review",IF(OR(K13="",NOT(ISNUMBER(L13))),"Awaiting review evidence",IF(N13&lt;&gt;"Passed","Awaiting test",IF(OR(M13="",O13="",NOT(ISNUMBER(P13))),"Awaiting test evidence","Complete")))))))</f>
        <v/>
      </c>
      <c r="I13" s="11" t="inlineStr">
        <is>
          <t>In progress</t>
        </is>
      </c>
      <c r="J13" s="11" t="inlineStr">
        <is>
          <t>Changes needed</t>
        </is>
      </c>
      <c r="K13"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3" s="31" t="n">
        <v>46324</v>
      </c>
      <c r="M13" s="11" t="inlineStr">
        <is>
          <t>Assistant (delegated; browser Cancel user-assisted)</t>
        </is>
      </c>
      <c r="N13" s="11" t="inlineStr">
        <is>
          <t>Failed</t>
        </is>
      </c>
      <c r="O13" s="11" t="inlineStr">
        <is>
          <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3" s="31" t="n">
        <v>46324</v>
      </c>
      <c r="Q13" s="11" t="inlineStr">
        <is>
          <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3"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3" s="11" t="n"/>
    </row>
    <row r="14" ht="105" customHeight="1">
      <c r="A14" s="4" t="n">
        <v>11</v>
      </c>
      <c r="B14" s="4" t="inlineStr">
        <is>
          <t>FB-006</t>
        </is>
      </c>
      <c r="C14" s="4" t="inlineStr">
        <is>
          <t>Access</t>
        </is>
      </c>
      <c r="D14" s="4" t="inlineStr">
        <is>
          <t>Build the required personal-password setup screen</t>
        </is>
      </c>
      <c r="E14" s="4" t="inlineStr">
        <is>
          <t>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t>
        </is>
      </c>
      <c r="F14" s="4" t="inlineStr">
        <is>
          <t>FB-019</t>
        </is>
      </c>
      <c r="G14" s="4">
        <f>IF(H14="Complete","Complete",IF(I14="Blocked","Blocked",IF(I14="In progress","Ready",IF(F14="","Ready",IF(COUNTIFS($B$4:$B$73,F14,$H$4:$H$73,"Complete")=1,"Ready","Waiting")))))</f>
        <v/>
      </c>
      <c r="H14" s="4">
        <f>IF(I14="Not started","Not started",IF(I14="Blocked","Blocked",IF(I14="In progress","In progress",IF(J14&lt;&gt;"Passed","Awaiting code review",IF(OR(K14="",NOT(ISNUMBER(L14))),"Awaiting review evidence",IF(N14&lt;&gt;"Passed","Awaiting test",IF(OR(M14="",O14="",NOT(ISNUMBER(P14))),"Awaiting test evidence","Complete")))))))</f>
        <v/>
      </c>
      <c r="I14" s="10" t="inlineStr">
        <is>
          <t>In progress</t>
        </is>
      </c>
      <c r="J14" s="10" t="inlineStr">
        <is>
          <t>Changes needed</t>
        </is>
      </c>
      <c r="K14" s="10"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t>
        </is>
      </c>
      <c r="L14" s="30" t="n">
        <v>46322</v>
      </c>
      <c r="M14" s="10" t="inlineStr">
        <is>
          <t>Assistant (delegated)</t>
        </is>
      </c>
      <c r="N14" s="10" t="inlineStr">
        <is>
          <t>Failed</t>
        </is>
      </c>
      <c r="O14" s="10"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t>
        </is>
      </c>
      <c r="P14" s="30" t="n">
        <v>46322</v>
      </c>
      <c r="Q14" s="10" t="inlineStr">
        <is>
          <t>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4" s="10"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4" s="10" t="n"/>
    </row>
    <row r="15" ht="105" customHeight="1">
      <c r="A15" s="9" t="n">
        <v>12</v>
      </c>
      <c r="B15" s="9" t="inlineStr">
        <is>
          <t>FB-007</t>
        </is>
      </c>
      <c r="C15" s="9" t="inlineStr">
        <is>
          <t>Access</t>
        </is>
      </c>
      <c r="D15" s="9" t="inlineStr">
        <is>
          <t>Save the initial personal password and require login again</t>
        </is>
      </c>
      <c r="E15" s="9" t="inlineStr">
        <is>
          <t>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t>
        </is>
      </c>
      <c r="F15" s="9" t="inlineStr">
        <is>
          <t>FB-006</t>
        </is>
      </c>
      <c r="G15" s="9">
        <f>IF(H15="Complete","Complete",IF(I15="Blocked","Blocked",IF(I15="In progress","Ready",IF(F15="","Ready",IF(COUNTIFS($B$4:$B$73,F15,$H$4:$H$73,"Complete")=1,"Ready","Waiting")))))</f>
        <v/>
      </c>
      <c r="H15" s="9">
        <f>IF(I15="Not started","Not started",IF(I15="Blocked","Blocked",IF(I15="In progress","In progress",IF(J15&lt;&gt;"Passed","Awaiting code review",IF(OR(K15="",NOT(ISNUMBER(L15))),"Awaiting review evidence",IF(N15&lt;&gt;"Passed","Awaiting test",IF(OR(M15="",O15="",NOT(ISNUMBER(P15))),"Awaiting test evidence","Complete")))))))</f>
        <v/>
      </c>
      <c r="I15" s="11" t="inlineStr">
        <is>
          <t>In progress</t>
        </is>
      </c>
      <c r="J15" s="11" t="inlineStr">
        <is>
          <t>Changes needed</t>
        </is>
      </c>
      <c r="K15" s="11"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t>
        </is>
      </c>
      <c r="L15" s="31" t="n">
        <v>46322</v>
      </c>
      <c r="M15" s="11" t="inlineStr">
        <is>
          <t>Assistant (delegated)</t>
        </is>
      </c>
      <c r="N15" s="11" t="inlineStr">
        <is>
          <t>Failed</t>
        </is>
      </c>
      <c r="O15" s="11"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t>
        </is>
      </c>
      <c r="P15" s="31" t="n">
        <v>46322</v>
      </c>
      <c r="Q15" s="11" t="inlineStr">
        <is>
          <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5" s="11"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5" s="11" t="n"/>
    </row>
    <row r="16" ht="105" customHeight="1">
      <c r="A16" s="4" t="n">
        <v>13</v>
      </c>
      <c r="B16" s="4" t="inlineStr">
        <is>
          <t>FB-024</t>
        </is>
      </c>
      <c r="C16" s="4" t="inlineStr">
        <is>
          <t>Accounts</t>
        </is>
      </c>
      <c r="D16" s="4" t="inlineStr">
        <is>
          <t>Change the signed-in user’s password</t>
        </is>
      </c>
      <c r="E16" s="4" t="inlineStr">
        <is>
          <t>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t>
        </is>
      </c>
      <c r="F16" s="4" t="inlineStr">
        <is>
          <t>FB-007</t>
        </is>
      </c>
      <c r="G16" s="4">
        <f>IF(H16="Complete","Complete",IF(I16="Blocked","Blocked",IF(I16="In progress","Ready",IF(F16="","Ready",IF(COUNTIFS($B$4:$B$73,F16,$H$4:$H$73,"Complete")=1,"Ready","Waiting")))))</f>
        <v/>
      </c>
      <c r="H16" s="4">
        <f>IF(I16="Not started","Not started",IF(I16="Blocked","Blocked",IF(I16="In progress","In progress",IF(J16&lt;&gt;"Passed","Awaiting code review",IF(OR(K16="",NOT(ISNUMBER(L16))),"Awaiting review evidence",IF(N16&lt;&gt;"Passed","Awaiting test",IF(OR(M16="",O16="",NOT(ISNUMBER(P16))),"Awaiting test evidence","Complete")))))))</f>
        <v/>
      </c>
      <c r="I16" s="10" t="inlineStr">
        <is>
          <t>In progress</t>
        </is>
      </c>
      <c r="J16" s="10" t="inlineStr">
        <is>
          <t>Not reviewed</t>
        </is>
      </c>
      <c r="K16" s="10" t="n"/>
      <c r="L16" s="30" t="n"/>
      <c r="M16" s="10" t="n"/>
      <c r="N16" s="10" t="inlineStr">
        <is>
          <t>Not tested</t>
        </is>
      </c>
      <c r="O16" s="10" t="n"/>
      <c r="P16" s="30" t="n"/>
      <c r="Q16" s="10" t="inlineStr">
        <is>
          <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16" s="10" t="inlineStr">
        <is>
          <t>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6" s="10" t="n"/>
    </row>
    <row r="17" ht="105" customHeight="1">
      <c r="A17" s="9" t="n">
        <v>14</v>
      </c>
      <c r="B17" s="9" t="inlineStr">
        <is>
          <t>FB-009</t>
        </is>
      </c>
      <c r="C17" s="9" t="inlineStr">
        <is>
          <t>Accounts</t>
        </is>
      </c>
      <c r="D17" s="9" t="inlineStr">
        <is>
          <t>Display the unfiltered user lists</t>
        </is>
      </c>
      <c r="E17" s="9" t="inlineStr">
        <is>
          <t>Shared directory available to every signed-in user; all three roles, active and inactive. SIX separate columns First name, Last name, Email, Phone, Role, Status. Fictional props/loops/stable keys first. Separate full-details/management permissions. No pictures now. REQ-041.</t>
        </is>
      </c>
      <c r="F17" s="9" t="inlineStr">
        <is>
          <t>FB-024</t>
        </is>
      </c>
      <c r="G17" s="9">
        <f>IF(H17="Complete","Complete",IF(I17="Blocked","Blocked",IF(I17="In progress","Ready",IF(F17="","Ready",IF(COUNTIFS($B$4:$B$73,F17,$H$4:$H$73,"Complete")=1,"Ready","Waiting")))))</f>
        <v/>
      </c>
      <c r="H17" s="9">
        <f>IF(I17="Not started","Not started",IF(I17="Blocked","Blocked",IF(I17="In progress","In progress",IF(J17&lt;&gt;"Passed","Awaiting code review",IF(OR(K17="",NOT(ISNUMBER(L17))),"Awaiting review evidence",IF(N17&lt;&gt;"Passed","Awaiting test",IF(OR(M17="",O17="",NOT(ISNUMBER(P17))),"Awaiting test evidence","Complete")))))))</f>
        <v/>
      </c>
      <c r="I17" s="11" t="inlineStr">
        <is>
          <t>In progress</t>
        </is>
      </c>
      <c r="J17" s="11" t="inlineStr">
        <is>
          <t>Changes needed</t>
        </is>
      </c>
      <c r="K17"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7" s="31" t="n">
        <v>46324</v>
      </c>
      <c r="M17" s="11" t="inlineStr">
        <is>
          <t>Developer</t>
        </is>
      </c>
      <c r="N17" s="11" t="inlineStr">
        <is>
          <t>Partial</t>
        </is>
      </c>
      <c r="O17" s="11" t="inlineStr">
        <is>
          <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7" s="31" t="inlineStr">
        <is>
          <t>2026-10-29</t>
        </is>
      </c>
      <c r="Q17" s="11" t="inlineStr">
        <is>
          <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7"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7" s="11" t="n"/>
    </row>
    <row r="18" ht="105" customHeight="1">
      <c r="A18" s="4" t="n">
        <v>15</v>
      </c>
      <c r="B18" s="4" t="inlineStr">
        <is>
          <t>FB-010</t>
        </is>
      </c>
      <c r="C18" s="4" t="inlineStr">
        <is>
          <t>Accounts</t>
        </is>
      </c>
      <c r="D18" s="4" t="inlineStr">
        <is>
          <t>Lay out the lists and toolbar</t>
        </is>
      </c>
      <c r="E18" s="4" t="inlineStr">
        <is>
          <t>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t>
        </is>
      </c>
      <c r="F18" s="4" t="inlineStr">
        <is>
          <t>FB-009</t>
        </is>
      </c>
      <c r="G18" s="4">
        <f>IF(H18="Complete","Complete",IF(I18="Blocked","Blocked",IF(I18="In progress","Ready",IF(F18="","Ready",IF(COUNTIFS($B$4:$B$73,F18,$H$4:$H$73,"Complete")=1,"Ready","Waiting")))))</f>
        <v/>
      </c>
      <c r="H18" s="4">
        <f>IF(I18="Not started","Not started",IF(I18="Blocked","Blocked",IF(I18="In progress","In progress",IF(J18&lt;&gt;"Passed","Awaiting code review",IF(OR(K18="",NOT(ISNUMBER(L18))),"Awaiting review evidence",IF(N18&lt;&gt;"Passed","Awaiting test",IF(OR(M18="",O18="",NOT(ISNUMBER(P18))),"Awaiting test evidence","Complete")))))))</f>
        <v/>
      </c>
      <c r="I18" s="10" t="inlineStr">
        <is>
          <t>In progress</t>
        </is>
      </c>
      <c r="J18" s="10" t="inlineStr">
        <is>
          <t>Not reviewed</t>
        </is>
      </c>
      <c r="K1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8" s="30" t="n">
        <v>46324</v>
      </c>
      <c r="M18" s="10" t="inlineStr">
        <is>
          <t>Developer</t>
        </is>
      </c>
      <c r="N18" s="10" t="inlineStr">
        <is>
          <t>Partial</t>
        </is>
      </c>
      <c r="O18" s="10" t="inlineStr">
        <is>
          <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8" s="30" t="n"/>
      <c r="Q18" s="10" t="inlineStr">
        <is>
          <t>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8"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8" s="10" t="n"/>
    </row>
    <row r="19" ht="105" customHeight="1">
      <c r="A19" s="9" t="n">
        <v>16</v>
      </c>
      <c r="B19" s="9" t="inlineStr">
        <is>
          <t>FB-011</t>
        </is>
      </c>
      <c r="C19" s="9" t="inlineStr">
        <is>
          <t>Accounts</t>
        </is>
      </c>
      <c r="D19" s="9" t="inlineStr">
        <is>
          <t>Add account search</t>
        </is>
      </c>
      <c r="E19" s="9" t="inlineStr">
        <is>
          <t>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t>
        </is>
      </c>
      <c r="F19" s="9" t="inlineStr">
        <is>
          <t>FB-010</t>
        </is>
      </c>
      <c r="G19" s="9">
        <f>IF(H19="Complete","Complete",IF(I19="Blocked","Blocked",IF(I19="In progress","Ready",IF(F19="","Ready",IF(COUNTIFS($B$4:$B$73,F19,$H$4:$H$73,"Complete")=1,"Ready","Waiting")))))</f>
        <v/>
      </c>
      <c r="H19" s="9">
        <f>IF(I19="Not started","Not started",IF(I19="Blocked","Blocked",IF(I19="In progress","In progress",IF(J19&lt;&gt;"Passed","Awaiting code review",IF(OR(K19="",NOT(ISNUMBER(L19))),"Awaiting review evidence",IF(N19&lt;&gt;"Passed","Awaiting test",IF(OR(M19="",O19="",NOT(ISNUMBER(P19))),"Awaiting test evidence","Complete")))))))</f>
        <v/>
      </c>
      <c r="I19" s="11" t="inlineStr">
        <is>
          <t>In progress</t>
        </is>
      </c>
      <c r="J19" s="11" t="inlineStr">
        <is>
          <t>Changes needed</t>
        </is>
      </c>
      <c r="K19"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9" s="31" t="n">
        <v>46324</v>
      </c>
      <c r="M19" s="11" t="inlineStr">
        <is>
          <t>Developer</t>
        </is>
      </c>
      <c r="N19" s="11" t="inlineStr">
        <is>
          <t>Partial</t>
        </is>
      </c>
      <c r="O19" s="11" t="inlineStr">
        <is>
          <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9" s="31" t="n"/>
      <c r="Q19" s="11" t="inlineStr">
        <is>
          <t>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9"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9" s="11" t="n"/>
    </row>
    <row r="20" ht="105" customHeight="1">
      <c r="A20" s="4" t="n">
        <v>17</v>
      </c>
      <c r="B20" s="4" t="inlineStr">
        <is>
          <t>FB-012</t>
        </is>
      </c>
      <c r="C20" s="4" t="inlineStr">
        <is>
          <t>Accounts</t>
        </is>
      </c>
      <c r="D20" s="4" t="inlineStr">
        <is>
          <t>Extend directory search to partial role names</t>
        </is>
      </c>
      <c r="E20" s="4" t="inlineStr">
        <is>
          <t>Same single search box matches role labels as well as first name, last name, email or phone. manager, mana and manag find Managers. Search applies before pagination; no separate status or role dropdown. Related rule: REQ-041.</t>
        </is>
      </c>
      <c r="F20" s="4" t="inlineStr">
        <is>
          <t>FB-011</t>
        </is>
      </c>
      <c r="G20" s="4">
        <f>IF(H20="Complete","Complete",IF(I20="Blocked","Blocked",IF(I20="In progress","Ready",IF(F20="","Ready",IF(COUNTIFS($B$4:$B$73,F20,$H$4:$H$73,"Complete")=1,"Ready","Waiting")))))</f>
        <v/>
      </c>
      <c r="H20" s="4">
        <f>IF(I20="Not started","Not started",IF(I20="Blocked","Blocked",IF(I20="In progress","In progress",IF(J20&lt;&gt;"Passed","Awaiting code review",IF(OR(K20="",NOT(ISNUMBER(L20))),"Awaiting review evidence",IF(N20&lt;&gt;"Passed","Awaiting test",IF(OR(M20="",O20="",NOT(ISNUMBER(P20))),"Awaiting test evidence","Complete")))))))</f>
        <v/>
      </c>
      <c r="I20" s="10" t="inlineStr">
        <is>
          <t>In progress</t>
        </is>
      </c>
      <c r="J20" s="10" t="inlineStr">
        <is>
          <t>Changes needed</t>
        </is>
      </c>
      <c r="K20"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0" s="30" t="n">
        <v>46324</v>
      </c>
      <c r="M20" s="10" t="inlineStr">
        <is>
          <t>Developer</t>
        </is>
      </c>
      <c r="N20" s="10" t="inlineStr">
        <is>
          <t>Partial</t>
        </is>
      </c>
      <c r="O20" s="10" t="inlineStr">
        <is>
          <t>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0" s="30" t="n"/>
      <c r="Q20" s="10" t="inlineStr">
        <is>
          <t>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0"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0" s="10" t="n"/>
    </row>
    <row r="21" ht="105" customHeight="1">
      <c r="A21" s="9" t="n">
        <v>18</v>
      </c>
      <c r="B21" s="9" t="inlineStr">
        <is>
          <t>FB-013</t>
        </is>
      </c>
      <c r="C21" s="9" t="inlineStr">
        <is>
          <t>Accounts</t>
        </is>
      </c>
      <c r="D21" s="9" t="inlineStr">
        <is>
          <t>Handle cleared searches and no matching users</t>
        </is>
      </c>
      <c r="E21" s="9" t="inlineStr">
        <is>
          <t>Clearing the single search restores the full permitted directory; a search with no matches displays an understandable empty result. Include contact and partial-role searches. No separate role/status dropdowns. Related rule: REQ-041.</t>
        </is>
      </c>
      <c r="F21" s="9" t="inlineStr">
        <is>
          <t>FB-012</t>
        </is>
      </c>
      <c r="G21" s="9">
        <f>IF(H21="Complete","Complete",IF(I21="Blocked","Blocked",IF(I21="In progress","Ready",IF(F21="","Ready",IF(COUNTIFS($B$4:$B$73,F21,$H$4:$H$73,"Complete")=1,"Ready","Waiting")))))</f>
        <v/>
      </c>
      <c r="H21" s="9">
        <f>IF(I21="Not started","Not started",IF(I21="Blocked","Blocked",IF(I21="In progress","In progress",IF(J21&lt;&gt;"Passed","Awaiting code review",IF(OR(K21="",NOT(ISNUMBER(L21))),"Awaiting review evidence",IF(N21&lt;&gt;"Passed","Awaiting test",IF(OR(M21="",O21="",NOT(ISNUMBER(P21))),"Awaiting test evidence","Complete")))))))</f>
        <v/>
      </c>
      <c r="I21" s="11" t="inlineStr">
        <is>
          <t>In progress</t>
        </is>
      </c>
      <c r="J21" s="11" t="inlineStr">
        <is>
          <t>Changes needed</t>
        </is>
      </c>
      <c r="K21"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1" s="31" t="n">
        <v>46324</v>
      </c>
      <c r="M21" s="11" t="inlineStr">
        <is>
          <t>Developer</t>
        </is>
      </c>
      <c r="N21" s="11" t="inlineStr">
        <is>
          <t>Passed</t>
        </is>
      </c>
      <c r="O21" s="11" t="inlineStr">
        <is>
          <t>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1" s="31" t="n">
        <v>46324</v>
      </c>
      <c r="Q21" s="11" t="inlineStr">
        <is>
          <t>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1"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1" s="11" t="n"/>
    </row>
    <row r="22" ht="105" customHeight="1">
      <c r="A22" s="4" t="n">
        <v>19</v>
      </c>
      <c r="B22" s="4" t="inlineStr">
        <is>
          <t>FB-014</t>
        </is>
      </c>
      <c r="C22" s="4" t="inlineStr">
        <is>
          <t>Accounts</t>
        </is>
      </c>
      <c r="D22" s="4" t="inlineStr">
        <is>
          <t>Paginate the user lists</t>
        </is>
      </c>
      <c r="E22" s="4" t="inlineStr">
        <is>
          <t>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t>
        </is>
      </c>
      <c r="F22" s="4" t="inlineStr">
        <is>
          <t>FB-013</t>
        </is>
      </c>
      <c r="G22" s="4">
        <f>IF(H22="Complete","Complete",IF(I22="Blocked","Blocked",IF(I22="In progress","Ready",IF(F22="","Ready",IF(COUNTIFS($B$4:$B$73,F22,$H$4:$H$73,"Complete")=1,"Ready","Waiting")))))</f>
        <v/>
      </c>
      <c r="H22" s="4">
        <f>IF(I22="Not started","Not started",IF(I22="Blocked","Blocked",IF(I22="In progress","In progress",IF(J22&lt;&gt;"Passed","Awaiting code review",IF(OR(K22="",NOT(ISNUMBER(L22))),"Awaiting review evidence",IF(N22&lt;&gt;"Passed","Awaiting test",IF(OR(M22="",O22="",NOT(ISNUMBER(P22))),"Awaiting test evidence","Complete")))))))</f>
        <v/>
      </c>
      <c r="I22" s="10" t="inlineStr">
        <is>
          <t>In progress</t>
        </is>
      </c>
      <c r="J22" s="10" t="inlineStr">
        <is>
          <t>Changes needed</t>
        </is>
      </c>
      <c r="K22"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2" s="30" t="n">
        <v>46324</v>
      </c>
      <c r="M22" s="10" t="inlineStr">
        <is>
          <t>Developer</t>
        </is>
      </c>
      <c r="N22" s="10" t="inlineStr">
        <is>
          <t>Passed</t>
        </is>
      </c>
      <c r="O22" s="10" t="inlineStr">
        <is>
          <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2" s="30" t="n">
        <v>46324</v>
      </c>
      <c r="Q22" s="10" t="inlineStr">
        <is>
          <t>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2"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2" s="10" t="n"/>
    </row>
    <row r="23" ht="105" customHeight="1">
      <c r="A23" s="9" t="n">
        <v>20</v>
      </c>
      <c r="B23" s="9" t="inlineStr">
        <is>
          <t>FB-015</t>
        </is>
      </c>
      <c r="C23" s="9" t="inlineStr">
        <is>
          <t>Accounts</t>
        </is>
      </c>
      <c r="D23" s="9" t="inlineStr">
        <is>
          <t>Verify shared directory access on the server</t>
        </is>
      </c>
      <c r="E23" s="9" t="inlineStr">
        <is>
          <t>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t>
        </is>
      </c>
      <c r="F23" s="9" t="inlineStr">
        <is>
          <t>FB-014</t>
        </is>
      </c>
      <c r="G23" s="9">
        <f>IF(H23="Complete","Complete",IF(I23="Blocked","Blocked",IF(I23="In progress","Ready",IF(F23="","Ready",IF(COUNTIFS($B$4:$B$73,F23,$H$4:$H$73,"Complete")=1,"Ready","Waiting")))))</f>
        <v/>
      </c>
      <c r="H23" s="9">
        <f>IF(I23="Not started","Not started",IF(I23="Blocked","Blocked",IF(I23="In progress","In progress",IF(J23&lt;&gt;"Passed","Awaiting code review",IF(OR(K23="",NOT(ISNUMBER(L23))),"Awaiting review evidence",IF(N23&lt;&gt;"Passed","Awaiting test",IF(OR(M23="",O23="",NOT(ISNUMBER(P23))),"Awaiting test evidence","Complete")))))))</f>
        <v/>
      </c>
      <c r="I23" s="11" t="inlineStr">
        <is>
          <t>In progress</t>
        </is>
      </c>
      <c r="J23" s="11" t="inlineStr">
        <is>
          <t>Changes needed</t>
        </is>
      </c>
      <c r="K23"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3" s="31" t="n">
        <v>46324</v>
      </c>
      <c r="M23" s="11" t="inlineStr">
        <is>
          <t>Developer</t>
        </is>
      </c>
      <c r="N23" s="11" t="inlineStr">
        <is>
          <t>Partial</t>
        </is>
      </c>
      <c r="O23" s="11" t="inlineStr">
        <is>
          <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3" s="31" t="n"/>
      <c r="Q23" s="11" t="inlineStr">
        <is>
          <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3"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3" s="11" t="n"/>
    </row>
    <row r="24" ht="105" customHeight="1">
      <c r="A24" s="4" t="n">
        <v>21</v>
      </c>
      <c r="B24" s="4" t="inlineStr">
        <is>
          <t>FB-008</t>
        </is>
      </c>
      <c r="C24" s="4" t="inlineStr">
        <is>
          <t>Access</t>
        </is>
      </c>
      <c r="D24" s="4" t="inlineStr">
        <is>
          <t>Display role landing pages and navigation</t>
        </is>
      </c>
      <c r="E24" s="4" t="inlineStr">
        <is>
          <t>After normal login: manager volunteer list, Super Admin combined list, volunteer welcome page. Setup takes priority. Welcome offers password change/logout; add inventory links as those features become available.</t>
        </is>
      </c>
      <c r="F24" s="4" t="inlineStr">
        <is>
          <t>FB-068</t>
        </is>
      </c>
      <c r="G24" s="4">
        <f>IF(H24="Complete","Complete",IF(I24="Blocked","Blocked",IF(I24="In progress","Ready",IF(F24="","Ready",IF(COUNTIFS($B$4:$B$73,F24,$H$4:$H$73,"Complete")=1,"Ready","Waiting")))))</f>
        <v/>
      </c>
      <c r="H24" s="4">
        <f>IF(I24="Not started","Not started",IF(I24="Blocked","Blocked",IF(I24="In progress","In progress",IF(J24&lt;&gt;"Passed","Awaiting code review",IF(OR(K24="",NOT(ISNUMBER(L24))),"Awaiting review evidence",IF(N24&lt;&gt;"Passed","Awaiting test",IF(OR(M24="",O24="",NOT(ISNUMBER(P24))),"Awaiting test evidence","Complete")))))))</f>
        <v/>
      </c>
      <c r="I24" s="10" t="inlineStr">
        <is>
          <t>Not started</t>
        </is>
      </c>
      <c r="J24" s="10" t="inlineStr">
        <is>
          <t>Not reviewed</t>
        </is>
      </c>
      <c r="K24" s="10" t="n"/>
      <c r="L24" s="30" t="n"/>
      <c r="M24" s="10" t="n"/>
      <c r="N24" s="10" t="inlineStr">
        <is>
          <t>Not tested</t>
        </is>
      </c>
      <c r="O24" s="10" t="n"/>
      <c r="P24" s="30" t="n"/>
      <c r="Q24" s="10" t="inlineStr">
        <is>
          <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4" s="10" t="inlineStr">
        <is>
          <t>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4" s="10" t="n"/>
    </row>
    <row r="25" ht="105" customHeight="1">
      <c r="A25" s="9" t="n">
        <v>22</v>
      </c>
      <c r="B25" s="9" t="inlineStr">
        <is>
          <t>FB-021</t>
        </is>
      </c>
      <c r="C25" s="9" t="inlineStr">
        <is>
          <t>Accounts</t>
        </is>
      </c>
      <c r="D25" s="9" t="inlineStr">
        <is>
          <t>Build and save the separate edit page</t>
        </is>
      </c>
      <c r="E25" s="9" t="inlineStr">
        <is>
          <t>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t>
        </is>
      </c>
      <c r="F25" s="9" t="inlineStr">
        <is>
          <t>FB-015</t>
        </is>
      </c>
      <c r="G25" s="9">
        <f>IF(H25="Complete","Complete",IF(I25="Blocked","Blocked",IF(I25="In progress","Ready",IF(F25="","Ready",IF(COUNTIFS($B$4:$B$73,F25,$H$4:$H$73,"Complete")=1,"Ready","Waiting")))))</f>
        <v/>
      </c>
      <c r="H25" s="9">
        <f>IF(I25="Not started","Not started",IF(I25="Blocked","Blocked",IF(I25="In progress","In progress",IF(J25&lt;&gt;"Passed","Awaiting code review",IF(OR(K25="",NOT(ISNUMBER(L25))),"Awaiting review evidence",IF(N25&lt;&gt;"Passed","Awaiting test",IF(OR(M25="",O25="",NOT(ISNUMBER(P25))),"Awaiting test evidence","Complete")))))))</f>
        <v/>
      </c>
      <c r="I25" s="11" t="inlineStr">
        <is>
          <t>In progress</t>
        </is>
      </c>
      <c r="J25" s="11" t="inlineStr">
        <is>
          <t>Changes needed</t>
        </is>
      </c>
      <c r="K25" s="11" t="inlineStr">
        <is>
          <t>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5" s="31" t="n">
        <v>46324</v>
      </c>
      <c r="M25" s="11" t="inlineStr">
        <is>
          <t>Assistant (delegated; browser Cancel user-assisted)</t>
        </is>
      </c>
      <c r="N25" s="11" t="inlineStr">
        <is>
          <t>Failed</t>
        </is>
      </c>
      <c r="O25" s="11" t="inlineStr">
        <is>
          <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5" s="31" t="n">
        <v>46324</v>
      </c>
      <c r="Q25" s="11" t="inlineStr">
        <is>
          <t>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5" s="11"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5" s="11" t="n"/>
    </row>
    <row r="26" ht="105" customHeight="1">
      <c r="A26" s="4" t="n">
        <v>23</v>
      </c>
      <c r="B26" s="4" t="inlineStr">
        <is>
          <t>FB-022</t>
        </is>
      </c>
      <c r="C26" s="4" t="inlineStr">
        <is>
          <t>Accounts</t>
        </is>
      </c>
      <c r="D26" s="4" t="inlineStr">
        <is>
          <t>Deactivate and reactivate accounts</t>
        </is>
      </c>
      <c r="E26" s="4" t="inlineStr">
        <is>
          <t>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F26" s="4" t="inlineStr">
        <is>
          <t>FB-021</t>
        </is>
      </c>
      <c r="G26" s="4">
        <f>IF(H26="Complete","Complete",IF(I26="Blocked","Blocked",IF(I26="In progress","Ready",IF(F26="","Ready",IF(COUNTIFS($B$4:$B$73,F26,$H$4:$H$73,"Complete")=1,"Ready","Waiting")))))</f>
        <v/>
      </c>
      <c r="H26" s="4">
        <f>IF(I26="Not started","Not started",IF(I26="Blocked","Blocked",IF(I26="In progress","In progress",IF(J26&lt;&gt;"Passed","Awaiting code review",IF(OR(K26="",NOT(ISNUMBER(L26))),"Awaiting review evidence",IF(N26&lt;&gt;"Passed","Awaiting test",IF(OR(M26="",O26="",NOT(ISNUMBER(P26))),"Awaiting test evidence","Complete")))))))</f>
        <v/>
      </c>
      <c r="I26" s="10" t="inlineStr">
        <is>
          <t>In progress</t>
        </is>
      </c>
      <c r="J26" s="10" t="inlineStr">
        <is>
          <t>Not reviewed</t>
        </is>
      </c>
      <c r="K26" s="10" t="inlineStr">
        <is>
          <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6" s="30" t="n"/>
      <c r="M26" s="10" t="inlineStr">
        <is>
          <t>Assistant (explicit narrow test delegation)</t>
        </is>
      </c>
      <c r="N26" s="10" t="inlineStr">
        <is>
          <t>Partial</t>
        </is>
      </c>
      <c r="O26" s="10" t="inlineStr">
        <is>
          <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6" s="30" t="n">
        <v>46324</v>
      </c>
      <c r="Q26" s="10" t="inlineStr">
        <is>
          <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t>
        </is>
      </c>
      <c r="R26" s="10" t="inlineStr">
        <is>
          <t>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t>
        </is>
      </c>
      <c r="S26" s="10" t="n"/>
    </row>
    <row r="27" ht="105" customHeight="1">
      <c r="A27" s="9" t="n">
        <v>24</v>
      </c>
      <c r="B27" s="9" t="inlineStr">
        <is>
          <t>FB-023</t>
        </is>
      </c>
      <c r="C27" s="9" t="inlineStr">
        <is>
          <t>Accounts</t>
        </is>
      </c>
      <c r="D27" s="9" t="inlineStr">
        <is>
          <t>Reset manager and volunteer passwords</t>
        </is>
      </c>
      <c r="E27" s="9" t="inlineStr">
        <is>
          <t>Confirm reset; managers reset volunteers, Super Admin resets both roles. Set common password, invalidate old password/all sessions, require setup. Preserve Active/Inactive status. Check form/action permissions and next-login cycle.</t>
        </is>
      </c>
      <c r="F27" s="9" t="inlineStr">
        <is>
          <t>FB-008</t>
        </is>
      </c>
      <c r="G27" s="9">
        <f>IF(H27="Complete","Complete",IF(I27="Blocked","Blocked",IF(I27="In progress","Ready",IF(F27="","Ready",IF(COUNTIFS($B$4:$B$73,F27,$H$4:$H$73,"Complete")=1,"Ready","Waiting")))))</f>
        <v/>
      </c>
      <c r="H27" s="9">
        <f>IF(I27="Not started","Not started",IF(I27="Blocked","Blocked",IF(I27="In progress","In progress",IF(J27&lt;&gt;"Passed","Awaiting code review",IF(OR(K27="",NOT(ISNUMBER(L27))),"Awaiting review evidence",IF(N27&lt;&gt;"Passed","Awaiting test",IF(OR(M27="",O27="",NOT(ISNUMBER(P27))),"Awaiting test evidence","Complete")))))))</f>
        <v/>
      </c>
      <c r="I27" s="11" t="inlineStr">
        <is>
          <t>Not started</t>
        </is>
      </c>
      <c r="J27" s="11" t="inlineStr">
        <is>
          <t>Not reviewed</t>
        </is>
      </c>
      <c r="K27" s="11" t="n"/>
      <c r="L27" s="31" t="n"/>
      <c r="M27" s="11" t="n"/>
      <c r="N27" s="11" t="inlineStr">
        <is>
          <t>Not tested</t>
        </is>
      </c>
      <c r="O27" s="11" t="n"/>
      <c r="P27" s="31" t="n"/>
      <c r="Q27" s="11" t="inlineStr">
        <is>
          <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7" s="11" t="inlineStr">
        <is>
          <t>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7" s="11" t="n"/>
    </row>
    <row r="28" ht="105" customHeight="1">
      <c r="A28" s="4" t="n">
        <v>25</v>
      </c>
      <c r="B28" s="4" t="inlineStr">
        <is>
          <t>FB-025</t>
        </is>
      </c>
      <c r="C28" s="4" t="inlineStr">
        <is>
          <t>Accounts</t>
        </is>
      </c>
      <c r="D28" s="4" t="inlineStr">
        <is>
          <t>Verify the complete account journey</t>
        </is>
      </c>
      <c r="E28" s="4" t="inlineStr">
        <is>
          <t>Developer first tests all three roles, creation/edit/details, search/filter/pagination, inactive sessions and password flows; record automated/direct-request checks as applicable. Review code and retain evidence, not assumptions.</t>
        </is>
      </c>
      <c r="F28" s="4" t="inlineStr">
        <is>
          <t>FB-022</t>
        </is>
      </c>
      <c r="G28" s="4">
        <f>IF(H28="Complete","Complete",IF(I28="Blocked","Blocked",IF(I28="In progress","Ready",IF(F28="","Ready",IF(COUNTIFS($B$4:$B$73,F28,$H$4:$H$73,"Complete")=1,"Ready","Waiting")))))</f>
        <v/>
      </c>
      <c r="H28" s="4">
        <f>IF(I28="Not started","Not started",IF(I28="Blocked","Blocked",IF(I28="In progress","In progress",IF(J28&lt;&gt;"Passed","Awaiting code review",IF(OR(K28="",NOT(ISNUMBER(L28))),"Awaiting review evidence",IF(N28&lt;&gt;"Passed","Awaiting test",IF(OR(M28="",O28="",NOT(ISNUMBER(P28))),"Awaiting test evidence","Complete")))))))</f>
        <v/>
      </c>
      <c r="I28" s="10" t="inlineStr">
        <is>
          <t>In progress</t>
        </is>
      </c>
      <c r="J28" s="10" t="inlineStr">
        <is>
          <t>Changes needed</t>
        </is>
      </c>
      <c r="K2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8" s="30" t="n">
        <v>46324</v>
      </c>
      <c r="M28" s="10" t="inlineStr">
        <is>
          <t>Assistant (delegated; browser Cancel user-assisted)</t>
        </is>
      </c>
      <c r="N28" s="10" t="inlineStr">
        <is>
          <t>Failed</t>
        </is>
      </c>
      <c r="O28" s="10" t="inlineStr">
        <is>
          <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8" s="30" t="n">
        <v>46324</v>
      </c>
      <c r="Q28" s="10" t="inlineStr">
        <is>
          <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8" s="10"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8" s="10" t="n"/>
    </row>
    <row r="29" ht="105" customHeight="1">
      <c r="A29" s="9" t="n">
        <v>26</v>
      </c>
      <c r="B29" s="9" t="inlineStr">
        <is>
          <t>FB-026</t>
        </is>
      </c>
      <c r="C29" s="9" t="inlineStr">
        <is>
          <t>Departments</t>
        </is>
      </c>
      <c r="D29" s="9" t="inlineStr">
        <is>
          <t>Build Department storage and complete creation</t>
        </is>
      </c>
      <c r="E29" s="9" t="inlineStr">
        <is>
          <t>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t>
        </is>
      </c>
      <c r="F29" s="9" t="inlineStr">
        <is>
          <t>FB-025</t>
        </is>
      </c>
      <c r="G29" s="9">
        <f>IF(H29="Complete","Complete",IF(I29="Blocked","Blocked",IF(I29="In progress","Ready",IF(F29="","Ready",IF(COUNTIFS($B$4:$B$73,F29,$H$4:$H$73,"Complete")=1,"Ready","Waiting")))))</f>
        <v/>
      </c>
      <c r="H29" s="9">
        <f>IF(I29="Not started","Not started",IF(I29="Blocked","Blocked",IF(I29="In progress","In progress",IF(J29&lt;&gt;"Passed","Awaiting code review",IF(OR(K29="",NOT(ISNUMBER(L29))),"Awaiting review evidence",IF(N29&lt;&gt;"Passed","Awaiting test",IF(OR(M29="",O29="",NOT(ISNUMBER(P29))),"Awaiting test evidence","Complete")))))))</f>
        <v/>
      </c>
      <c r="I29" s="11" t="inlineStr">
        <is>
          <t>Ready for review</t>
        </is>
      </c>
      <c r="J29" s="11" t="inlineStr">
        <is>
          <t>Passed</t>
        </is>
      </c>
      <c r="K29" s="11" t="inlineStr">
        <is>
          <t>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t>
        </is>
      </c>
      <c r="L29" s="31" t="n">
        <v>46324</v>
      </c>
      <c r="M29" s="11" t="inlineStr">
        <is>
          <t>Developer</t>
        </is>
      </c>
      <c r="N29" s="11" t="inlineStr">
        <is>
          <t>Passed</t>
        </is>
      </c>
      <c r="O29" s="11" t="inlineStr">
        <is>
          <t>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t>
        </is>
      </c>
      <c r="P29" s="31" t="n">
        <v>46324</v>
      </c>
      <c r="Q29" s="11" t="inlineStr">
        <is>
          <t>2026-10-29 creation complete based on passed source review and overall developer-reported creation testing. No assistant application testing. Seeder added under explicit permission and developer ran successfully.</t>
        </is>
      </c>
      <c r="R29" s="11" t="inlineStr">
        <is>
          <t>Before starting/resuming this item or feature: reread AGENTS.md from disk; apply teaching/testing rules. FB-026 complete; continue FB-027 Department list then rename.</t>
        </is>
      </c>
      <c r="S29" s="11" t="n"/>
    </row>
    <row r="30" ht="105" customHeight="1">
      <c r="A30" s="4" t="n">
        <v>27</v>
      </c>
      <c r="B30" s="4" t="inlineStr">
        <is>
          <t>FB-027</t>
        </is>
      </c>
      <c r="C30" s="4" t="inlineStr">
        <is>
          <t>Departments</t>
        </is>
      </c>
      <c r="D30" s="4" t="inlineStr">
        <is>
          <t>Display Department list, then rename departments</t>
        </is>
      </c>
      <c r="E30" s="4" t="inlineStr">
        <is>
          <t>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t>
        </is>
      </c>
      <c r="F30" s="4" t="inlineStr">
        <is>
          <t>FB-026</t>
        </is>
      </c>
      <c r="G30" s="4">
        <f>IF(H30="Complete","Complete",IF(I30="Blocked","Blocked",IF(I30="In progress","Ready",IF(F30="","Ready",IF(COUNTIFS($B$4:$B$73,F30,$H$4:$H$73,"Complete")=1,"Ready","Waiting")))))</f>
        <v/>
      </c>
      <c r="H30" s="4">
        <f>IF(I30="Not started","Not started",IF(I30="Blocked","Blocked",IF(I30="In progress","In progress",IF(J30&lt;&gt;"Passed","Awaiting code review",IF(OR(K30="",NOT(ISNUMBER(L30))),"Awaiting review evidence",IF(N30&lt;&gt;"Passed","Awaiting test",IF(OR(M30="",O30="",NOT(ISNUMBER(P30))),"Awaiting test evidence","Complete")))))))</f>
        <v/>
      </c>
      <c r="I30" s="10" t="inlineStr">
        <is>
          <t>Ready for review</t>
        </is>
      </c>
      <c r="J30" s="10" t="inlineStr">
        <is>
          <t>Passed</t>
        </is>
      </c>
      <c r="K30" s="10" t="inlineStr">
        <is>
          <t>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t>
        </is>
      </c>
      <c r="L30" s="30" t="n">
        <v>46324</v>
      </c>
      <c r="M30" s="10" t="inlineStr">
        <is>
          <t>Developer</t>
        </is>
      </c>
      <c r="N30" s="10" t="inlineStr">
        <is>
          <t>Passed</t>
        </is>
      </c>
      <c r="O30" s="10" t="inlineStr">
        <is>
          <t xml:space="preserve">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t>
        </is>
      </c>
      <c r="P30" s="30" t="n">
        <v>46324</v>
      </c>
      <c r="Q30" s="10" t="inlineStr">
        <is>
          <t>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t>
        </is>
      </c>
      <c r="R30" s="10" t="inlineStr">
        <is>
          <t>Before starting/resuming this item or feature: reread AGENTS.md from disk; apply teaching/testing rules. Developer checks full-width Department edit input and right-aligned buttons on wide and narrow screens; record result, then resume FB-028.</t>
        </is>
      </c>
      <c r="S30" s="10" t="n"/>
    </row>
    <row r="31" ht="105" customHeight="1">
      <c r="A31" s="9" t="n">
        <v>28</v>
      </c>
      <c r="B31" s="9" t="inlineStr">
        <is>
          <t>FB-028</t>
        </is>
      </c>
      <c r="C31" s="9" t="inlineStr">
        <is>
          <t>Categories</t>
        </is>
      </c>
      <c r="D31" s="9" t="inlineStr">
        <is>
          <t>Build and verify Category within Department</t>
        </is>
      </c>
      <c r="E31" s="9" t="inlineStr">
        <is>
          <t>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t>
        </is>
      </c>
      <c r="F31" s="9" t="inlineStr">
        <is>
          <t>FB-027</t>
        </is>
      </c>
      <c r="G31" s="9">
        <f>IF(H31="Complete","Complete",IF(I31="Blocked","Blocked",IF(I31="In progress","Ready",IF(F31="","Ready",IF(COUNTIFS($B$4:$B$73,F31,$H$4:$H$73,"Complete")=1,"Ready","Waiting")))))</f>
        <v/>
      </c>
      <c r="H31" s="9">
        <f>IF(I31="Not started","Not started",IF(I31="Blocked","Blocked",IF(I31="In progress","In progress",IF(J31&lt;&gt;"Passed","Awaiting code review",IF(OR(K31="",NOT(ISNUMBER(L31))),"Awaiting review evidence",IF(N31&lt;&gt;"Passed","Awaiting test",IF(OR(M31="",O31="",NOT(ISNUMBER(P31))),"Awaiting test evidence","Complete")))))))</f>
        <v/>
      </c>
      <c r="I31" s="11" t="inlineStr">
        <is>
          <t>Ready for review</t>
        </is>
      </c>
      <c r="J31" s="11" t="inlineStr">
        <is>
          <t>Passed</t>
        </is>
      </c>
      <c r="K31" s="11" t="inlineStr">
        <is>
          <t>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t>
        </is>
      </c>
      <c r="L31" s="31" t="n">
        <v>46324</v>
      </c>
      <c r="M31" s="11" t="inlineStr">
        <is>
          <t>Developer (create/list); Assistant (delegated edit tests and browser)</t>
        </is>
      </c>
      <c r="N31" s="11" t="inlineStr">
        <is>
          <t>Passed</t>
        </is>
      </c>
      <c r="O31" s="11" t="inlineStr">
        <is>
          <t xml:space="preserve">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t>
        </is>
      </c>
      <c r="P31" s="31" t="n">
        <v>46324</v>
      </c>
      <c r="Q31" s="11" t="inlineStr">
        <is>
          <t>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t>
        </is>
      </c>
      <c r="R31" s="11" t="inlineStr">
        <is>
          <t>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t>
        </is>
      </c>
      <c r="S31" s="11" t="n"/>
    </row>
    <row r="32" ht="105" customHeight="1">
      <c r="A32" s="4" t="n">
        <v>29</v>
      </c>
      <c r="B32" s="4" t="inlineStr">
        <is>
          <t>FB-029</t>
        </is>
      </c>
      <c r="C32" s="4" t="inlineStr">
        <is>
          <t>Subcategories</t>
        </is>
      </c>
      <c r="D32" s="4" t="inlineStr">
        <is>
          <t>Build Subcategory storage, complete creation, then list</t>
        </is>
      </c>
      <c r="E32" s="4" t="inlineStr">
        <is>
          <t>Subcategory creation has Department and dependent Category dropdowns plus required name. Only selected Department categories appear; changing Department clears Category. Server validates matching parent selection; save category_id/name only. Names unique within Category ignoring case/outer spaces. Managers/Super Admin only. No sizes/units/quantities. Complete/verify creation before list; no speculative Product relationship.</t>
        </is>
      </c>
      <c r="F32" s="4" t="inlineStr">
        <is>
          <t>FB-028</t>
        </is>
      </c>
      <c r="G32" s="4">
        <f>IF(H32="Complete","Complete",IF(I32="Blocked","Blocked",IF(I32="In progress","Ready",IF(F32="","Ready",IF(COUNTIFS($B$4:$B$73,F32,$H$4:$H$73,"Complete")=1,"Ready","Waiting")))))</f>
        <v/>
      </c>
      <c r="H32" s="4">
        <f>IF(I32="Not started","Not started",IF(I32="Blocked","Blocked",IF(I32="In progress","In progress",IF(J32&lt;&gt;"Passed","Awaiting code review",IF(OR(K32="",NOT(ISNUMBER(L32))),"Awaiting review evidence",IF(N32&lt;&gt;"Passed","Awaiting test",IF(OR(M32="",O32="",NOT(ISNUMBER(P32))),"Awaiting test evidence","Complete")))))))</f>
        <v/>
      </c>
      <c r="I32" s="10" t="inlineStr">
        <is>
          <t>In progress</t>
        </is>
      </c>
      <c r="J32" s="10" t="inlineStr">
        <is>
          <t>Not reviewed</t>
        </is>
      </c>
      <c r="K32" s="10" t="inlineStr">
        <is>
          <t>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t>
        </is>
      </c>
      <c r="L32" s="30" t="n"/>
      <c r="M32" s="10" t="n"/>
      <c r="N32" s="10" t="inlineStr">
        <is>
          <t>Not tested</t>
        </is>
      </c>
      <c r="O32" s="10" t="inlineStr">
        <is>
          <t xml:space="preserve">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t>
        </is>
      </c>
      <c r="P32" s="30" t="n"/>
      <c r="Q32" s="10" t="inlineStr">
        <is>
          <t>2026-10-29 Subcategory creation implementation and applied migration were reverted at user request; original scaffolds restored and migration Pending. Approved redesign now removes summary-unit field from catalogue. No new application implementation authorized by this planning discussion. Earlier implementation tests do not verify the revised design.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
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
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t>
        </is>
      </c>
      <c r="R32" s="10" t="inlineStr">
        <is>
          <t>Before starting/resuming this item or feature: reread AGENTS.md from disk; apply teaching/testing rules. FB-029 creation-only implementation reviewed and assistant-tested under explicit delegation; Department/dependent Category/name only. List remains pending, then FB-030 rename/full-module review. Do not mark row complete or implement list/search/edit without current scope authorization. Catalogue only; postpone stock design and size-dependent code decisions.</t>
        </is>
      </c>
      <c r="S32" s="10" t="n"/>
    </row>
    <row r="33" ht="105" customHeight="1">
      <c r="A33" s="9" t="n">
        <v>30</v>
      </c>
      <c r="B33" s="9" t="inlineStr">
        <is>
          <t>FB-030</t>
        </is>
      </c>
      <c r="C33" s="9" t="inlineStr">
        <is>
          <t>Subcategories</t>
        </is>
      </c>
      <c r="D33" s="9" t="inlineStr">
        <is>
          <t>Rename subcategories and verify catalogue permissions</t>
        </is>
      </c>
      <c r="E33" s="9" t="inlineStr">
        <is>
          <t>Rename preserves links/current names; no moves/deletion. Managers/Super Admin. Verify list/create/rename and Category rename preserving Subcategory links. No summary-unit editing in catalogue.</t>
        </is>
      </c>
      <c r="F33" s="9" t="inlineStr">
        <is>
          <t>FB-029</t>
        </is>
      </c>
      <c r="G33" s="9">
        <f>IF(H33="Complete","Complete",IF(I33="Blocked","Blocked",IF(I33="In progress","Ready",IF(F33="","Ready",IF(COUNTIFS($B$4:$B$73,F33,$H$4:$H$73,"Complete")=1,"Ready","Waiting")))))</f>
        <v/>
      </c>
      <c r="H33" s="9">
        <f>IF(I33="Not started","Not started",IF(I33="Blocked","Blocked",IF(I33="In progress","In progress",IF(J33&lt;&gt;"Passed","Awaiting code review",IF(OR(K33="",NOT(ISNUMBER(L33))),"Awaiting review evidence",IF(N33&lt;&gt;"Passed","Awaiting test",IF(OR(M33="",O33="",NOT(ISNUMBER(P33))),"Awaiting test evidence","Complete")))))))</f>
        <v/>
      </c>
      <c r="I33" s="11" t="inlineStr">
        <is>
          <t>Not started</t>
        </is>
      </c>
      <c r="J33" s="11" t="inlineStr">
        <is>
          <t>Not reviewed</t>
        </is>
      </c>
      <c r="K33" s="11" t="n"/>
      <c r="L33" s="31" t="n"/>
      <c r="M33" s="11" t="n"/>
      <c r="N33" s="11" t="inlineStr">
        <is>
          <t>Not tested</t>
        </is>
      </c>
      <c r="O33" s="11" t="n"/>
      <c r="P33" s="31" t="n"/>
      <c r="Q33" s="11" t="n"/>
      <c r="R33"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3" s="11" t="n"/>
    </row>
    <row r="34" ht="105" customHeight="1">
      <c r="A34" s="4" t="n">
        <v>31</v>
      </c>
      <c r="B34" s="4" t="inlineStr">
        <is>
          <t>FB-031</t>
        </is>
      </c>
      <c r="C34" s="4" t="inlineStr">
        <is>
          <t>Tags</t>
        </is>
      </c>
      <c r="D34" s="4" t="inlineStr">
        <is>
          <t>Create shared tags, then list and rename them</t>
        </is>
      </c>
      <c r="E34" s="4" t="inlineStr">
        <is>
          <t>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t>
        </is>
      </c>
      <c r="F34" s="4" t="inlineStr">
        <is>
          <t>FB-030</t>
        </is>
      </c>
      <c r="G34" s="4">
        <f>IF(H34="Complete","Complete",IF(I34="Blocked","Blocked",IF(I34="In progress","Ready",IF(F34="","Ready",IF(COUNTIFS($B$4:$B$73,F34,$H$4:$H$73,"Complete")=1,"Ready","Waiting")))))</f>
        <v/>
      </c>
      <c r="H34" s="4">
        <f>IF(I34="Not started","Not started",IF(I34="Blocked","Blocked",IF(I34="In progress","In progress",IF(J34&lt;&gt;"Passed","Awaiting code review",IF(OR(K34="",NOT(ISNUMBER(L34))),"Awaiting review evidence",IF(N34&lt;&gt;"Passed","Awaiting test",IF(OR(M34="",O34="",NOT(ISNUMBER(P34))),"Awaiting test evidence","Complete")))))))</f>
        <v/>
      </c>
      <c r="I34" s="10" t="inlineStr">
        <is>
          <t>Not started</t>
        </is>
      </c>
      <c r="J34" s="10" t="inlineStr">
        <is>
          <t>Not reviewed</t>
        </is>
      </c>
      <c r="K34" s="10" t="n"/>
      <c r="L34" s="30" t="n"/>
      <c r="M34" s="10" t="n"/>
      <c r="N34" s="10" t="inlineStr">
        <is>
          <t>Not tested</t>
        </is>
      </c>
      <c r="O34" s="10" t="n"/>
      <c r="P34" s="30" t="n"/>
      <c r="Q34" s="10" t="n"/>
      <c r="R34" s="10" t="inlineStr">
        <is>
          <t>Before starting this item or feature: reread AGENTS.md from disk; apply its teaching and testing rules.
Next: Complete and verify tag creation before displaying its list; then teach rename.</t>
        </is>
      </c>
      <c r="S34" s="10" t="n"/>
    </row>
    <row r="35" ht="105" customHeight="1">
      <c r="A35" s="9" t="n">
        <v>32</v>
      </c>
      <c r="B35" s="9" t="inlineStr">
        <is>
          <t>FB-032</t>
        </is>
      </c>
      <c r="C35" s="9" t="inlineStr">
        <is>
          <t>Products</t>
        </is>
      </c>
      <c r="D35" s="9" t="inlineStr">
        <is>
          <t>Introduce Product storage and its hierarchy form</t>
        </is>
      </c>
      <c r="E35" s="9" t="inlineStr">
        <is>
          <t>Product belongs to Subcategory. Required name/hierarchy/status; optional brand/tags; automatic code. No sizes, packaging, counting/contents units, balances or quantity fields. Introduce tag persistence at FB-037.</t>
        </is>
      </c>
      <c r="F35" s="9" t="inlineStr">
        <is>
          <t>FB-031</t>
        </is>
      </c>
      <c r="G35" s="9">
        <f>IF(H35="Complete","Complete",IF(I35="Blocked","Blocked",IF(I35="In progress","Ready",IF(F35="","Ready",IF(COUNTIFS($B$4:$B$73,F35,$H$4:$H$73,"Complete")=1,"Ready","Waiting")))))</f>
        <v/>
      </c>
      <c r="H35" s="9">
        <f>IF(I35="Not started","Not started",IF(I35="Blocked","Blocked",IF(I35="In progress","In progress",IF(J35&lt;&gt;"Passed","Awaiting code review",IF(OR(K35="",NOT(ISNUMBER(L35))),"Awaiting review evidence",IF(N35&lt;&gt;"Passed","Awaiting test",IF(OR(M35="",O35="",NOT(ISNUMBER(P35))),"Awaiting test evidence","Complete")))))))</f>
        <v/>
      </c>
      <c r="I35" s="11" t="inlineStr">
        <is>
          <t>Not started</t>
        </is>
      </c>
      <c r="J35" s="11" t="inlineStr">
        <is>
          <t>Not reviewed</t>
        </is>
      </c>
      <c r="K35" s="11" t="n"/>
      <c r="L35" s="31" t="n"/>
      <c r="M35" s="11" t="n"/>
      <c r="N35" s="11" t="inlineStr">
        <is>
          <t>Not tested</t>
        </is>
      </c>
      <c r="O35" s="11" t="n"/>
      <c r="P35" s="31" t="n"/>
      <c r="Q35" s="11" t="n"/>
      <c r="R35"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5" s="11" t="n"/>
    </row>
    <row r="36" ht="105" customHeight="1">
      <c r="A36" s="4" t="n">
        <v>33</v>
      </c>
      <c r="B36" s="4" t="inlineStr">
        <is>
          <t>FB-033</t>
        </is>
      </c>
      <c r="C36" s="4" t="inlineStr">
        <is>
          <t>Products</t>
        </is>
      </c>
      <c r="D36" s="4" t="inlineStr">
        <is>
          <t>Lay out the product form and bind its inputs</t>
        </is>
      </c>
      <c r="E36" s="4" t="inlineStr">
        <is>
          <t>Teach responsive layout and temporary state for catalogue identity fields only. No package preview or stock values.</t>
        </is>
      </c>
      <c r="F36" s="4" t="inlineStr">
        <is>
          <t>FB-032</t>
        </is>
      </c>
      <c r="G36" s="4">
        <f>IF(H36="Complete","Complete",IF(I36="Blocked","Blocked",IF(I36="In progress","Ready",IF(F36="","Ready",IF(COUNTIFS($B$4:$B$73,F36,$H$4:$H$73,"Complete")=1,"Ready","Waiting")))))</f>
        <v/>
      </c>
      <c r="H36" s="4">
        <f>IF(I36="Not started","Not started",IF(I36="Blocked","Blocked",IF(I36="In progress","In progress",IF(J36&lt;&gt;"Passed","Awaiting code review",IF(OR(K36="",NOT(ISNUMBER(L36))),"Awaiting review evidence",IF(N36&lt;&gt;"Passed","Awaiting test",IF(OR(M36="",O36="",NOT(ISNUMBER(P36))),"Awaiting test evidence","Complete")))))))</f>
        <v/>
      </c>
      <c r="I36" s="10" t="inlineStr">
        <is>
          <t>Not started</t>
        </is>
      </c>
      <c r="J36" s="10" t="inlineStr">
        <is>
          <t>Not reviewed</t>
        </is>
      </c>
      <c r="K36" s="10" t="n"/>
      <c r="L36" s="30" t="n"/>
      <c r="M36" s="10" t="n"/>
      <c r="N36" s="10" t="inlineStr">
        <is>
          <t>Not tested</t>
        </is>
      </c>
      <c r="O36" s="10" t="n"/>
      <c r="P36" s="30" t="n"/>
      <c r="Q36" s="10" t="n"/>
      <c r="R36"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6" s="10" t="n"/>
    </row>
    <row r="37" ht="105" customHeight="1">
      <c r="A37" s="4" t="n">
        <v>34</v>
      </c>
      <c r="B37" s="4" t="inlineStr">
        <is>
          <t>FB-035</t>
        </is>
      </c>
      <c r="C37" s="4" t="inlineStr">
        <is>
          <t>Products</t>
        </is>
      </c>
      <c r="D37" s="4" t="inlineStr">
        <is>
          <t>Generate permanent product codes</t>
        </is>
      </c>
      <c r="E37" s="4" t="inlineStr">
        <is>
          <t>Unique automatic PRD-000001 onward, at least six digits and growth beyond999999, never edited/reused or derived from categories. Codes identify catalogue products independently of package sizes.</t>
        </is>
      </c>
      <c r="F37" s="4" t="inlineStr">
        <is>
          <t>FB-033</t>
        </is>
      </c>
      <c r="G37" s="4">
        <f>IF(H37="Complete","Complete",IF(I37="Blocked","Blocked",IF(I37="In progress","Ready",IF(F37="","Ready",IF(COUNTIFS($B$4:$B$73,F37,$H$4:$H$73,"Complete")=1,"Ready","Waiting")))))</f>
        <v/>
      </c>
      <c r="H37" s="4">
        <f>IF(I37="Not started","Not started",IF(I37="Blocked","Blocked",IF(I37="In progress","In progress",IF(J37&lt;&gt;"Passed","Awaiting code review",IF(OR(K37="",NOT(ISNUMBER(L37))),"Awaiting review evidence",IF(N37&lt;&gt;"Passed","Awaiting test",IF(OR(M37="",O37="",NOT(ISNUMBER(P37))),"Awaiting test evidence","Complete")))))))</f>
        <v/>
      </c>
      <c r="I37" s="10" t="inlineStr">
        <is>
          <t>Not started</t>
        </is>
      </c>
      <c r="J37" s="10" t="inlineStr">
        <is>
          <t>Not reviewed</t>
        </is>
      </c>
      <c r="K37" s="10" t="n"/>
      <c r="L37" s="30" t="n"/>
      <c r="M37" s="10" t="n"/>
      <c r="N37" s="10" t="inlineStr">
        <is>
          <t>Not tested</t>
        </is>
      </c>
      <c r="O37" s="10" t="n"/>
      <c r="P37" s="30" t="n"/>
      <c r="Q37" s="10" t="n"/>
      <c r="R37"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7" s="10" t="n"/>
    </row>
    <row r="38" ht="105" customHeight="1">
      <c r="A38" s="9" t="n">
        <v>35</v>
      </c>
      <c r="B38" s="9" t="inlineStr">
        <is>
          <t>FB-036</t>
        </is>
      </c>
      <c r="C38" s="9" t="inlineStr">
        <is>
          <t>Products</t>
        </is>
      </c>
      <c r="D38" s="9" t="inlineStr">
        <is>
          <t>Prevent duplicate catalogue products</t>
        </is>
      </c>
      <c r="E38" s="9" t="inlineStr">
        <is>
          <t>Compare name/brand/Subcategory, ignore case/outer spaces and include inactive products. No package contents, counting unit or size in catalogue duplicate identity.</t>
        </is>
      </c>
      <c r="F38" s="9" t="inlineStr">
        <is>
          <t>FB-035</t>
        </is>
      </c>
      <c r="G38" s="9">
        <f>IF(H38="Complete","Complete",IF(I38="Blocked","Blocked",IF(I38="In progress","Ready",IF(F38="","Ready",IF(COUNTIFS($B$4:$B$73,F38,$H$4:$H$73,"Complete")=1,"Ready","Waiting")))))</f>
        <v/>
      </c>
      <c r="H38" s="9">
        <f>IF(I38="Not started","Not started",IF(I38="Blocked","Blocked",IF(I38="In progress","In progress",IF(J38&lt;&gt;"Passed","Awaiting code review",IF(OR(K38="",NOT(ISNUMBER(L38))),"Awaiting review evidence",IF(N38&lt;&gt;"Passed","Awaiting test",IF(OR(M38="",O38="",NOT(ISNUMBER(P38))),"Awaiting test evidence","Complete")))))))</f>
        <v/>
      </c>
      <c r="I38" s="11" t="inlineStr">
        <is>
          <t>Not started</t>
        </is>
      </c>
      <c r="J38" s="11" t="inlineStr">
        <is>
          <t>Not reviewed</t>
        </is>
      </c>
      <c r="K38" s="11" t="n"/>
      <c r="L38" s="31" t="n"/>
      <c r="M38" s="11" t="n"/>
      <c r="N38" s="11" t="inlineStr">
        <is>
          <t>Not tested</t>
        </is>
      </c>
      <c r="O38" s="11" t="n"/>
      <c r="P38" s="31" t="n"/>
      <c r="Q38" s="11" t="n"/>
      <c r="R38"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8" s="11" t="n"/>
    </row>
    <row r="39" ht="105" customHeight="1">
      <c r="A39" s="4" t="n">
        <v>36</v>
      </c>
      <c r="B39" s="4" t="inlineStr">
        <is>
          <t>FB-037</t>
        </is>
      </c>
      <c r="C39" s="4" t="inlineStr">
        <is>
          <t>Products</t>
        </is>
      </c>
      <c r="D39" s="4" t="inlineStr">
        <is>
          <t>Save products and attach optional tags</t>
        </is>
      </c>
      <c r="E39" s="4" t="inlineStr">
        <is>
          <t>Managers/Super Admin create; Volunteers denied display/write. Save catalogue identity/classification/status only; no stock quantity/packaging. Optional shared tags; errors/retained input/processing and persisted fields.</t>
        </is>
      </c>
      <c r="F39" s="4" t="inlineStr">
        <is>
          <t>FB-036</t>
        </is>
      </c>
      <c r="G39" s="4">
        <f>IF(H39="Complete","Complete",IF(I39="Blocked","Blocked",IF(I39="In progress","Ready",IF(F39="","Ready",IF(COUNTIFS($B$4:$B$73,F39,$H$4:$H$73,"Complete")=1,"Ready","Waiting")))))</f>
        <v/>
      </c>
      <c r="H39" s="4">
        <f>IF(I39="Not started","Not started",IF(I39="Blocked","Blocked",IF(I39="In progress","In progress",IF(J39&lt;&gt;"Passed","Awaiting code review",IF(OR(K39="",NOT(ISNUMBER(L39))),"Awaiting review evidence",IF(N39&lt;&gt;"Passed","Awaiting test",IF(OR(M39="",O39="",NOT(ISNUMBER(P39))),"Awaiting test evidence","Complete")))))))</f>
        <v/>
      </c>
      <c r="I39" s="10" t="inlineStr">
        <is>
          <t>Not started</t>
        </is>
      </c>
      <c r="J39" s="10" t="inlineStr">
        <is>
          <t>Not reviewed</t>
        </is>
      </c>
      <c r="K39" s="10" t="n"/>
      <c r="L39" s="30" t="n"/>
      <c r="M39" s="10" t="n"/>
      <c r="N39" s="10" t="inlineStr">
        <is>
          <t>Not tested</t>
        </is>
      </c>
      <c r="O39" s="10" t="n"/>
      <c r="P39" s="30" t="n"/>
      <c r="Q39" s="10" t="n"/>
      <c r="R39"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39" s="10" t="n"/>
    </row>
    <row r="40" ht="105" customHeight="1">
      <c r="A40" s="9" t="n">
        <v>37</v>
      </c>
      <c r="B40" s="9" t="inlineStr">
        <is>
          <t>FB-038</t>
        </is>
      </c>
      <c r="C40" s="9" t="inlineStr">
        <is>
          <t>Products</t>
        </is>
      </c>
      <c r="D40" s="9" t="inlineStr">
        <is>
          <t>Display the unfiltered catalogue product list</t>
        </is>
      </c>
      <c r="E40" s="9" t="inlineStr">
        <is>
          <t>All roles see product code/name/category path/brand/status. No size, measurement units, available quantity or totals. Verify server permissions.</t>
        </is>
      </c>
      <c r="F40" s="9" t="inlineStr">
        <is>
          <t>FB-037</t>
        </is>
      </c>
      <c r="G40" s="9">
        <f>IF(H40="Complete","Complete",IF(I40="Blocked","Blocked",IF(I40="In progress","Ready",IF(F40="","Ready",IF(COUNTIFS($B$4:$B$73,F40,$H$4:$H$73,"Complete")=1,"Ready","Waiting")))))</f>
        <v/>
      </c>
      <c r="H40" s="9">
        <f>IF(I40="Not started","Not started",IF(I40="Blocked","Blocked",IF(I40="In progress","In progress",IF(J40&lt;&gt;"Passed","Awaiting code review",IF(OR(K40="",NOT(ISNUMBER(L40))),"Awaiting review evidence",IF(N40&lt;&gt;"Passed","Awaiting test",IF(OR(M40="",O40="",NOT(ISNUMBER(P40))),"Awaiting test evidence","Complete")))))))</f>
        <v/>
      </c>
      <c r="I40" s="11" t="inlineStr">
        <is>
          <t>Not started</t>
        </is>
      </c>
      <c r="J40" s="11" t="inlineStr">
        <is>
          <t>Not reviewed</t>
        </is>
      </c>
      <c r="K40" s="11" t="n"/>
      <c r="L40" s="31" t="n"/>
      <c r="M40" s="11" t="n"/>
      <c r="N40" s="11" t="inlineStr">
        <is>
          <t>Not tested</t>
        </is>
      </c>
      <c r="O40" s="11" t="n"/>
      <c r="P40" s="31" t="n"/>
      <c r="Q40" s="11" t="n"/>
      <c r="R40"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40" s="11" t="n"/>
    </row>
    <row r="41" ht="105" customHeight="1">
      <c r="A41" s="4" t="n">
        <v>38</v>
      </c>
      <c r="B41" s="4" t="inlineStr">
        <is>
          <t>FB-039</t>
        </is>
      </c>
      <c r="C41" s="4" t="inlineStr">
        <is>
          <t>Products</t>
        </is>
      </c>
      <c r="D41" s="4" t="inlineStr">
        <is>
          <t>Arrange catalogue rows and filter toolbar</t>
        </is>
      </c>
      <c r="E41" s="4" t="inlineStr">
        <is>
          <t>Teach responsive widths, wrapping/table overflow/stacked toolbar for product identity/classification. No stock/size columns.</t>
        </is>
      </c>
      <c r="F41" s="4" t="inlineStr">
        <is>
          <t>FB-038</t>
        </is>
      </c>
      <c r="G41" s="4">
        <f>IF(H41="Complete","Complete",IF(I41="Blocked","Blocked",IF(I41="In progress","Ready",IF(F41="","Ready",IF(COUNTIFS($B$4:$B$73,F41,$H$4:$H$73,"Complete")=1,"Ready","Waiting")))))</f>
        <v/>
      </c>
      <c r="H41" s="4">
        <f>IF(I41="Not started","Not started",IF(I41="Blocked","Blocked",IF(I41="In progress","In progress",IF(J41&lt;&gt;"Passed","Awaiting code review",IF(OR(K41="",NOT(ISNUMBER(L41))),"Awaiting review evidence",IF(N41&lt;&gt;"Passed","Awaiting test",IF(OR(M41="",O41="",NOT(ISNUMBER(P41))),"Awaiting test evidence","Complete")))))))</f>
        <v/>
      </c>
      <c r="I41" s="10" t="inlineStr">
        <is>
          <t>Not started</t>
        </is>
      </c>
      <c r="J41" s="10" t="inlineStr">
        <is>
          <t>Not reviewed</t>
        </is>
      </c>
      <c r="K41" s="10" t="n"/>
      <c r="L41" s="30" t="n"/>
      <c r="M41" s="10" t="n"/>
      <c r="N41" s="10" t="inlineStr">
        <is>
          <t>Not tested</t>
        </is>
      </c>
      <c r="O41" s="10" t="n"/>
      <c r="P41" s="30" t="n"/>
      <c r="Q41" s="10" t="n"/>
      <c r="R41"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41" s="10" t="n"/>
    </row>
    <row r="42" ht="105" customHeight="1">
      <c r="A42" s="9" t="n">
        <v>39</v>
      </c>
      <c r="B42" s="9" t="inlineStr">
        <is>
          <t>FB-040</t>
        </is>
      </c>
      <c r="C42" s="9" t="inlineStr">
        <is>
          <t>Products</t>
        </is>
      </c>
      <c r="D42" s="9" t="inlineStr">
        <is>
          <t>Add search by product code or name</t>
        </is>
      </c>
      <c r="E42" s="9" t="inlineStr">
        <is>
          <t>Search the full catalogue before pagination. Verify both code and name, clear search and no results.</t>
        </is>
      </c>
      <c r="F42" s="9" t="inlineStr">
        <is>
          <t>FB-039</t>
        </is>
      </c>
      <c r="G42" s="9">
        <f>IF(H42="Complete","Complete",IF(I42="Blocked","Blocked",IF(I42="In progress","Ready",IF(F42="","Ready",IF(COUNTIFS($B$4:$B$73,F42,$H$4:$H$73,"Complete")=1,"Ready","Waiting")))))</f>
        <v/>
      </c>
      <c r="H42" s="9">
        <f>IF(I42="Not started","Not started",IF(I42="Blocked","Blocked",IF(I42="In progress","In progress",IF(J42&lt;&gt;"Passed","Awaiting code review",IF(OR(K42="",NOT(ISNUMBER(L42))),"Awaiting review evidence",IF(N42&lt;&gt;"Passed","Awaiting test",IF(OR(M42="",O42="",NOT(ISNUMBER(P42))),"Awaiting test evidence","Complete")))))))</f>
        <v/>
      </c>
      <c r="I42" s="11" t="inlineStr">
        <is>
          <t>Not started</t>
        </is>
      </c>
      <c r="J42" s="11" t="inlineStr">
        <is>
          <t>Not reviewed</t>
        </is>
      </c>
      <c r="K42" s="11" t="n"/>
      <c r="L42" s="31" t="n"/>
      <c r="M42" s="11" t="n"/>
      <c r="N42" s="11" t="inlineStr">
        <is>
          <t>Not tested</t>
        </is>
      </c>
      <c r="O42" s="11" t="n"/>
      <c r="P42" s="31" t="n"/>
      <c r="Q42" s="11" t="n"/>
      <c r="R42" s="11" t="inlineStr">
        <is>
          <t>Before starting this item or feature: reread AGENTS.md from disk; apply its teaching and testing rules.
Next: Start this item after the previous item is complete.</t>
        </is>
      </c>
      <c r="S42" s="11" t="n"/>
    </row>
    <row r="43" ht="105" customHeight="1">
      <c r="A43" s="4" t="n">
        <v>40</v>
      </c>
      <c r="B43" s="4" t="inlineStr">
        <is>
          <t>FB-041</t>
        </is>
      </c>
      <c r="C43" s="4" t="inlineStr">
        <is>
          <t>Products</t>
        </is>
      </c>
      <c r="D43" s="4" t="inlineStr">
        <is>
          <t>Add the department filter</t>
        </is>
      </c>
      <c r="E43" s="4" t="inlineStr">
        <is>
          <t>Filter by department alone and with search. Explain selected state and request values; do not introduce remaining filters yet.</t>
        </is>
      </c>
      <c r="F43" s="4" t="inlineStr">
        <is>
          <t>FB-040</t>
        </is>
      </c>
      <c r="G43" s="4">
        <f>IF(H43="Complete","Complete",IF(I43="Blocked","Blocked",IF(I43="In progress","Ready",IF(F43="","Ready",IF(COUNTIFS($B$4:$B$73,F43,$H$4:$H$73,"Complete")=1,"Ready","Waiting")))))</f>
        <v/>
      </c>
      <c r="H43" s="4">
        <f>IF(I43="Not started","Not started",IF(I43="Blocked","Blocked",IF(I43="In progress","In progress",IF(J43&lt;&gt;"Passed","Awaiting code review",IF(OR(K43="",NOT(ISNUMBER(L43))),"Awaiting review evidence",IF(N43&lt;&gt;"Passed","Awaiting test",IF(OR(M43="",O43="",NOT(ISNUMBER(P43))),"Awaiting test evidence","Complete")))))))</f>
        <v/>
      </c>
      <c r="I43" s="10" t="inlineStr">
        <is>
          <t>Not started</t>
        </is>
      </c>
      <c r="J43" s="10" t="inlineStr">
        <is>
          <t>Not reviewed</t>
        </is>
      </c>
      <c r="K43" s="10" t="n"/>
      <c r="L43" s="30" t="n"/>
      <c r="M43" s="10" t="n"/>
      <c r="N43" s="10" t="inlineStr">
        <is>
          <t>Not tested</t>
        </is>
      </c>
      <c r="O43" s="10" t="n"/>
      <c r="P43" s="30" t="n"/>
      <c r="Q43" s="10" t="n"/>
      <c r="R43" s="10" t="inlineStr">
        <is>
          <t>Before starting this item or feature: reread AGENTS.md from disk; apply its teaching and testing rules.
Next: Start this item after the previous item is complete.</t>
        </is>
      </c>
      <c r="S43" s="10" t="n"/>
    </row>
    <row r="44" ht="105" customHeight="1">
      <c r="A44" s="9" t="n">
        <v>41</v>
      </c>
      <c r="B44" s="9" t="inlineStr">
        <is>
          <t>FB-042</t>
        </is>
      </c>
      <c r="C44" s="9" t="inlineStr">
        <is>
          <t>Products</t>
        </is>
      </c>
      <c r="D44" s="9" t="inlineStr">
        <is>
          <t>Add the category filter</t>
        </is>
      </c>
      <c r="E44" s="9" t="inlineStr">
        <is>
          <t>Filter by category and combine with department/search; changing parent must not leave incompatible selections.</t>
        </is>
      </c>
      <c r="F44" s="9" t="inlineStr">
        <is>
          <t>FB-041</t>
        </is>
      </c>
      <c r="G44" s="9">
        <f>IF(H44="Complete","Complete",IF(I44="Blocked","Blocked",IF(I44="In progress","Ready",IF(F44="","Ready",IF(COUNTIFS($B$4:$B$73,F44,$H$4:$H$73,"Complete")=1,"Ready","Waiting")))))</f>
        <v/>
      </c>
      <c r="H44" s="9">
        <f>IF(I44="Not started","Not started",IF(I44="Blocked","Blocked",IF(I44="In progress","In progress",IF(J44&lt;&gt;"Passed","Awaiting code review",IF(OR(K44="",NOT(ISNUMBER(L44))),"Awaiting review evidence",IF(N44&lt;&gt;"Passed","Awaiting test",IF(OR(M44="",O44="",NOT(ISNUMBER(P44))),"Awaiting test evidence","Complete")))))))</f>
        <v/>
      </c>
      <c r="I44" s="11" t="inlineStr">
        <is>
          <t>Not started</t>
        </is>
      </c>
      <c r="J44" s="11" t="inlineStr">
        <is>
          <t>Not reviewed</t>
        </is>
      </c>
      <c r="K44" s="11" t="n"/>
      <c r="L44" s="31" t="n"/>
      <c r="M44" s="11" t="n"/>
      <c r="N44" s="11" t="inlineStr">
        <is>
          <t>Not tested</t>
        </is>
      </c>
      <c r="O44" s="11" t="n"/>
      <c r="P44" s="31" t="n"/>
      <c r="Q44" s="11" t="n"/>
      <c r="R44" s="11" t="inlineStr">
        <is>
          <t>Before starting this item or feature: reread AGENTS.md from disk; apply its teaching and testing rules.
Next: Start this item after the previous item is complete.</t>
        </is>
      </c>
      <c r="S44" s="11" t="n"/>
    </row>
    <row r="45" ht="105" customHeight="1">
      <c r="A45" s="4" t="n">
        <v>42</v>
      </c>
      <c r="B45" s="4" t="inlineStr">
        <is>
          <t>FB-043</t>
        </is>
      </c>
      <c r="C45" s="4" t="inlineStr">
        <is>
          <t>Products</t>
        </is>
      </c>
      <c r="D45" s="4" t="inlineStr">
        <is>
          <t>Add the subcategory filter</t>
        </is>
      </c>
      <c r="E45" s="4" t="inlineStr">
        <is>
          <t>Filter by subcategory alongside existing selections; verify full path and no skipped/contradictory parent selection.</t>
        </is>
      </c>
      <c r="F45" s="4" t="inlineStr">
        <is>
          <t>FB-042</t>
        </is>
      </c>
      <c r="G45" s="4">
        <f>IF(H45="Complete","Complete",IF(I45="Blocked","Blocked",IF(I45="In progress","Ready",IF(F45="","Ready",IF(COUNTIFS($B$4:$B$73,F45,$H$4:$H$73,"Complete")=1,"Ready","Waiting")))))</f>
        <v/>
      </c>
      <c r="H45" s="4">
        <f>IF(I45="Not started","Not started",IF(I45="Blocked","Blocked",IF(I45="In progress","In progress",IF(J45&lt;&gt;"Passed","Awaiting code review",IF(OR(K45="",NOT(ISNUMBER(L45))),"Awaiting review evidence",IF(N45&lt;&gt;"Passed","Awaiting test",IF(OR(M45="",O45="",NOT(ISNUMBER(P45))),"Awaiting test evidence","Complete")))))))</f>
        <v/>
      </c>
      <c r="I45" s="10" t="inlineStr">
        <is>
          <t>Not started</t>
        </is>
      </c>
      <c r="J45" s="10" t="inlineStr">
        <is>
          <t>Not reviewed</t>
        </is>
      </c>
      <c r="K45" s="10" t="n"/>
      <c r="L45" s="30" t="n"/>
      <c r="M45" s="10" t="n"/>
      <c r="N45" s="10" t="inlineStr">
        <is>
          <t>Not tested</t>
        </is>
      </c>
      <c r="O45" s="10" t="n"/>
      <c r="P45" s="30" t="n"/>
      <c r="Q45" s="10" t="n"/>
      <c r="R45" s="10" t="inlineStr">
        <is>
          <t>Before starting this item or feature: reread AGENTS.md from disk; apply its teaching and testing rules.
Next: Start this item after the previous item is complete.</t>
        </is>
      </c>
      <c r="S45" s="10" t="n"/>
    </row>
    <row r="46" ht="105" customHeight="1">
      <c r="A46" s="9" t="n">
        <v>43</v>
      </c>
      <c r="B46" s="9" t="inlineStr">
        <is>
          <t>FB-044</t>
        </is>
      </c>
      <c r="C46" s="9" t="inlineStr">
        <is>
          <t>Products</t>
        </is>
      </c>
      <c r="D46" s="9" t="inlineStr">
        <is>
          <t>Add the tag filter</t>
        </is>
      </c>
      <c r="E46" s="9" t="inlineStr">
        <is>
          <t>Show products with the selected shared tag; combine with prior filters and search. Untagged products remain visible when tag filter is cleared.</t>
        </is>
      </c>
      <c r="F46" s="9" t="inlineStr">
        <is>
          <t>FB-043</t>
        </is>
      </c>
      <c r="G46" s="9">
        <f>IF(H46="Complete","Complete",IF(I46="Blocked","Blocked",IF(I46="In progress","Ready",IF(F46="","Ready",IF(COUNTIFS($B$4:$B$73,F46,$H$4:$H$73,"Complete")=1,"Ready","Waiting")))))</f>
        <v/>
      </c>
      <c r="H46" s="9">
        <f>IF(I46="Not started","Not started",IF(I46="Blocked","Blocked",IF(I46="In progress","In progress",IF(J46&lt;&gt;"Passed","Awaiting code review",IF(OR(K46="",NOT(ISNUMBER(L46))),"Awaiting review evidence",IF(N46&lt;&gt;"Passed","Awaiting test",IF(OR(M46="",O46="",NOT(ISNUMBER(P46))),"Awaiting test evidence","Complete")))))))</f>
        <v/>
      </c>
      <c r="I46" s="11" t="inlineStr">
        <is>
          <t>Not started</t>
        </is>
      </c>
      <c r="J46" s="11" t="inlineStr">
        <is>
          <t>Not reviewed</t>
        </is>
      </c>
      <c r="K46" s="11" t="n"/>
      <c r="L46" s="31" t="n"/>
      <c r="M46" s="11" t="n"/>
      <c r="N46" s="11" t="inlineStr">
        <is>
          <t>Not tested</t>
        </is>
      </c>
      <c r="O46" s="11" t="n"/>
      <c r="P46" s="31" t="n"/>
      <c r="Q46" s="11" t="n"/>
      <c r="R46" s="11" t="inlineStr">
        <is>
          <t>Before starting this item or feature: reread AGENTS.md from disk; apply its teaching and testing rules.
Next: Start this item after the previous item is complete.</t>
        </is>
      </c>
      <c r="S46" s="11" t="n"/>
    </row>
    <row r="47" ht="105" customHeight="1">
      <c r="A47" s="4" t="n">
        <v>44</v>
      </c>
      <c r="B47" s="4" t="inlineStr">
        <is>
          <t>FB-045</t>
        </is>
      </c>
      <c r="C47" s="4" t="inlineStr">
        <is>
          <t>Products</t>
        </is>
      </c>
      <c r="D47" s="4" t="inlineStr">
        <is>
          <t>Add the product status filter</t>
        </is>
      </c>
      <c r="E47" s="4" t="inlineStr">
        <is>
          <t>All/Active/Inactive works with existing filters. General product list may show inactive/zero-stock products; distribution picker later has stricter rules.</t>
        </is>
      </c>
      <c r="F47" s="4" t="inlineStr">
        <is>
          <t>FB-044</t>
        </is>
      </c>
      <c r="G47" s="4">
        <f>IF(H47="Complete","Complete",IF(I47="Blocked","Blocked",IF(I47="In progress","Ready",IF(F47="","Ready",IF(COUNTIFS($B$4:$B$73,F47,$H$4:$H$73,"Complete")=1,"Ready","Waiting")))))</f>
        <v/>
      </c>
      <c r="H47" s="4">
        <f>IF(I47="Not started","Not started",IF(I47="Blocked","Blocked",IF(I47="In progress","In progress",IF(J47&lt;&gt;"Passed","Awaiting code review",IF(OR(K47="",NOT(ISNUMBER(L47))),"Awaiting review evidence",IF(N47&lt;&gt;"Passed","Awaiting test",IF(OR(M47="",O47="",NOT(ISNUMBER(P47))),"Awaiting test evidence","Complete")))))))</f>
        <v/>
      </c>
      <c r="I47" s="10" t="inlineStr">
        <is>
          <t>Not started</t>
        </is>
      </c>
      <c r="J47" s="10" t="inlineStr">
        <is>
          <t>Not reviewed</t>
        </is>
      </c>
      <c r="K47" s="10" t="n"/>
      <c r="L47" s="30" t="n"/>
      <c r="M47" s="10" t="n"/>
      <c r="N47" s="10" t="inlineStr">
        <is>
          <t>Not tested</t>
        </is>
      </c>
      <c r="O47" s="10" t="n"/>
      <c r="P47" s="30" t="n"/>
      <c r="Q47" s="10" t="n"/>
      <c r="R47" s="10" t="inlineStr">
        <is>
          <t>Before starting this item or feature: reread AGENTS.md from disk; apply its teaching and testing rules.
Next: Start this item after the previous item is complete.</t>
        </is>
      </c>
      <c r="S47" s="10" t="n"/>
    </row>
    <row r="48" ht="105" customHeight="1">
      <c r="A48" s="9" t="n">
        <v>45</v>
      </c>
      <c r="B48" s="9" t="inlineStr">
        <is>
          <t>FB-046</t>
        </is>
      </c>
      <c r="C48" s="9" t="inlineStr">
        <is>
          <t>Products</t>
        </is>
      </c>
      <c r="D48" s="9" t="inlineStr">
        <is>
          <t>Paginate and verify the full product list</t>
        </is>
      </c>
      <c r="E48" s="9" t="inlineStr">
        <is>
          <t>10 products per page after all search/filters. Preserve selections across pages; all roles may list/search/filter. Verify combinations and boundary/empty pages.</t>
        </is>
      </c>
      <c r="F48" s="9" t="inlineStr">
        <is>
          <t>FB-045</t>
        </is>
      </c>
      <c r="G48" s="9">
        <f>IF(H48="Complete","Complete",IF(I48="Blocked","Blocked",IF(I48="In progress","Ready",IF(F48="","Ready",IF(COUNTIFS($B$4:$B$73,F48,$H$4:$H$73,"Complete")=1,"Ready","Waiting")))))</f>
        <v/>
      </c>
      <c r="H48" s="9">
        <f>IF(I48="Not started","Not started",IF(I48="Blocked","Blocked",IF(I48="In progress","In progress",IF(J48&lt;&gt;"Passed","Awaiting code review",IF(OR(K48="",NOT(ISNUMBER(L48))),"Awaiting review evidence",IF(N48&lt;&gt;"Passed","Awaiting test",IF(OR(M48="",O48="",NOT(ISNUMBER(P48))),"Awaiting test evidence","Complete")))))))</f>
        <v/>
      </c>
      <c r="I48" s="11" t="inlineStr">
        <is>
          <t>Not started</t>
        </is>
      </c>
      <c r="J48" s="11" t="inlineStr">
        <is>
          <t>Not reviewed</t>
        </is>
      </c>
      <c r="K48" s="11" t="n"/>
      <c r="L48" s="31" t="n"/>
      <c r="M48" s="11" t="n"/>
      <c r="N48" s="11" t="inlineStr">
        <is>
          <t>Not tested</t>
        </is>
      </c>
      <c r="O48" s="11" t="n"/>
      <c r="P48" s="31" t="n"/>
      <c r="Q48" s="11" t="n"/>
      <c r="R48" s="11" t="inlineStr">
        <is>
          <t>Before starting this item or feature: reread AGENTS.md from disk; apply its teaching and testing rules.
Next: Start this item after the previous item is complete.</t>
        </is>
      </c>
      <c r="S48" s="11" t="n"/>
    </row>
    <row r="49" ht="105" customHeight="1">
      <c r="A49" s="4" t="n">
        <v>46</v>
      </c>
      <c r="B49" s="4" t="inlineStr">
        <is>
          <t>FB-047</t>
        </is>
      </c>
      <c r="C49" s="4" t="inlineStr">
        <is>
          <t>Products</t>
        </is>
      </c>
      <c r="D49" s="4" t="inlineStr">
        <is>
          <t>Edit catalogue product details</t>
        </is>
      </c>
      <c r="E49" s="4" t="inlineStr">
        <is>
          <t>Managers/Super Admin edit catalogue fields with duplicate checks and permanent code. No packaging/stock fields. Stock-related classification constraints must be decided at stock design checkpoint.</t>
        </is>
      </c>
      <c r="F49" s="4" t="inlineStr">
        <is>
          <t>FB-046</t>
        </is>
      </c>
      <c r="G49" s="4">
        <f>IF(H49="Complete","Complete",IF(I49="Blocked","Blocked",IF(I49="In progress","Ready",IF(F49="","Ready",IF(COUNTIFS($B$4:$B$73,F49,$H$4:$H$73,"Complete")=1,"Ready","Waiting")))))</f>
        <v/>
      </c>
      <c r="H49" s="4">
        <f>IF(I49="Not started","Not started",IF(I49="Blocked","Blocked",IF(I49="In progress","In progress",IF(J49&lt;&gt;"Passed","Awaiting code review",IF(OR(K49="",NOT(ISNUMBER(L49))),"Awaiting review evidence",IF(N49&lt;&gt;"Passed","Awaiting test",IF(OR(M49="",O49="",NOT(ISNUMBER(P49))),"Awaiting test evidence","Complete")))))))</f>
        <v/>
      </c>
      <c r="I49" s="10" t="inlineStr">
        <is>
          <t>Not started</t>
        </is>
      </c>
      <c r="J49" s="10" t="inlineStr">
        <is>
          <t>Not reviewed</t>
        </is>
      </c>
      <c r="K49" s="10" t="n"/>
      <c r="L49" s="30" t="n"/>
      <c r="M49" s="10" t="n"/>
      <c r="N49" s="10" t="inlineStr">
        <is>
          <t>Not tested</t>
        </is>
      </c>
      <c r="O49" s="10" t="n"/>
      <c r="P49" s="30" t="n"/>
      <c r="Q49" s="10" t="n"/>
      <c r="R49"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49" s="10" t="n"/>
    </row>
    <row r="50" ht="105" customHeight="1">
      <c r="A50" s="9" t="n">
        <v>47</v>
      </c>
      <c r="B50" s="9" t="inlineStr">
        <is>
          <t>FB-048</t>
        </is>
      </c>
      <c r="C50" s="9" t="inlineStr">
        <is>
          <t>Products</t>
        </is>
      </c>
      <c r="D50" s="9" t="inlineStr">
        <is>
          <t>Activate/deactivate products and manage tag removal</t>
        </is>
      </c>
      <c r="E50" s="9" t="inlineStr">
        <is>
          <t>Deactivate only when Stock Management reports no remaining stock across product records. Server checks, generic blocked message without numbers/sizes. Reactivation and optional tag removal; shared tag deletion only if unused including inactive products. Verify nonzero check after stock setup at FB-053.</t>
        </is>
      </c>
      <c r="F50" s="9" t="inlineStr">
        <is>
          <t>FB-047</t>
        </is>
      </c>
      <c r="G50" s="9">
        <f>IF(H50="Complete","Complete",IF(I50="Blocked","Blocked",IF(I50="In progress","Ready",IF(F50="","Ready",IF(COUNTIFS($B$4:$B$73,F50,$H$4:$H$73,"Complete")=1,"Ready","Waiting")))))</f>
        <v/>
      </c>
      <c r="H50" s="9">
        <f>IF(I50="Not started","Not started",IF(I50="Blocked","Blocked",IF(I50="In progress","In progress",IF(J50&lt;&gt;"Passed","Awaiting code review",IF(OR(K50="",NOT(ISNUMBER(L50))),"Awaiting review evidence",IF(N50&lt;&gt;"Passed","Awaiting test",IF(OR(M50="",O50="",NOT(ISNUMBER(P50))),"Awaiting test evidence","Complete")))))))</f>
        <v/>
      </c>
      <c r="I50" s="11" t="inlineStr">
        <is>
          <t>Not started</t>
        </is>
      </c>
      <c r="J50" s="11" t="inlineStr">
        <is>
          <t>Not reviewed</t>
        </is>
      </c>
      <c r="K50" s="11" t="n"/>
      <c r="L50" s="31" t="n"/>
      <c r="M50" s="11" t="n"/>
      <c r="N50" s="11" t="inlineStr">
        <is>
          <t>Not tested</t>
        </is>
      </c>
      <c r="O50" s="11" t="n"/>
      <c r="P50" s="31" t="n"/>
      <c r="Q50" s="11" t="n"/>
      <c r="R50" s="11"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50" s="11" t="n"/>
    </row>
    <row r="51" ht="105" customHeight="1">
      <c r="A51" s="4" t="n">
        <v>48</v>
      </c>
      <c r="B51" s="4" t="inlineStr">
        <is>
          <t>FB-067</t>
        </is>
      </c>
      <c r="C51" s="4" t="inlineStr">
        <is>
          <t>Verification</t>
        </is>
      </c>
      <c r="D51" s="4" t="inlineStr">
        <is>
          <t>Verify completed Product Catalogue before Stock Management</t>
        </is>
      </c>
      <c r="E51" s="4" t="inlineStr">
        <is>
          <t>Review/test hierarchy/tags/product identity, codes, duplicate/required fields, filters/pagination, responsive views and permissions. Explicitly verify no sizes/units/quantities/history/totals appear in catalogue. Stock integration/deactivation checks at FB-053; packaging setup now FB-034 before Receive.</t>
        </is>
      </c>
      <c r="F51" s="4" t="inlineStr">
        <is>
          <t>FB-048</t>
        </is>
      </c>
      <c r="G51" s="4">
        <f>IF(H51="Complete","Complete",IF(I51="Blocked","Blocked",IF(I51="In progress","Ready",IF(F51="","Ready",IF(COUNTIFS($B$4:$B$73,F51,$H$4:$H$73,"Complete")=1,"Ready","Waiting")))))</f>
        <v/>
      </c>
      <c r="H51" s="4">
        <f>IF(I51="Not started","Not started",IF(I51="Blocked","Blocked",IF(I51="In progress","In progress",IF(J51&lt;&gt;"Passed","Awaiting code review",IF(OR(K51="",NOT(ISNUMBER(L51))),"Awaiting review evidence",IF(N51&lt;&gt;"Passed","Awaiting test",IF(OR(M51="",O51="",NOT(ISNUMBER(P51))),"Awaiting test evidence","Complete")))))))</f>
        <v/>
      </c>
      <c r="I51" s="10" t="inlineStr">
        <is>
          <t>Not started</t>
        </is>
      </c>
      <c r="J51" s="10" t="inlineStr">
        <is>
          <t>Not reviewed</t>
        </is>
      </c>
      <c r="K51" s="10" t="n"/>
      <c r="L51" s="30" t="n"/>
      <c r="M51" s="10" t="n"/>
      <c r="N51" s="10" t="inlineStr">
        <is>
          <t>Not tested</t>
        </is>
      </c>
      <c r="O51" s="10" t="n"/>
      <c r="P51" s="30" t="n"/>
      <c r="Q51" s="10" t="n"/>
      <c r="R51" s="10" t="inlineStr">
        <is>
          <t>Before starting/resuming this item or feature: reread AGENTS.md from disk; apply teaching/testing rules. Follow revised module separation and dependencies; implement only this item’s approved scope in small lessons. Record source review and developer-first/delegated test evidence.</t>
        </is>
      </c>
      <c r="S51" s="10" t="n"/>
    </row>
    <row r="52" ht="105" customHeight="1">
      <c r="A52" s="9" t="n">
        <v>49</v>
      </c>
      <c r="B52" s="9" t="inlineStr">
        <is>
          <t>FB-034</t>
        </is>
      </c>
      <c r="C52" s="9" t="inlineStr">
        <is>
          <t>Stock Management</t>
        </is>
      </c>
      <c r="D52" s="9" t="inlineStr">
        <is>
          <t>Build reusable package sizes and product stock items</t>
        </is>
      </c>
      <c r="E52" s="9" t="inlineStr">
        <is>
          <t>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 Build and verify package definitions first, then stock_items connected to existing catalogue Products before Receive; preserve module order and review/testing evidence.</t>
        </is>
      </c>
      <c r="F52" s="9" t="inlineStr">
        <is>
          <t>FB-067</t>
        </is>
      </c>
      <c r="G52" s="9">
        <f>IF(H52="Complete","Complete",IF(I52="Blocked","Blocked",IF(I52="In progress","Ready",IF(F52="","Ready",IF(COUNTIFS($B$4:$B$73,F52,$H$4:$H$73,"Complete")=1,"Ready","Waiting")))))</f>
        <v/>
      </c>
      <c r="H52" s="9">
        <f>IF(I52="Not started","Not started",IF(I52="Blocked","Blocked",IF(I52="In progress","In progress",IF(J52&lt;&gt;"Passed","Awaiting code review",IF(OR(K52="",NOT(ISNUMBER(L52))),"Awaiting review evidence",IF(N52&lt;&gt;"Passed","Awaiting test",IF(OR(M52="",O52="",NOT(ISNUMBER(P52))),"Awaiting test evidence","Complete")))))))</f>
        <v/>
      </c>
      <c r="I52" s="11" t="inlineStr">
        <is>
          <t>Not started</t>
        </is>
      </c>
      <c r="J52" s="11" t="inlineStr">
        <is>
          <t>Not reviewed</t>
        </is>
      </c>
      <c r="K52" s="11" t="n"/>
      <c r="L52" s="31" t="n"/>
      <c r="M52" s="11" t="n"/>
      <c r="N52" s="11" t="inlineStr">
        <is>
          <t>Not tested</t>
        </is>
      </c>
      <c r="O52" s="11" t="n"/>
      <c r="P52" s="31" t="n"/>
      <c r="Q52" s="11" t="inlineStr">
        <is>
          <t xml:space="preserve">
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t>
        </is>
      </c>
      <c r="R52" s="11" t="inlineStr">
        <is>
          <t>Before starting/resuming this item or feature: reread AGENTS.md from disk; apply teaching/testing rules. Read shared package-size requirement; first settle package-management permissions and remaining summary/classification details, then teach package definitions and product/package stock_items in dependency order after FB-067. Approval is planning only; no implementation or completion evidence.</t>
        </is>
      </c>
      <c r="S52" s="11" t="n"/>
    </row>
    <row r="53" ht="105" customHeight="1">
      <c r="A53" s="9" t="n">
        <v>50</v>
      </c>
      <c r="B53" s="9" t="inlineStr">
        <is>
          <t>FB-049</t>
        </is>
      </c>
      <c r="C53" s="9" t="inlineStr">
        <is>
          <t>Receive</t>
        </is>
      </c>
      <c r="D53" s="9" t="inlineStr">
        <is>
          <t>Display and lay out a multi-product Receive form</t>
        </is>
      </c>
      <c r="E53" s="9" t="inlineStr">
        <is>
          <t>All three roles may receive active products, including zero-stock products. Show saved package size; quantities are whole packages; one optional note for whole entry. Teach one row before multiple rows.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53" s="9" t="inlineStr">
        <is>
          <t>FB-034</t>
        </is>
      </c>
      <c r="G53" s="9">
        <f>IF(H53="Complete","Complete",IF(I53="Blocked","Blocked",IF(I53="In progress","Ready",IF(F53="","Ready",IF(COUNTIFS($B$4:$B$73,F53,$H$4:$H$73,"Complete")=1,"Ready","Waiting")))))</f>
        <v/>
      </c>
      <c r="H53" s="9">
        <f>IF(I53="Not started","Not started",IF(I53="Blocked","Blocked",IF(I53="In progress","In progress",IF(J53&lt;&gt;"Passed","Awaiting code review",IF(OR(K53="",NOT(ISNUMBER(L53))),"Awaiting review evidence",IF(N53&lt;&gt;"Passed","Awaiting test",IF(OR(M53="",O53="",NOT(ISNUMBER(P53))),"Awaiting test evidence","Complete")))))))</f>
        <v/>
      </c>
      <c r="I53" s="11" t="inlineStr">
        <is>
          <t>Not started</t>
        </is>
      </c>
      <c r="J53" s="11" t="inlineStr">
        <is>
          <t>Not reviewed</t>
        </is>
      </c>
      <c r="K53" s="11" t="n"/>
      <c r="L53" s="31" t="n"/>
      <c r="M53" s="11" t="n"/>
      <c r="N53" s="11" t="inlineStr">
        <is>
          <t>Not tested</t>
        </is>
      </c>
      <c r="O53" s="11" t="n"/>
      <c r="P53" s="31" t="n"/>
      <c r="Q53" s="11" t="n"/>
      <c r="R53"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3" s="11" t="n"/>
    </row>
    <row r="54" ht="105" customHeight="1">
      <c r="A54" s="4" t="n">
        <v>51</v>
      </c>
      <c r="B54" s="4" t="inlineStr">
        <is>
          <t>FB-050</t>
        </is>
      </c>
      <c r="C54" s="4" t="inlineStr">
        <is>
          <t>Receive</t>
        </is>
      </c>
      <c r="D54" s="4" t="inlineStr">
        <is>
          <t>Add reactive product rows and whole quantities</t>
        </is>
      </c>
      <c r="E54" s="4" t="inlineStr">
        <is>
          <t>Each product appears once; update its quantity instead of duplicate rows. Multiple different products allowed. Reject zero/negative/fractional quantities; unit choice is on product creation, not movements.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54" s="4" t="inlineStr">
        <is>
          <t>FB-049</t>
        </is>
      </c>
      <c r="G54" s="4">
        <f>IF(H54="Complete","Complete",IF(I54="Blocked","Blocked",IF(I54="In progress","Ready",IF(F54="","Ready",IF(COUNTIFS($B$4:$B$73,F54,$H$4:$H$73,"Complete")=1,"Ready","Waiting")))))</f>
        <v/>
      </c>
      <c r="H54" s="4">
        <f>IF(I54="Not started","Not started",IF(I54="Blocked","Blocked",IF(I54="In progress","In progress",IF(J54&lt;&gt;"Passed","Awaiting code review",IF(OR(K54="",NOT(ISNUMBER(L54))),"Awaiting review evidence",IF(N54&lt;&gt;"Passed","Awaiting test",IF(OR(M54="",O54="",NOT(ISNUMBER(P54))),"Awaiting test evidence","Complete")))))))</f>
        <v/>
      </c>
      <c r="I54" s="10" t="inlineStr">
        <is>
          <t>Not started</t>
        </is>
      </c>
      <c r="J54" s="10" t="inlineStr">
        <is>
          <t>Not reviewed</t>
        </is>
      </c>
      <c r="K54" s="10" t="n"/>
      <c r="L54" s="30" t="n"/>
      <c r="M54" s="10" t="n"/>
      <c r="N54" s="10" t="inlineStr">
        <is>
          <t>Not tested</t>
        </is>
      </c>
      <c r="O54" s="10" t="n"/>
      <c r="P54" s="30" t="n"/>
      <c r="Q54" s="10" t="n"/>
      <c r="R54"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4" s="10" t="n"/>
    </row>
    <row r="55" ht="105" customHeight="1">
      <c r="A55" s="9" t="n">
        <v>52</v>
      </c>
      <c r="B55" s="9" t="inlineStr">
        <is>
          <t>FB-051</t>
        </is>
      </c>
      <c r="C55" s="9" t="inlineStr">
        <is>
          <t>Receive</t>
        </is>
      </c>
      <c r="D55" s="9" t="inlineStr">
        <is>
          <t>Save an entire receipt and record stock changes</t>
        </is>
      </c>
      <c r="E55" s="9" t="inlineStr">
        <is>
          <t>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55" s="9" t="inlineStr">
        <is>
          <t>FB-050</t>
        </is>
      </c>
      <c r="G55" s="9">
        <f>IF(H55="Complete","Complete",IF(I55="Blocked","Blocked",IF(I55="In progress","Ready",IF(F55="","Ready",IF(COUNTIFS($B$4:$B$73,F55,$H$4:$H$73,"Complete")=1,"Ready","Waiting")))))</f>
        <v/>
      </c>
      <c r="H55" s="9">
        <f>IF(I55="Not started","Not started",IF(I55="Blocked","Blocked",IF(I55="In progress","In progress",IF(J55&lt;&gt;"Passed","Awaiting code review",IF(OR(K55="",NOT(ISNUMBER(L55))),"Awaiting review evidence",IF(N55&lt;&gt;"Passed","Awaiting test",IF(OR(M55="",O55="",NOT(ISNUMBER(P55))),"Awaiting test evidence","Complete")))))))</f>
        <v/>
      </c>
      <c r="I55" s="11" t="inlineStr">
        <is>
          <t>Not started</t>
        </is>
      </c>
      <c r="J55" s="11" t="inlineStr">
        <is>
          <t>Not reviewed</t>
        </is>
      </c>
      <c r="K55" s="11" t="n"/>
      <c r="L55" s="31" t="n"/>
      <c r="M55" s="11" t="n"/>
      <c r="N55" s="11" t="inlineStr">
        <is>
          <t>Not tested</t>
        </is>
      </c>
      <c r="O55" s="11" t="n"/>
      <c r="P55" s="31" t="n"/>
      <c r="Q55" s="11" t="n"/>
      <c r="R55"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5" s="11" t="n"/>
    </row>
    <row r="56" ht="105" customHeight="1">
      <c r="A56" s="4" t="n">
        <v>53</v>
      </c>
      <c r="B56" s="4" t="inlineStr">
        <is>
          <t>FB-052</t>
        </is>
      </c>
      <c r="C56" s="4" t="inlineStr">
        <is>
          <t>Receive</t>
        </is>
      </c>
      <c r="D56" s="4" t="inlineStr">
        <is>
          <t>Connect submission feedback and protect stock rules</t>
        </is>
      </c>
      <c r="E56" s="4" t="inlineStr">
        <is>
          <t>Show processing/errors/success; prevent repeated clicks while processing. Enforce active-account and movement permissions on server; opening stock uses Receive. Test a multiple-product receipt against actual balances.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56" s="4" t="inlineStr">
        <is>
          <t>FB-051</t>
        </is>
      </c>
      <c r="G56" s="4">
        <f>IF(H56="Complete","Complete",IF(I56="Blocked","Blocked",IF(I56="In progress","Ready",IF(F56="","Ready",IF(COUNTIFS($B$4:$B$73,F56,$H$4:$H$73,"Complete")=1,"Ready","Waiting")))))</f>
        <v/>
      </c>
      <c r="H56" s="4">
        <f>IF(I56="Not started","Not started",IF(I56="Blocked","Blocked",IF(I56="In progress","In progress",IF(J56&lt;&gt;"Passed","Awaiting code review",IF(OR(K56="",NOT(ISNUMBER(L56))),"Awaiting review evidence",IF(N56&lt;&gt;"Passed","Awaiting test",IF(OR(M56="",O56="",NOT(ISNUMBER(P56))),"Awaiting test evidence","Complete")))))))</f>
        <v/>
      </c>
      <c r="I56" s="10" t="inlineStr">
        <is>
          <t>Not started</t>
        </is>
      </c>
      <c r="J56" s="10" t="inlineStr">
        <is>
          <t>Not reviewed</t>
        </is>
      </c>
      <c r="K56" s="10" t="n"/>
      <c r="L56" s="30" t="n"/>
      <c r="M56" s="10" t="n"/>
      <c r="N56" s="10" t="inlineStr">
        <is>
          <t>Not tested</t>
        </is>
      </c>
      <c r="O56" s="10" t="n"/>
      <c r="P56" s="30" t="n"/>
      <c r="Q56" s="10" t="n"/>
      <c r="R56"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6" s="10" t="n"/>
    </row>
    <row r="57" ht="105" customHeight="1">
      <c r="A57" s="9" t="n">
        <v>54</v>
      </c>
      <c r="B57" s="9" t="inlineStr">
        <is>
          <t>FB-053</t>
        </is>
      </c>
      <c r="C57" s="9" t="inlineStr">
        <is>
          <t>Receive</t>
        </is>
      </c>
      <c r="D57" s="9" t="inlineStr">
        <is>
          <t>Verify stock measurement locks and catalogue deactivation guard</t>
        </is>
      </c>
      <c r="E57" s="9" t="inlineStr">
        <is>
          <t>Enforce immutable stock package measurement after movements; summary-configuration locks within Stock Management. Catalogue deactivation blocked if any stock remains, without exposing size/quantity. Confirm classification constraints at stock design checkpoint before implementing. Verify direct-write safeguards. Shared-package design: movement rows target stock_item_id; balances/history are per stock item, not per package definition; duplicate entry rows checked by stock_item_id. Package definition immutable as soon as referenced. Preserve approved movement safeguards.</t>
        </is>
      </c>
      <c r="F57" s="9" t="inlineStr">
        <is>
          <t>FB-052</t>
        </is>
      </c>
      <c r="G57" s="9">
        <f>IF(H57="Complete","Complete",IF(I57="Blocked","Blocked",IF(I57="In progress","Ready",IF(F57="","Ready",IF(COUNTIFS($B$4:$B$73,F57,$H$4:$H$73,"Complete")=1,"Ready","Waiting")))))</f>
        <v/>
      </c>
      <c r="H57" s="9">
        <f>IF(I57="Not started","Not started",IF(I57="Blocked","Blocked",IF(I57="In progress","In progress",IF(J57&lt;&gt;"Passed","Awaiting code review",IF(OR(K57="",NOT(ISNUMBER(L57))),"Awaiting review evidence",IF(N57&lt;&gt;"Passed","Awaiting test",IF(OR(M57="",O57="",NOT(ISNUMBER(P57))),"Awaiting test evidence","Complete")))))))</f>
        <v/>
      </c>
      <c r="I57" s="11" t="inlineStr">
        <is>
          <t>Not started</t>
        </is>
      </c>
      <c r="J57" s="11" t="inlineStr">
        <is>
          <t>Not reviewed</t>
        </is>
      </c>
      <c r="K57" s="11" t="n"/>
      <c r="L57" s="31" t="n"/>
      <c r="M57" s="11" t="n"/>
      <c r="N57" s="11" t="inlineStr">
        <is>
          <t>Not tested</t>
        </is>
      </c>
      <c r="O57" s="11" t="n"/>
      <c r="P57" s="31" t="n"/>
      <c r="Q57" s="11" t="n"/>
      <c r="R57"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7" s="11" t="n"/>
    </row>
    <row r="58" ht="105" customHeight="1">
      <c r="A58" s="4" t="n">
        <v>55</v>
      </c>
      <c r="B58" s="4" t="inlineStr">
        <is>
          <t>FB-054</t>
        </is>
      </c>
      <c r="C58" s="4" t="inlineStr">
        <is>
          <t>History</t>
        </is>
      </c>
      <c r="D58" s="4" t="inlineStr">
        <is>
          <t>Show stock movement history within Stock Management</t>
        </is>
      </c>
      <c r="E58" s="4" t="inlineStr">
        <is>
          <t>Managers/Super Admin only; type/quantity/time/result/recorder/receipt/household/reason. History absent from catalogue product detail. Volunteer direct history access denied. Shared-package design: movement rows target stock_item_id; balances/history are per stock item, not per package definition; duplicate entry rows checked by stock_item_id. Package definition immutable as soon as referenced. Preserve approved movement safeguards.</t>
        </is>
      </c>
      <c r="F58" s="4" t="inlineStr">
        <is>
          <t>FB-053</t>
        </is>
      </c>
      <c r="G58" s="4">
        <f>IF(H58="Complete","Complete",IF(I58="Blocked","Blocked",IF(I58="In progress","Ready",IF(F58="","Ready",IF(COUNTIFS($B$4:$B$73,F58,$H$4:$H$73,"Complete")=1,"Ready","Waiting")))))</f>
        <v/>
      </c>
      <c r="H58" s="4">
        <f>IF(I58="Not started","Not started",IF(I58="Blocked","Blocked",IF(I58="In progress","In progress",IF(J58&lt;&gt;"Passed","Awaiting code review",IF(OR(K58="",NOT(ISNUMBER(L58))),"Awaiting review evidence",IF(N58&lt;&gt;"Passed","Awaiting test",IF(OR(M58="",O58="",NOT(ISNUMBER(P58))),"Awaiting test evidence","Complete")))))))</f>
        <v/>
      </c>
      <c r="I58" s="10" t="inlineStr">
        <is>
          <t>Not started</t>
        </is>
      </c>
      <c r="J58" s="10" t="inlineStr">
        <is>
          <t>Not reviewed</t>
        </is>
      </c>
      <c r="K58" s="10" t="n"/>
      <c r="L58" s="30" t="n"/>
      <c r="M58" s="10" t="n"/>
      <c r="N58" s="10" t="inlineStr">
        <is>
          <t>Not tested</t>
        </is>
      </c>
      <c r="O58" s="10" t="n"/>
      <c r="P58" s="30" t="n"/>
      <c r="Q58" s="10" t="n"/>
      <c r="R58"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8" s="10" t="n"/>
    </row>
    <row r="59" ht="105" customHeight="1">
      <c r="A59" s="9" t="n">
        <v>56</v>
      </c>
      <c r="B59" s="9" t="inlineStr">
        <is>
          <t>FB-065</t>
        </is>
      </c>
      <c r="C59" s="9" t="inlineStr">
        <is>
          <t>Totals</t>
        </is>
      </c>
      <c r="D59" s="9" t="inlineStr">
        <is>
          <t>Calculate stock summaries within Stock Management</t>
        </is>
      </c>
      <c r="E59" s="9" t="inlineStr">
        <is>
          <t>Use stock package balances/contents and kg/g, litres/ml conversions. Exact calculation then formatted display. Do not add quantities or measurement configuration to catalogue. Shared-package design: movement rows target stock_item_id; balances/history are per stock item, not per package definition; duplicate entry rows checked by stock_item_id. Package definition immutable as soon as referenced. Preserve approved movement safeguards.</t>
        </is>
      </c>
      <c r="F59" s="9" t="inlineStr">
        <is>
          <t>FB-054</t>
        </is>
      </c>
      <c r="G59" s="9">
        <f>IF(H59="Complete","Complete",IF(I59="Blocked","Blocked",IF(I59="In progress","Ready",IF(F59="","Ready",IF(COUNTIFS($B$4:$B$73,F59,$H$4:$H$73,"Complete")=1,"Ready","Waiting")))))</f>
        <v/>
      </c>
      <c r="H59" s="9">
        <f>IF(I59="Not started","Not started",IF(I59="Blocked","Blocked",IF(I59="In progress","In progress",IF(J59&lt;&gt;"Passed","Awaiting code review",IF(OR(K59="",NOT(ISNUMBER(L59))),"Awaiting review evidence",IF(N59&lt;&gt;"Passed","Awaiting test",IF(OR(M59="",O59="",NOT(ISNUMBER(P59))),"Awaiting test evidence","Complete")))))))</f>
        <v/>
      </c>
      <c r="I59" s="11" t="inlineStr">
        <is>
          <t>Not started</t>
        </is>
      </c>
      <c r="J59" s="11" t="inlineStr">
        <is>
          <t>Not reviewed</t>
        </is>
      </c>
      <c r="K59" s="11" t="n"/>
      <c r="L59" s="31" t="n"/>
      <c r="M59" s="11" t="n"/>
      <c r="N59" s="11" t="inlineStr">
        <is>
          <t>Not tested</t>
        </is>
      </c>
      <c r="O59" s="11" t="n"/>
      <c r="P59" s="31" t="n"/>
      <c r="Q59" s="11" t="n"/>
      <c r="R59"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59" s="11" t="n"/>
    </row>
    <row r="60" ht="105" customHeight="1">
      <c r="A60" s="4" t="n">
        <v>57</v>
      </c>
      <c r="B60" s="4" t="inlineStr">
        <is>
          <t>FB-066</t>
        </is>
      </c>
      <c r="C60" s="4" t="inlineStr">
        <is>
          <t>Totals</t>
        </is>
      </c>
      <c r="D60" s="4" t="inlineStr">
        <is>
          <t>Display combined totals within Stock Management</t>
        </is>
      </c>
      <c r="E60" s="4" t="inlineStr">
        <is>
          <t>Managers/Super Admin see stock summaries in kg/litres/items with at most3 displayed decimals. Product Catalogue/Subcategory screens show no units/sizes/quantities/totals. Verify later Adjust/Distribute update stock summaries. Shared-package design: movement rows target stock_item_id; balances/history are per stock item, not per package definition; duplicate entry rows checked by stock_item_id. Package definition immutable as soon as referenced. Preserve approved movement safeguards.</t>
        </is>
      </c>
      <c r="F60" s="4" t="inlineStr">
        <is>
          <t>FB-065</t>
        </is>
      </c>
      <c r="G60" s="4">
        <f>IF(H60="Complete","Complete",IF(I60="Blocked","Blocked",IF(I60="In progress","Ready",IF(F60="","Ready",IF(COUNTIFS($B$4:$B$73,F60,$H$4:$H$73,"Complete")=1,"Ready","Waiting")))))</f>
        <v/>
      </c>
      <c r="H60" s="4">
        <f>IF(I60="Not started","Not started",IF(I60="Blocked","Blocked",IF(I60="In progress","In progress",IF(J60&lt;&gt;"Passed","Awaiting code review",IF(OR(K60="",NOT(ISNUMBER(L60))),"Awaiting review evidence",IF(N60&lt;&gt;"Passed","Awaiting test",IF(OR(M60="",O60="",NOT(ISNUMBER(P60))),"Awaiting test evidence","Complete")))))))</f>
        <v/>
      </c>
      <c r="I60" s="10" t="inlineStr">
        <is>
          <t>Not started</t>
        </is>
      </c>
      <c r="J60" s="10" t="inlineStr">
        <is>
          <t>Not reviewed</t>
        </is>
      </c>
      <c r="K60" s="10" t="n"/>
      <c r="L60" s="30" t="n"/>
      <c r="M60" s="10" t="n"/>
      <c r="N60" s="10" t="inlineStr">
        <is>
          <t>Not tested</t>
        </is>
      </c>
      <c r="O60" s="10" t="n"/>
      <c r="P60" s="30" t="n"/>
      <c r="Q60" s="10" t="n"/>
      <c r="R60"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0" s="10" t="n"/>
    </row>
    <row r="61" ht="105" customHeight="1">
      <c r="A61" s="9" t="n">
        <v>58</v>
      </c>
      <c r="B61" s="9" t="inlineStr">
        <is>
          <t>FB-055</t>
        </is>
      </c>
      <c r="C61" s="9" t="inlineStr">
        <is>
          <t>Adjust</t>
        </is>
      </c>
      <c r="D61" s="9" t="inlineStr">
        <is>
          <t>Build and lay out the single-product adjustment form</t>
        </is>
      </c>
      <c r="E61" s="9" t="inlineStr">
        <is>
          <t>All roles choose one active product, Add/Remove, positive whole quantity and mandatory reason. Show saved package size and current balance. Teach state and layout before save.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1" s="9" t="inlineStr">
        <is>
          <t>FB-066</t>
        </is>
      </c>
      <c r="G61" s="9">
        <f>IF(H61="Complete","Complete",IF(I61="Blocked","Blocked",IF(I61="In progress","Ready",IF(F61="","Ready",IF(COUNTIFS($B$4:$B$73,F61,$H$4:$H$73,"Complete")=1,"Ready","Waiting")))))</f>
        <v/>
      </c>
      <c r="H61" s="9">
        <f>IF(I61="Not started","Not started",IF(I61="Blocked","Blocked",IF(I61="In progress","In progress",IF(J61&lt;&gt;"Passed","Awaiting code review",IF(OR(K61="",NOT(ISNUMBER(L61))),"Awaiting review evidence",IF(N61&lt;&gt;"Passed","Awaiting test",IF(OR(M61="",O61="",NOT(ISNUMBER(P61))),"Awaiting test evidence","Complete")))))))</f>
        <v/>
      </c>
      <c r="I61" s="11" t="inlineStr">
        <is>
          <t>Not started</t>
        </is>
      </c>
      <c r="J61" s="11" t="inlineStr">
        <is>
          <t>Not reviewed</t>
        </is>
      </c>
      <c r="K61" s="11" t="n"/>
      <c r="L61" s="31" t="n"/>
      <c r="M61" s="11" t="n"/>
      <c r="N61" s="11" t="inlineStr">
        <is>
          <t>Not tested</t>
        </is>
      </c>
      <c r="O61" s="11" t="n"/>
      <c r="P61" s="31" t="n"/>
      <c r="Q61" s="11" t="n"/>
      <c r="R61"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1" s="11" t="n"/>
    </row>
    <row r="62" ht="105" customHeight="1">
      <c r="A62" s="4" t="n">
        <v>59</v>
      </c>
      <c r="B62" s="4" t="inlineStr">
        <is>
          <t>FB-056</t>
        </is>
      </c>
      <c r="C62" s="4" t="inlineStr">
        <is>
          <t>Adjust</t>
        </is>
      </c>
      <c r="D62" s="4" t="inlineStr">
        <is>
          <t>Save adjustments without negative balances</t>
        </is>
      </c>
      <c r="E62" s="4" t="inlineStr">
        <is>
          <t>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2" s="4" t="inlineStr">
        <is>
          <t>FB-055</t>
        </is>
      </c>
      <c r="G62" s="4">
        <f>IF(H62="Complete","Complete",IF(I62="Blocked","Blocked",IF(I62="In progress","Ready",IF(F62="","Ready",IF(COUNTIFS($B$4:$B$73,F62,$H$4:$H$73,"Complete")=1,"Ready","Waiting")))))</f>
        <v/>
      </c>
      <c r="H62" s="4">
        <f>IF(I62="Not started","Not started",IF(I62="Blocked","Blocked",IF(I62="In progress","In progress",IF(J62&lt;&gt;"Passed","Awaiting code review",IF(OR(K62="",NOT(ISNUMBER(L62))),"Awaiting review evidence",IF(N62&lt;&gt;"Passed","Awaiting test",IF(OR(M62="",O62="",NOT(ISNUMBER(P62))),"Awaiting test evidence","Complete")))))))</f>
        <v/>
      </c>
      <c r="I62" s="10" t="inlineStr">
        <is>
          <t>Not started</t>
        </is>
      </c>
      <c r="J62" s="10" t="inlineStr">
        <is>
          <t>Not reviewed</t>
        </is>
      </c>
      <c r="K62" s="10" t="n"/>
      <c r="L62" s="30" t="n"/>
      <c r="M62" s="10" t="n"/>
      <c r="N62" s="10" t="inlineStr">
        <is>
          <t>Not tested</t>
        </is>
      </c>
      <c r="O62" s="10" t="n"/>
      <c r="P62" s="30" t="n"/>
      <c r="Q62" s="10" t="n"/>
      <c r="R62"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2" s="10" t="n"/>
    </row>
    <row r="63" ht="105" customHeight="1">
      <c r="A63" s="9" t="n">
        <v>60</v>
      </c>
      <c r="B63" s="9" t="inlineStr">
        <is>
          <t>FB-057</t>
        </is>
      </c>
      <c r="C63" s="9" t="inlineStr">
        <is>
          <t>Household samples</t>
        </is>
      </c>
      <c r="D63" s="9" t="inlineStr">
        <is>
          <t>Prepare and verify 20 fictional households</t>
        </is>
      </c>
      <c r="E63" s="9" t="inlineStr">
        <is>
          <t>Unique reference, contact first/last name, address, positive household size, required unique Canadian phone, optional unique supplied email; multiple blanks allowed. No household management screens or automatic allowances. Developer runs explained data-changing commands.</t>
        </is>
      </c>
      <c r="F63" s="9" t="inlineStr">
        <is>
          <t>FB-056</t>
        </is>
      </c>
      <c r="G63" s="9">
        <f>IF(H63="Complete","Complete",IF(I63="Blocked","Blocked",IF(I63="In progress","Ready",IF(F63="","Ready",IF(COUNTIFS($B$4:$B$73,F63,$H$4:$H$73,"Complete")=1,"Ready","Waiting")))))</f>
        <v/>
      </c>
      <c r="H63" s="9">
        <f>IF(I63="Not started","Not started",IF(I63="Blocked","Blocked",IF(I63="In progress","In progress",IF(J63&lt;&gt;"Passed","Awaiting code review",IF(OR(K63="",NOT(ISNUMBER(L63))),"Awaiting review evidence",IF(N63&lt;&gt;"Passed","Awaiting test",IF(OR(M63="",O63="",NOT(ISNUMBER(P63))),"Awaiting test evidence","Complete")))))))</f>
        <v/>
      </c>
      <c r="I63" s="11" t="inlineStr">
        <is>
          <t>Not started</t>
        </is>
      </c>
      <c r="J63" s="11" t="inlineStr">
        <is>
          <t>Not reviewed</t>
        </is>
      </c>
      <c r="K63" s="11" t="n"/>
      <c r="L63" s="31" t="n"/>
      <c r="M63" s="11" t="n"/>
      <c r="N63" s="11" t="inlineStr">
        <is>
          <t>Not tested</t>
        </is>
      </c>
      <c r="O63" s="11" t="n"/>
      <c r="P63" s="31" t="n"/>
      <c r="Q63" s="11" t="n"/>
      <c r="R63" s="11" t="inlineStr">
        <is>
          <t>Before starting this item or feature: reread AGENTS.md from disk; apply its teaching and testing rules.
Next: Start this item after the previous item is complete.</t>
        </is>
      </c>
      <c r="S63" s="11" t="n"/>
    </row>
    <row r="64" ht="105" customHeight="1">
      <c r="A64" s="4" t="n">
        <v>61</v>
      </c>
      <c r="B64" s="4" t="inlineStr">
        <is>
          <t>FB-058</t>
        </is>
      </c>
      <c r="C64" s="4" t="inlineStr">
        <is>
          <t>Distribute</t>
        </is>
      </c>
      <c r="D64" s="4" t="inlineStr">
        <is>
          <t>Search and select one household</t>
        </is>
      </c>
      <c r="E64" s="4" t="inlineStr">
        <is>
          <t>All roles performing distribution can search by reference/contact name/phone. Show enough details to distinguish households. Appointments checked outside app; no scheduling/appointment records or account-management access.</t>
        </is>
      </c>
      <c r="F64" s="4" t="inlineStr">
        <is>
          <t>FB-057</t>
        </is>
      </c>
      <c r="G64" s="4">
        <f>IF(H64="Complete","Complete",IF(I64="Blocked","Blocked",IF(I64="In progress","Ready",IF(F64="","Ready",IF(COUNTIFS($B$4:$B$73,F64,$H$4:$H$73,"Complete")=1,"Ready","Waiting")))))</f>
        <v/>
      </c>
      <c r="H64" s="4">
        <f>IF(I64="Not started","Not started",IF(I64="Blocked","Blocked",IF(I64="In progress","In progress",IF(J64&lt;&gt;"Passed","Awaiting code review",IF(OR(K64="",NOT(ISNUMBER(L64))),"Awaiting review evidence",IF(N64&lt;&gt;"Passed","Awaiting test",IF(OR(M64="",O64="",NOT(ISNUMBER(P64))),"Awaiting test evidence","Complete")))))))</f>
        <v/>
      </c>
      <c r="I64" s="10" t="inlineStr">
        <is>
          <t>Not started</t>
        </is>
      </c>
      <c r="J64" s="10" t="inlineStr">
        <is>
          <t>Not reviewed</t>
        </is>
      </c>
      <c r="K64" s="10" t="n"/>
      <c r="L64" s="30" t="n"/>
      <c r="M64" s="10" t="n"/>
      <c r="N64" s="10" t="inlineStr">
        <is>
          <t>Not tested</t>
        </is>
      </c>
      <c r="O64" s="10" t="n"/>
      <c r="P64" s="30" t="n"/>
      <c r="Q64" s="10" t="n"/>
      <c r="R64" s="10" t="inlineStr">
        <is>
          <t>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t>
        </is>
      </c>
      <c r="S64" s="10" t="n"/>
    </row>
    <row r="65" ht="105" customHeight="1">
      <c r="A65" s="9" t="n">
        <v>62</v>
      </c>
      <c r="B65" s="9" t="inlineStr">
        <is>
          <t>FB-059</t>
        </is>
      </c>
      <c r="C65" s="9" t="inlineStr">
        <is>
          <t>Distribute</t>
        </is>
      </c>
      <c r="D65" s="9" t="inlineStr">
        <is>
          <t>Choose a subcategory and available package sizes</t>
        </is>
      </c>
      <c r="E65" s="9" t="inlineStr">
        <is>
          <t>Selecting Rice shows active products with positive stock: name, brand, code, saved size and available package count. Exclude inactive/zero-stock entries; distinguish equal sizes from different brands.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5" s="9" t="inlineStr">
        <is>
          <t>FB-058</t>
        </is>
      </c>
      <c r="G65" s="9">
        <f>IF(H65="Complete","Complete",IF(I65="Blocked","Blocked",IF(I65="In progress","Ready",IF(F65="","Ready",IF(COUNTIFS($B$4:$B$73,F65,$H$4:$H$73,"Complete")=1,"Ready","Waiting")))))</f>
        <v/>
      </c>
      <c r="H65" s="9">
        <f>IF(I65="Not started","Not started",IF(I65="Blocked","Blocked",IF(I65="In progress","In progress",IF(J65&lt;&gt;"Passed","Awaiting code review",IF(OR(K65="",NOT(ISNUMBER(L65))),"Awaiting review evidence",IF(N65&lt;&gt;"Passed","Awaiting test",IF(OR(M65="",O65="",NOT(ISNUMBER(P65))),"Awaiting test evidence","Complete")))))))</f>
        <v/>
      </c>
      <c r="I65" s="11" t="inlineStr">
        <is>
          <t>Not started</t>
        </is>
      </c>
      <c r="J65" s="11" t="inlineStr">
        <is>
          <t>Not reviewed</t>
        </is>
      </c>
      <c r="K65" s="11" t="n"/>
      <c r="L65" s="31" t="n"/>
      <c r="M65" s="11" t="n"/>
      <c r="N65" s="11" t="inlineStr">
        <is>
          <t>Not tested</t>
        </is>
      </c>
      <c r="O65" s="11" t="n"/>
      <c r="P65" s="31" t="n"/>
      <c r="Q65" s="11" t="n"/>
      <c r="R65"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5" s="11" t="n"/>
    </row>
    <row r="66" ht="105" customHeight="1">
      <c r="A66" s="4" t="n">
        <v>63</v>
      </c>
      <c r="B66" s="4" t="inlineStr">
        <is>
          <t>FB-060</t>
        </is>
      </c>
      <c r="C66" s="4" t="inlineStr">
        <is>
          <t>Distribute</t>
        </is>
      </c>
      <c r="D66" s="4" t="inlineStr">
        <is>
          <t>Add product search within selection</t>
        </is>
      </c>
      <c r="E66" s="4" t="inlineStr">
        <is>
          <t>Search selectable products by code or name, preserving subcategory/availability restrictions. Verify clear/no-result cases.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6" s="4" t="inlineStr">
        <is>
          <t>FB-059</t>
        </is>
      </c>
      <c r="G66" s="4">
        <f>IF(H66="Complete","Complete",IF(I66="Blocked","Blocked",IF(I66="In progress","Ready",IF(F66="","Ready",IF(COUNTIFS($B$4:$B$73,F66,$H$4:$H$73,"Complete")=1,"Ready","Waiting")))))</f>
        <v/>
      </c>
      <c r="H66" s="4">
        <f>IF(I66="Not started","Not started",IF(I66="Blocked","Blocked",IF(I66="In progress","In progress",IF(J66&lt;&gt;"Passed","Awaiting code review",IF(OR(K66="",NOT(ISNUMBER(L66))),"Awaiting review evidence",IF(N66&lt;&gt;"Passed","Awaiting test",IF(OR(M66="",O66="",NOT(ISNUMBER(P66))),"Awaiting test evidence","Complete")))))))</f>
        <v/>
      </c>
      <c r="I66" s="10" t="inlineStr">
        <is>
          <t>Not started</t>
        </is>
      </c>
      <c r="J66" s="10" t="inlineStr">
        <is>
          <t>Not reviewed</t>
        </is>
      </c>
      <c r="K66" s="10" t="n"/>
      <c r="L66" s="30" t="n"/>
      <c r="M66" s="10" t="n"/>
      <c r="N66" s="10" t="inlineStr">
        <is>
          <t>Not tested</t>
        </is>
      </c>
      <c r="O66" s="10" t="n"/>
      <c r="P66" s="30" t="n"/>
      <c r="Q66" s="10" t="n"/>
      <c r="R66"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6" s="10" t="n"/>
    </row>
    <row r="67" ht="105" customHeight="1">
      <c r="A67" s="9" t="n">
        <v>64</v>
      </c>
      <c r="B67" s="9" t="inlineStr">
        <is>
          <t>FB-061</t>
        </is>
      </c>
      <c r="C67" s="9" t="inlineStr">
        <is>
          <t>Distribute</t>
        </is>
      </c>
      <c r="D67" s="9" t="inlineStr">
        <is>
          <t>Build a multi-product distribution selection</t>
        </is>
      </c>
      <c r="E67" s="9" t="inlineStr">
        <is>
          <t>Choose whole package quantities across products/sizes; each product appears once. Cannot split a 1kg bag to distribute 500g. Teach each row/quantity interaction separately and responsive layout.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7" s="9" t="inlineStr">
        <is>
          <t>FB-060</t>
        </is>
      </c>
      <c r="G67" s="9">
        <f>IF(H67="Complete","Complete",IF(I67="Blocked","Blocked",IF(I67="In progress","Ready",IF(F67="","Ready",IF(COUNTIFS($B$4:$B$73,F67,$H$4:$H$73,"Complete")=1,"Ready","Waiting")))))</f>
        <v/>
      </c>
      <c r="H67" s="9">
        <f>IF(I67="Not started","Not started",IF(I67="Blocked","Blocked",IF(I67="In progress","In progress",IF(J67&lt;&gt;"Passed","Awaiting code review",IF(OR(K67="",NOT(ISNUMBER(L67))),"Awaiting review evidence",IF(N67&lt;&gt;"Passed","Awaiting test",IF(OR(M67="",O67="",NOT(ISNUMBER(P67))),"Awaiting test evidence","Complete")))))))</f>
        <v/>
      </c>
      <c r="I67" s="11" t="inlineStr">
        <is>
          <t>Not started</t>
        </is>
      </c>
      <c r="J67" s="11" t="inlineStr">
        <is>
          <t>Not reviewed</t>
        </is>
      </c>
      <c r="K67" s="11" t="n"/>
      <c r="L67" s="31" t="n"/>
      <c r="M67" s="11" t="n"/>
      <c r="N67" s="11" t="inlineStr">
        <is>
          <t>Not tested</t>
        </is>
      </c>
      <c r="O67" s="11" t="n"/>
      <c r="P67" s="31" t="n"/>
      <c r="Q67" s="11" t="n"/>
      <c r="R67"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7" s="11" t="n"/>
    </row>
    <row r="68" ht="105" customHeight="1">
      <c r="A68" s="4" t="n">
        <v>65</v>
      </c>
      <c r="B68" s="4" t="inlineStr">
        <is>
          <t>FB-062</t>
        </is>
      </c>
      <c r="C68" s="4" t="inlineStr">
        <is>
          <t>Distribute</t>
        </is>
      </c>
      <c r="D68" s="4" t="inlineStr">
        <is>
          <t>Review and confirm the distribution</t>
        </is>
      </c>
      <c r="E68" s="4" t="inlineStr">
        <is>
          <t>Review one household plus all products/sizes/quantities before saving. Staff can correct the selection. Explain temporary selection state versus saved stock.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8" s="4" t="inlineStr">
        <is>
          <t>FB-061</t>
        </is>
      </c>
      <c r="G68" s="4">
        <f>IF(H68="Complete","Complete",IF(I68="Blocked","Blocked",IF(I68="In progress","Ready",IF(F68="","Ready",IF(COUNTIFS($B$4:$B$73,F68,$H$4:$H$73,"Complete")=1,"Ready","Waiting")))))</f>
        <v/>
      </c>
      <c r="H68" s="4">
        <f>IF(I68="Not started","Not started",IF(I68="Blocked","Blocked",IF(I68="In progress","In progress",IF(J68&lt;&gt;"Passed","Awaiting code review",IF(OR(K68="",NOT(ISNUMBER(L68))),"Awaiting review evidence",IF(N68&lt;&gt;"Passed","Awaiting test",IF(OR(M68="",O68="",NOT(ISNUMBER(P68))),"Awaiting test evidence","Complete")))))))</f>
        <v/>
      </c>
      <c r="I68" s="10" t="inlineStr">
        <is>
          <t>Not started</t>
        </is>
      </c>
      <c r="J68" s="10" t="inlineStr">
        <is>
          <t>Not reviewed</t>
        </is>
      </c>
      <c r="K68" s="10" t="n"/>
      <c r="L68" s="30" t="n"/>
      <c r="M68" s="10" t="n"/>
      <c r="N68" s="10" t="inlineStr">
        <is>
          <t>Not tested</t>
        </is>
      </c>
      <c r="O68" s="10" t="n"/>
      <c r="P68" s="30" t="n"/>
      <c r="Q68" s="10" t="n"/>
      <c r="R68"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8" s="10" t="n"/>
    </row>
    <row r="69" ht="105" customHeight="1">
      <c r="A69" s="9" t="n">
        <v>66</v>
      </c>
      <c r="B69" s="9" t="inlineStr">
        <is>
          <t>FB-063</t>
        </is>
      </c>
      <c r="C69" s="9" t="inlineStr">
        <is>
          <t>Distribute</t>
        </is>
      </c>
      <c r="D69" s="9" t="inlineStr">
        <is>
          <t>Save distribution with a final stock recheck</t>
        </is>
      </c>
      <c r="E69" s="9" t="inlineStr">
        <is>
          <t>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69" s="9" t="inlineStr">
        <is>
          <t>FB-062</t>
        </is>
      </c>
      <c r="G69" s="9">
        <f>IF(H69="Complete","Complete",IF(I69="Blocked","Blocked",IF(I69="In progress","Ready",IF(F69="","Ready",IF(COUNTIFS($B$4:$B$73,F69,$H$4:$H$73,"Complete")=1,"Ready","Waiting")))))</f>
        <v/>
      </c>
      <c r="H69" s="9">
        <f>IF(I69="Not started","Not started",IF(I69="Blocked","Blocked",IF(I69="In progress","In progress",IF(J69&lt;&gt;"Passed","Awaiting code review",IF(OR(K69="",NOT(ISNUMBER(L69))),"Awaiting review evidence",IF(N69&lt;&gt;"Passed","Awaiting test",IF(OR(M69="",O69="",NOT(ISNUMBER(P69))),"Awaiting test evidence","Complete")))))))</f>
        <v/>
      </c>
      <c r="I69" s="11" t="inlineStr">
        <is>
          <t>Not started</t>
        </is>
      </c>
      <c r="J69" s="11" t="inlineStr">
        <is>
          <t>Not reviewed</t>
        </is>
      </c>
      <c r="K69" s="11" t="n"/>
      <c r="L69" s="31" t="n"/>
      <c r="M69" s="11" t="n"/>
      <c r="N69" s="11" t="inlineStr">
        <is>
          <t>Not tested</t>
        </is>
      </c>
      <c r="O69" s="11" t="n"/>
      <c r="P69" s="31" t="n"/>
      <c r="Q69" s="11" t="n"/>
      <c r="R69"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69" s="11" t="n"/>
    </row>
    <row r="70" ht="105" customHeight="1">
      <c r="A70" s="4" t="n">
        <v>67</v>
      </c>
      <c r="B70" s="4" t="inlineStr">
        <is>
          <t>FB-064</t>
        </is>
      </c>
      <c r="C70" s="4" t="inlineStr">
        <is>
          <t>Distribute</t>
        </is>
      </c>
      <c r="D70" s="4" t="inlineStr">
        <is>
          <t>Show result, preserve errors and verify access</t>
        </is>
      </c>
      <c r="E70" s="4" t="inlineStr">
        <is>
          <t>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70" s="4" t="inlineStr">
        <is>
          <t>FB-063</t>
        </is>
      </c>
      <c r="G70" s="4">
        <f>IF(H70="Complete","Complete",IF(I70="Blocked","Blocked",IF(I70="In progress","Ready",IF(F70="","Ready",IF(COUNTIFS($B$4:$B$73,F70,$H$4:$H$73,"Complete")=1,"Ready","Waiting")))))</f>
        <v/>
      </c>
      <c r="H70" s="4">
        <f>IF(I70="Not started","Not started",IF(I70="Blocked","Blocked",IF(I70="In progress","In progress",IF(J70&lt;&gt;"Passed","Awaiting code review",IF(OR(K70="",NOT(ISNUMBER(L70))),"Awaiting review evidence",IF(N70&lt;&gt;"Passed","Awaiting test",IF(OR(M70="",O70="",NOT(ISNUMBER(P70))),"Awaiting test evidence","Complete")))))))</f>
        <v/>
      </c>
      <c r="I70" s="10" t="inlineStr">
        <is>
          <t>Not started</t>
        </is>
      </c>
      <c r="J70" s="10" t="inlineStr">
        <is>
          <t>Not reviewed</t>
        </is>
      </c>
      <c r="K70" s="10" t="n"/>
      <c r="L70" s="30" t="n"/>
      <c r="M70" s="10" t="n"/>
      <c r="N70" s="10" t="inlineStr">
        <is>
          <t>Not tested</t>
        </is>
      </c>
      <c r="O70" s="10" t="n"/>
      <c r="P70" s="30" t="n"/>
      <c r="Q70" s="10" t="n"/>
      <c r="R70" s="10"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70" s="10" t="n"/>
    </row>
    <row r="71" ht="105" customHeight="1">
      <c r="A71" s="9" t="n">
        <v>68</v>
      </c>
      <c r="B71" s="9" t="inlineStr">
        <is>
          <t>FB-068</t>
        </is>
      </c>
      <c r="C71" s="9" t="inlineStr">
        <is>
          <t>Verification</t>
        </is>
      </c>
      <c r="D71" s="9" t="inlineStr">
        <is>
          <t>Verify movement integrity and complete journeys</t>
        </is>
      </c>
      <c r="E71" s="9" t="inlineStr">
        <is>
          <t>Review and test Receive/Adjust/Distribute totals/history, atomic rollback, concurrency/no negative stock, inactive/lock rules, one row/product, household selection, timestamps, immutable history and all-role permissions. Developer tests first; record automated evidence when delegated.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t>
        </is>
      </c>
      <c r="F71" s="9" t="inlineStr">
        <is>
          <t>FB-064</t>
        </is>
      </c>
      <c r="G71" s="9">
        <f>IF(H71="Complete","Complete",IF(I71="Blocked","Blocked",IF(I71="In progress","Ready",IF(F71="","Ready",IF(COUNTIFS($B$4:$B$73,F71,$H$4:$H$73,"Complete")=1,"Ready","Waiting")))))</f>
        <v/>
      </c>
      <c r="H71" s="9">
        <f>IF(I71="Not started","Not started",IF(I71="Blocked","Blocked",IF(I71="In progress","In progress",IF(J71&lt;&gt;"Passed","Awaiting code review",IF(OR(K71="",NOT(ISNUMBER(L71))),"Awaiting review evidence",IF(N71&lt;&gt;"Passed","Awaiting test",IF(OR(M71="",O71="",NOT(ISNUMBER(P71))),"Awaiting test evidence","Complete")))))))</f>
        <v/>
      </c>
      <c r="I71" s="11" t="inlineStr">
        <is>
          <t>Not started</t>
        </is>
      </c>
      <c r="J71" s="11" t="inlineStr">
        <is>
          <t>Not reviewed</t>
        </is>
      </c>
      <c r="K71" s="11" t="n"/>
      <c r="L71" s="31" t="n"/>
      <c r="M71" s="11" t="n"/>
      <c r="N71" s="11" t="inlineStr">
        <is>
          <t>Not tested</t>
        </is>
      </c>
      <c r="O71" s="11" t="n"/>
      <c r="P71" s="31" t="n"/>
      <c r="Q71" s="11" t="n"/>
      <c r="R71" s="11" t="inlineStr">
        <is>
          <t>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t>
        </is>
      </c>
      <c r="S71" s="11" t="n"/>
    </row>
    <row r="72" ht="105" customHeight="1">
      <c r="A72" s="4" t="n">
        <v>69</v>
      </c>
      <c r="B72" s="4" t="inlineStr">
        <is>
          <t>FB-069</t>
        </is>
      </c>
      <c r="C72" s="4" t="inlineStr">
        <is>
          <t>Verification</t>
        </is>
      </c>
      <c r="D72" s="4" t="inlineStr">
        <is>
          <t>Verify the combined first-version experience</t>
        </is>
      </c>
      <c r="E72" s="4" t="inlineStr">
        <is>
          <t>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t>
        </is>
      </c>
      <c r="F72" s="4" t="inlineStr">
        <is>
          <t>FB-023</t>
        </is>
      </c>
      <c r="G72" s="4">
        <f>IF(H72="Complete","Complete",IF(I72="Blocked","Blocked",IF(I72="In progress","Ready",IF(F72="","Ready",IF(COUNTIFS($B$4:$B$73,F72,$H$4:$H$73,"Complete")=1,"Ready","Waiting")))))</f>
        <v/>
      </c>
      <c r="H72" s="4">
        <f>IF(I72="Not started","Not started",IF(I72="Blocked","Blocked",IF(I72="In progress","In progress",IF(J72&lt;&gt;"Passed","Awaiting code review",IF(OR(K72="",NOT(ISNUMBER(L72))),"Awaiting review evidence",IF(N72&lt;&gt;"Passed","Awaiting test",IF(OR(M72="",O72="",NOT(ISNUMBER(P72))),"Awaiting test evidence","Complete")))))))</f>
        <v/>
      </c>
      <c r="I72" s="10" t="inlineStr">
        <is>
          <t>Not started</t>
        </is>
      </c>
      <c r="J72" s="10" t="inlineStr">
        <is>
          <t>Not reviewed</t>
        </is>
      </c>
      <c r="K72" s="10" t="n"/>
      <c r="L72" s="30" t="n"/>
      <c r="M72" s="10" t="n"/>
      <c r="N72" s="10" t="inlineStr">
        <is>
          <t>Not tested</t>
        </is>
      </c>
      <c r="O72" s="10" t="n"/>
      <c r="P72" s="30" t="n"/>
      <c r="Q72" s="10" t="inlineStr">
        <is>
          <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t>
        </is>
      </c>
      <c r="R72" s="10" t="inlineStr">
        <is>
          <t>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72" s="10" t="n"/>
    </row>
    <row r="73" ht="105" customHeight="1">
      <c r="A73" s="9" t="n">
        <v>70</v>
      </c>
      <c r="B73" s="9" t="inlineStr">
        <is>
          <t>FB-070</t>
        </is>
      </c>
      <c r="C73" s="9" t="inlineStr">
        <is>
          <t>Super Admin recovery — LAST</t>
        </is>
      </c>
      <c r="D73" s="9" t="inlineStr">
        <is>
          <t>Implement server-only recovery after all other work</t>
        </is>
      </c>
      <c r="E73" s="9" t="inlineStr">
        <is>
          <t>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t>
        </is>
      </c>
      <c r="F73" s="9" t="inlineStr">
        <is>
          <t>FB-069</t>
        </is>
      </c>
      <c r="G73" s="9">
        <f>IF(H73="Complete","Complete",IF(I73="Blocked","Blocked",IF(I73="In progress","Ready",IF(F73="","Ready",IF(COUNTIFS($B$4:$B$73,F73,$H$4:$H$73,"Complete")=1,"Ready","Waiting")))))</f>
        <v/>
      </c>
      <c r="H73" s="9">
        <f>IF(I73="Not started","Not started",IF(I73="Blocked","Blocked",IF(I73="In progress","In progress",IF(J73&lt;&gt;"Passed","Awaiting code review",IF(OR(K73="",NOT(ISNUMBER(L73))),"Awaiting review evidence",IF(N73&lt;&gt;"Passed","Awaiting test",IF(OR(M73="",O73="",NOT(ISNUMBER(P73))),"Awaiting test evidence","Complete")))))))</f>
        <v/>
      </c>
      <c r="I73" s="11" t="inlineStr">
        <is>
          <t>Not started</t>
        </is>
      </c>
      <c r="J73" s="11" t="inlineStr">
        <is>
          <t>Not reviewed</t>
        </is>
      </c>
      <c r="K73" s="11" t="n"/>
      <c r="L73" s="31" t="n"/>
      <c r="M73" s="11" t="n"/>
      <c r="N73" s="11" t="inlineStr">
        <is>
          <t>Not tested</t>
        </is>
      </c>
      <c r="O73" s="11" t="n"/>
      <c r="P73" s="31" t="n"/>
      <c r="Q73" s="11" t="n"/>
      <c r="R73" s="11" t="inlineStr">
        <is>
          <t>Before starting this item or feature: reread AGENTS.md from disk; apply its teaching and testing rules.
Next: Start this item after the previous item is complete.</t>
        </is>
      </c>
      <c r="S73" s="11" t="n"/>
    </row>
  </sheetData>
  <mergeCells count="1">
    <mergeCell ref="A1:H1"/>
  </mergeCells>
  <conditionalFormatting sqref="H4:H73">
    <cfRule type="containsText" priority="1" operator="containsText" dxfId="0" text="Complete"/>
    <cfRule type="containsText" priority="3" operator="containsText" dxfId="2" text="Blocked"/>
  </conditionalFormatting>
  <conditionalFormatting sqref="G4:G73">
    <cfRule type="containsText" priority="2" operator="containsText" dxfId="1" text="Ready"/>
  </conditionalFormatting>
  <dataValidations count="4">
    <dataValidation sqref="I4:I73" showDropDown="0" showInputMessage="0" showErrorMessage="0" allowBlank="0" type="list">
      <formula1>"Not started,In progress,Ready for review,Blocked"</formula1>
    </dataValidation>
    <dataValidation sqref="J4:J73" showDropDown="0" showInputMessage="0" showErrorMessage="0" allowBlank="0" type="list">
      <formula1>"Not reviewed,Changes needed,Passed"</formula1>
    </dataValidation>
    <dataValidation sqref="M4:M73" showDropDown="0" showInputMessage="0" showErrorMessage="0" allowBlank="0" type="list">
      <formula1>"Developer,Assistant (delegated)"</formula1>
    </dataValidation>
    <dataValidation sqref="N4:N73" showDropDown="0" showInputMessage="0" showErrorMessage="0" allowBlank="0" type="list">
      <formula1>"Not tested,Failed,Passed"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187E80"/>
    <outlinePr summaryBelow="1" summaryRight="1"/>
    <pageSetUpPr/>
  </sheetPr>
  <dimension ref="A1:F189"/>
  <sheetViews>
    <sheetView showGridLines="0" workbookViewId="0">
      <pane xSplit="1" ySplit="3" topLeftCell="B4" activePane="bottomRight" state="frozen"/>
      <selection activeCell="A1" sqref="A1"/>
    </sheetView>
  </sheetViews>
  <sheetFormatPr baseColWidth="8" defaultRowHeight="15"/>
  <cols>
    <col width="13" customWidth="1" min="1" max="1"/>
    <col width="29" customWidth="1" min="2" max="2"/>
    <col width="20" customWidth="1" min="3" max="3"/>
    <col width="110" customWidth="1" min="4" max="4"/>
    <col width="28" customWidth="1" min="5" max="5"/>
    <col width="17" customWidth="1" min="6" max="6"/>
  </cols>
  <sheetData>
    <row r="1" ht="28" customHeight="1">
      <c r="A1" s="2" t="inlineStr">
        <is>
          <t>FoodBank requirements and scope</t>
        </is>
      </c>
    </row>
    <row r="2" ht="28" customHeight="1">
      <c r="A2" s="23" t="inlineStr">
        <is>
          <t>Full agreed rules. Filter by area or scope; related FB IDs refer to Stories. ##FUTURE is deferred, not approved implementation.</t>
        </is>
      </c>
    </row>
    <row r="3" ht="28" customHeight="1">
      <c r="A3" s="27" t="inlineStr">
        <is>
          <t>Rule ID</t>
        </is>
      </c>
      <c r="B3" s="27" t="inlineStr">
        <is>
          <t>Area</t>
        </is>
      </c>
      <c r="C3" s="27" t="inlineStr">
        <is>
          <t>Scope</t>
        </is>
      </c>
      <c r="D3" s="27" t="inlineStr">
        <is>
          <t>Detailed rule</t>
        </is>
      </c>
      <c r="E3" s="27" t="inlineStr">
        <is>
          <t>Related learning items</t>
        </is>
      </c>
      <c r="F3" s="27" t="inlineStr">
        <is>
          <t>First item location</t>
        </is>
      </c>
    </row>
    <row r="4" ht="52" customHeight="1">
      <c r="A4" s="4" t="inlineStr">
        <is>
          <t>REQ-001</t>
        </is>
      </c>
      <c r="B4" s="4" t="inlineStr">
        <is>
          <t>Planning status</t>
        </is>
      </c>
      <c r="C4" s="4" t="inlineStr">
        <is>
          <t>Project context</t>
        </is>
      </c>
      <c r="D4" s="4" t="inlineStr">
        <is>
          <t>Inventory planning is complete, including its verification checklist.</t>
        </is>
      </c>
      <c r="E4" s="4" t="inlineStr">
        <is>
          <t>All current items</t>
        </is>
      </c>
      <c r="F4" s="4" t="inlineStr">
        <is>
          <t>Stories!B4</t>
        </is>
      </c>
    </row>
    <row r="5" ht="52" customHeight="1">
      <c r="A5" s="28" t="inlineStr">
        <is>
          <t>REQ-002</t>
        </is>
      </c>
      <c r="B5" s="28" t="inlineStr">
        <is>
          <t>Planning status</t>
        </is>
      </c>
      <c r="C5" s="28" t="inlineStr">
        <is>
          <t>Project context</t>
        </is>
      </c>
      <c r="D5" s="28" t="inlineStr">
        <is>
          <t>Account-management planning questions are complete. Implementation is underway; the connected account-creation feature is not yet fully reviewed or verified.</t>
        </is>
      </c>
      <c r="E5" s="28" t="inlineStr">
        <is>
          <t>All current items</t>
        </is>
      </c>
      <c r="F5" s="28" t="inlineStr">
        <is>
          <t>Stories!B4</t>
        </is>
      </c>
    </row>
    <row r="6" ht="52" customHeight="1">
      <c r="A6" s="4" t="inlineStr">
        <is>
          <t>REQ-003</t>
        </is>
      </c>
      <c r="B6" s="4" t="inlineStr">
        <is>
          <t>Planning status</t>
        </is>
      </c>
      <c r="C6" s="4" t="inlineStr">
        <is>
          <t>Project context</t>
        </is>
      </c>
      <c r="D6" s="4" t="inlineStr">
        <is>
          <t>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t>
        </is>
      </c>
      <c r="E6" s="4" t="inlineStr">
        <is>
          <t>All current items</t>
        </is>
      </c>
      <c r="F6" s="4" t="inlineStr">
        <is>
          <t>Stories!B4</t>
        </is>
      </c>
    </row>
    <row r="7" ht="52" customHeight="1">
      <c r="A7" s="28" t="inlineStr">
        <is>
          <t>REQ-004</t>
        </is>
      </c>
      <c r="B7" s="28" t="inlineStr">
        <is>
          <t>Planning status</t>
        </is>
      </c>
      <c r="C7" s="28" t="inlineStr">
        <is>
          <t>Project context</t>
        </is>
      </c>
      <c r="D7" s="28" t="inlineStr">
        <is>
          <t>Learning is the immediate priority, especially Vue, Inertia, and Tailwind.</t>
        </is>
      </c>
      <c r="E7" s="28" t="inlineStr">
        <is>
          <t>All current items</t>
        </is>
      </c>
      <c r="F7" s="28" t="inlineStr">
        <is>
          <t>Stories!B4</t>
        </is>
      </c>
    </row>
    <row r="8" ht="52" customHeight="1">
      <c r="A8" s="4" t="inlineStr">
        <is>
          <t>REQ-005</t>
        </is>
      </c>
      <c r="B8" s="4" t="inlineStr">
        <is>
          <t>Planning status</t>
        </is>
      </c>
      <c r="C8" s="4" t="inlineStr">
        <is>
          <t>Project context</t>
        </is>
      </c>
      <c r="D8" s="4" t="inlineStr">
        <is>
          <t>The long-term goal is a fully functional foodbank management system.</t>
        </is>
      </c>
      <c r="E8" s="4" t="inlineStr">
        <is>
          <t>All current items</t>
        </is>
      </c>
      <c r="F8" s="4" t="inlineStr">
        <is>
          <t>Stories!B4</t>
        </is>
      </c>
    </row>
    <row r="9" ht="52" customHeight="1">
      <c r="A9" s="28" t="inlineStr">
        <is>
          <t>REQ-006</t>
        </is>
      </c>
      <c r="B9" s="28" t="inlineStr">
        <is>
          <t>Planning status</t>
        </is>
      </c>
      <c r="C9" s="28" t="inlineStr">
        <is>
          <t>Project context</t>
        </is>
      </c>
      <c r="D9" s="28" t="inlineStr">
        <is>
          <t>Record further features as agreed; suggestions are not approved scope.</t>
        </is>
      </c>
      <c r="E9" s="28" t="inlineStr">
        <is>
          <t>All current items</t>
        </is>
      </c>
      <c r="F9" s="28" t="inlineStr">
        <is>
          <t>Stories!B4</t>
        </is>
      </c>
    </row>
    <row r="10" ht="61" customHeight="1">
      <c r="A10" s="4" t="inlineStr">
        <is>
          <t>REQ-007</t>
        </is>
      </c>
      <c r="B10" s="4" t="inlineStr">
        <is>
          <t>First-version boundary</t>
        </is>
      </c>
      <c r="C10" s="4" t="inlineStr">
        <is>
          <t>Current scope</t>
        </is>
      </c>
      <c r="D10" s="4" t="inlineStr">
        <is>
          <t>The first version includes the agreed account-management features: shared login and permissions, manager and volunteer records, search, filters, pagination, and password setup, changes, and assisted resets.</t>
        </is>
      </c>
      <c r="E10" s="4" t="inlineStr">
        <is>
          <t>All current items</t>
        </is>
      </c>
      <c r="F10" s="4" t="inlineStr">
        <is>
          <t>Stories!B4</t>
        </is>
      </c>
    </row>
    <row r="11" ht="52" customHeight="1">
      <c r="A11" s="28" t="inlineStr">
        <is>
          <t>REQ-008</t>
        </is>
      </c>
      <c r="B11" s="28" t="inlineStr">
        <is>
          <t>First-version boundary</t>
        </is>
      </c>
      <c r="C11" s="28" t="inlineStr">
        <is>
          <t>Current scope</t>
        </is>
      </c>
      <c r="D11" s="28" t="inlineStr">
        <is>
          <t>Inventory management is included in the first version; its scope and verification checklist are agreed.</t>
        </is>
      </c>
      <c r="E11" s="28" t="inlineStr">
        <is>
          <t>All current items</t>
        </is>
      </c>
      <c r="F11" s="28" t="inlineStr">
        <is>
          <t>Stories!B4</t>
        </is>
      </c>
    </row>
    <row r="12" ht="52" customHeight="1">
      <c r="A12" s="4" t="inlineStr">
        <is>
          <t>REQ-009</t>
        </is>
      </c>
      <c r="B12" s="4" t="inlineStr">
        <is>
          <t>First-version boundary</t>
        </is>
      </c>
      <c r="C12" s="4" t="inlineStr">
        <is>
          <t>##FUTURE</t>
        </is>
      </c>
      <c r="D12" s="4" t="inlineStr">
        <is>
          <t>Household management and appointment management remain future modules.</t>
        </is>
      </c>
      <c r="E12" s="4" t="inlineStr">
        <is>
          <t>Deferred — no current item</t>
        </is>
      </c>
      <c r="F12" s="4" t="inlineStr">
        <is>
          <t>Deferred</t>
        </is>
      </c>
    </row>
    <row r="13" ht="106" customHeight="1">
      <c r="A13" s="28" t="inlineStr">
        <is>
          <t>REQ-010</t>
        </is>
      </c>
      <c r="B13" s="28" t="inlineStr">
        <is>
          <t>First-version boundary</t>
        </is>
      </c>
      <c r="C13" s="28" t="inlineStr">
        <is>
          <t>Current scope</t>
        </is>
      </c>
      <c r="D13" s="28" t="inlineStr">
        <is>
          <t>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t>
        </is>
      </c>
      <c r="E13" s="28" t="inlineStr">
        <is>
          <t>FB-057–FB-064</t>
        </is>
      </c>
      <c r="F13" s="28" t="inlineStr">
        <is>
          <t>Stories!B63</t>
        </is>
      </c>
    </row>
    <row r="14" ht="52" customHeight="1">
      <c r="A14" s="4" t="inlineStr">
        <is>
          <t>REQ-011</t>
        </is>
      </c>
      <c r="B14" s="4" t="inlineStr">
        <is>
          <t>First-version boundary</t>
        </is>
      </c>
      <c r="C14" s="4" t="inlineStr">
        <is>
          <t>Current scope</t>
        </is>
      </c>
      <c r="D14" s="4" t="inlineStr">
        <is>
          <t>Feature decisions are agreed. Review the complete scope, then choose the build order. Technical implementation details will be explained in lessons.</t>
        </is>
      </c>
      <c r="E14" s="4" t="inlineStr">
        <is>
          <t>All current items</t>
        </is>
      </c>
      <c r="F14" s="4" t="inlineStr">
        <is>
          <t>Stories!B4</t>
        </is>
      </c>
    </row>
    <row r="15" ht="52" customHeight="1">
      <c r="A15" s="28" t="inlineStr">
        <is>
          <t>REQ-012</t>
        </is>
      </c>
      <c r="B15" s="28" t="inlineStr">
        <is>
          <t>Design and teaching approach</t>
        </is>
      </c>
      <c r="C15" s="28" t="inlineStr">
        <is>
          <t>Project context</t>
        </is>
      </c>
      <c r="D15" s="28" t="inlineStr">
        <is>
          <t>Plan toward a fully functional foodbank management system while implementing only the agreed current learning scope.</t>
        </is>
      </c>
      <c r="E15" s="28" t="inlineStr">
        <is>
          <t>All current items</t>
        </is>
      </c>
      <c r="F15" s="28" t="inlineStr">
        <is>
          <t>Stories!B4</t>
        </is>
      </c>
    </row>
    <row r="16" ht="52" customHeight="1">
      <c r="A16" s="4" t="inlineStr">
        <is>
          <t>REQ-013</t>
        </is>
      </c>
      <c r="B16" s="4" t="inlineStr">
        <is>
          <t>Design and teaching approach</t>
        </is>
      </c>
      <c r="C16" s="4" t="inlineStr">
        <is>
          <t>Project context</t>
        </is>
      </c>
      <c r="D16" s="4" t="inlineStr">
        <is>
          <t>Discuss the complete system's responsibilities and connections as feature discovery progresses. The full design is not finalized yet.</t>
        </is>
      </c>
      <c r="E16" s="4" t="inlineStr">
        <is>
          <t>All current items</t>
        </is>
      </c>
      <c r="F16" s="4" t="inlineStr">
        <is>
          <t>Stories!B4</t>
        </is>
      </c>
    </row>
    <row r="17" ht="52" customHeight="1">
      <c r="A17" s="28" t="inlineStr">
        <is>
          <t>REQ-014</t>
        </is>
      </c>
      <c r="B17" s="28" t="inlineStr">
        <is>
          <t>Design and teaching approach</t>
        </is>
      </c>
      <c r="C17" s="28" t="inlineStr">
        <is>
          <t>Project context</t>
        </is>
      </c>
      <c r="D17" s="28" t="inlineStr">
        <is>
          <t>Keep current features able to connect to future household, appointment, and volunteer workflows without building those workflows prematurely.</t>
        </is>
      </c>
      <c r="E17" s="28" t="inlineStr">
        <is>
          <t>All current items</t>
        </is>
      </c>
      <c r="F17" s="28" t="inlineStr">
        <is>
          <t>Stories!B4</t>
        </is>
      </c>
    </row>
    <row r="18" ht="52" customHeight="1">
      <c r="A18" s="4" t="inlineStr">
        <is>
          <t>REQ-015</t>
        </is>
      </c>
      <c r="B18" s="4" t="inlineStr">
        <is>
          <t>Design and teaching approach</t>
        </is>
      </c>
      <c r="C18" s="4" t="inlineStr">
        <is>
          <t>Project context</t>
        </is>
      </c>
      <c r="D18" s="4" t="inlineStr">
        <is>
          <t>Choose simple structures with clear responsibilities. Do not add speculative tables, complex abstractions, or unused functionality solely for possible future requirements.</t>
        </is>
      </c>
      <c r="E18" s="4" t="inlineStr">
        <is>
          <t>All current items</t>
        </is>
      </c>
      <c r="F18" s="4" t="inlineStr">
        <is>
          <t>Stories!B4</t>
        </is>
      </c>
    </row>
    <row r="19" ht="52" customHeight="1">
      <c r="A19" s="28" t="inlineStr">
        <is>
          <t>REQ-016</t>
        </is>
      </c>
      <c r="B19" s="28" t="inlineStr">
        <is>
          <t>Design and teaching approach</t>
        </is>
      </c>
      <c r="C19" s="28" t="inlineStr">
        <is>
          <t>Project context</t>
        </is>
      </c>
      <c r="D19" s="28" t="inlineStr">
        <is>
          <t>Revisit data relationships, permissions, and record-retention needs when agreeing each feature, especially where future records may depend on today's data.</t>
        </is>
      </c>
      <c r="E19" s="28" t="inlineStr">
        <is>
          <t>All current items</t>
        </is>
      </c>
      <c r="F19" s="28" t="inlineStr">
        <is>
          <t>Stories!B4</t>
        </is>
      </c>
    </row>
    <row r="20" ht="52" customHeight="1">
      <c r="A20" s="4" t="inlineStr">
        <is>
          <t>REQ-017</t>
        </is>
      </c>
      <c r="B20" s="4" t="inlineStr">
        <is>
          <t>Design and teaching approach</t>
        </is>
      </c>
      <c r="C20" s="4" t="inlineStr">
        <is>
          <t>Project context</t>
        </is>
      </c>
      <c r="D20" s="4" t="inlineStr">
        <is>
          <t>Teach one small step at a time, emphasizing Vue, Inertia, and Tailwind.</t>
        </is>
      </c>
      <c r="E20" s="4" t="inlineStr">
        <is>
          <t>All current items</t>
        </is>
      </c>
      <c r="F20" s="4" t="inlineStr">
        <is>
          <t>Stories!B4</t>
        </is>
      </c>
    </row>
    <row r="21" ht="52" customHeight="1">
      <c r="A21" s="28" t="inlineStr">
        <is>
          <t>REQ-018</t>
        </is>
      </c>
      <c r="B21" s="28" t="inlineStr">
        <is>
          <t>Design and teaching approach</t>
        </is>
      </c>
      <c r="C21" s="28" t="inlineStr">
        <is>
          <t>Project context</t>
        </is>
      </c>
      <c r="D21" s="28" t="inlineStr">
        <is>
          <t>Mark deferred work with ##FUTURE. A future entry records direction; it does not authorize implementation or approve unspecified details.</t>
        </is>
      </c>
      <c r="E21" s="28" t="inlineStr">
        <is>
          <t>All current items</t>
        </is>
      </c>
      <c r="F21" s="28" t="inlineStr">
        <is>
          <t>Stories!B4</t>
        </is>
      </c>
    </row>
    <row r="22" ht="52" customHeight="1">
      <c r="A22" s="4" t="inlineStr">
        <is>
          <t>REQ-019</t>
        </is>
      </c>
      <c r="B22" s="4" t="inlineStr">
        <is>
          <t>1. Roles and account creation</t>
        </is>
      </c>
      <c r="C22" s="4" t="inlineStr">
        <is>
          <t>Current scope</t>
        </is>
      </c>
      <c r="D22" s="4" t="inlineStr">
        <is>
          <t>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t>
        </is>
      </c>
      <c r="E22" s="4" t="inlineStr">
        <is>
          <t>FB-004, FB-016, FB-018, FB-019</t>
        </is>
      </c>
      <c r="F22" s="4" t="inlineStr">
        <is>
          <t>Stories!B7</t>
        </is>
      </c>
    </row>
    <row r="23" ht="52" customHeight="1">
      <c r="A23" s="28" t="inlineStr">
        <is>
          <t>REQ-020</t>
        </is>
      </c>
      <c r="B23" s="28" t="inlineStr">
        <is>
          <t>1. Roles and account creation</t>
        </is>
      </c>
      <c r="C23" s="28" t="inlineStr">
        <is>
          <t>Current scope</t>
        </is>
      </c>
      <c r="D23" s="28" t="inlineStr">
        <is>
          <t>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t>
        </is>
      </c>
      <c r="E23" s="28" t="inlineStr">
        <is>
          <t>FB-004, FB-019, FB-021</t>
        </is>
      </c>
      <c r="F23" s="28" t="inlineStr">
        <is>
          <t>Stories!B7</t>
        </is>
      </c>
    </row>
    <row r="24" ht="52" customHeight="1">
      <c r="A24" s="4" t="inlineStr">
        <is>
          <t>REQ-021</t>
        </is>
      </c>
      <c r="B24" s="4" t="inlineStr">
        <is>
          <t>1. Roles and account creation</t>
        </is>
      </c>
      <c r="C24" s="4" t="inlineStr">
        <is>
          <t>Current scope</t>
        </is>
      </c>
      <c r="D24" s="4"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24" s="4" t="inlineStr">
        <is>
          <t>FB-021</t>
        </is>
      </c>
      <c r="F24" s="4" t="inlineStr">
        <is>
          <t>Stories!B25</t>
        </is>
      </c>
    </row>
    <row r="25" ht="52" customHeight="1">
      <c r="A25" s="28" t="inlineStr">
        <is>
          <t>REQ-022</t>
        </is>
      </c>
      <c r="B25" s="28" t="inlineStr">
        <is>
          <t>1. Roles and account creation</t>
        </is>
      </c>
      <c r="C25" s="28" t="inlineStr">
        <is>
          <t>Current scope</t>
        </is>
      </c>
      <c r="D25" s="28" t="inlineStr">
        <is>
          <t>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E25" s="28" t="inlineStr">
        <is>
          <t>FB-004, FB-019</t>
        </is>
      </c>
      <c r="F25" s="28" t="inlineStr">
        <is>
          <t>Stories!B7</t>
        </is>
      </c>
    </row>
    <row r="26" ht="52" customHeight="1">
      <c r="A26" s="4" t="inlineStr">
        <is>
          <t>REQ-023</t>
        </is>
      </c>
      <c r="B26" s="4" t="inlineStr">
        <is>
          <t>1. Roles and account creation</t>
        </is>
      </c>
      <c r="C26" s="4" t="inlineStr">
        <is>
          <t>Current scope</t>
        </is>
      </c>
      <c r="D26" s="4" t="inlineStr">
        <is>
          <t>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t>
        </is>
      </c>
      <c r="E26" s="4" t="inlineStr">
        <is>
          <t>FB-004, FB-006–FB-007, FB-019</t>
        </is>
      </c>
      <c r="F26" s="4" t="inlineStr">
        <is>
          <t>Stories!B7</t>
        </is>
      </c>
    </row>
    <row r="27" ht="52" customHeight="1">
      <c r="A27" s="28" t="inlineStr">
        <is>
          <t>REQ-024</t>
        </is>
      </c>
      <c r="B27" s="28" t="inlineStr">
        <is>
          <t>1. Roles and account creation</t>
        </is>
      </c>
      <c r="C27" s="28" t="inlineStr">
        <is>
          <t>Current scope</t>
        </is>
      </c>
      <c r="D27" s="28" t="inlineStr">
        <is>
          <t>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7" s="28" t="inlineStr">
        <is>
          <t>FB-016–FB-023, FB-025</t>
        </is>
      </c>
      <c r="F27" s="28" t="inlineStr">
        <is>
          <t>Stories!B9</t>
        </is>
      </c>
    </row>
    <row r="28" ht="52" customHeight="1">
      <c r="A28" s="4" t="inlineStr">
        <is>
          <t>REQ-025</t>
        </is>
      </c>
      <c r="B28" s="4" t="inlineStr">
        <is>
          <t>1. Roles and account creation</t>
        </is>
      </c>
      <c r="C28" s="4" t="inlineStr">
        <is>
          <t>Current scope</t>
        </is>
      </c>
      <c r="D28" s="4" t="inlineStr">
        <is>
          <t>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8" s="4" t="inlineStr">
        <is>
          <t>FB-016–FB-023, FB-025</t>
        </is>
      </c>
      <c r="F28" s="4" t="inlineStr">
        <is>
          <t>Stories!B9</t>
        </is>
      </c>
    </row>
    <row r="29" ht="52" customHeight="1">
      <c r="A29" s="28" t="inlineStr">
        <is>
          <t>REQ-026</t>
        </is>
      </c>
      <c r="B29" s="28" t="inlineStr">
        <is>
          <t>1. Roles and account creation</t>
        </is>
      </c>
      <c r="C29" s="28" t="inlineStr">
        <is>
          <t>Current scope</t>
        </is>
      </c>
      <c r="D29" s="28" t="inlineStr">
        <is>
          <t>Public self-registration is unavailable. Only the Super Admin and managers can create accounts, within the permissions above.</t>
        </is>
      </c>
      <c r="E29" s="28" t="inlineStr">
        <is>
          <t>FB-004, FB-019</t>
        </is>
      </c>
      <c r="F29" s="28" t="inlineStr">
        <is>
          <t>Stories!B7</t>
        </is>
      </c>
    </row>
    <row r="30" ht="52" customHeight="1">
      <c r="A30" s="4" t="inlineStr">
        <is>
          <t>REQ-027</t>
        </is>
      </c>
      <c r="B30" s="4" t="inlineStr">
        <is>
          <t>1. Roles and account creation</t>
        </is>
      </c>
      <c r="C30" s="4" t="inlineStr">
        <is>
          <t>Current scope</t>
        </is>
      </c>
      <c r="D30" s="4" t="inlineStr">
        <is>
          <t>Self-service editing of one's own name, email, or phone is excluded from the current scope. Users can still change their own password.</t>
        </is>
      </c>
      <c r="E30" s="4" t="inlineStr">
        <is>
          <t>FB-017, FB-019, FB-021</t>
        </is>
      </c>
      <c r="F30" s="4" t="inlineStr">
        <is>
          <t>Stories!B10</t>
        </is>
      </c>
    </row>
    <row r="31" ht="52" customHeight="1">
      <c r="A31" s="28" t="inlineStr">
        <is>
          <t>REQ-028</t>
        </is>
      </c>
      <c r="B31" s="28" t="inlineStr">
        <is>
          <t>1. Roles and account creation</t>
        </is>
      </c>
      <c r="C31" s="28" t="inlineStr">
        <is>
          <t>Current scope</t>
        </is>
      </c>
      <c r="D31" s="28" t="inlineStr">
        <is>
          <t>User creation and editing each have their own page, rather than pop-up forms.
2026-10-26 approved create-form design: wrap fields in a named card; two columns on wider screens and one on narrow screens.</t>
        </is>
      </c>
      <c r="E31" s="28" t="inlineStr">
        <is>
          <t>FB-016–FB-023, FB-025</t>
        </is>
      </c>
      <c r="F31" s="28" t="inlineStr">
        <is>
          <t>Stories!B9</t>
        </is>
      </c>
    </row>
    <row r="32" ht="52" customHeight="1">
      <c r="A32" s="4" t="inlineStr">
        <is>
          <t>REQ-029</t>
        </is>
      </c>
      <c r="B32" s="4" t="inlineStr">
        <is>
          <t>1. Roles and account creation</t>
        </is>
      </c>
      <c r="C32" s="4" t="inlineStr">
        <is>
          <t>Current scope</t>
        </is>
      </c>
      <c r="D32" s="4" t="inlineStr">
        <is>
          <t>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t>
        </is>
      </c>
      <c r="E32" s="4" t="inlineStr">
        <is>
          <t>FB-019, FB-020, FB-021, FB-025</t>
        </is>
      </c>
      <c r="F32" s="4" t="inlineStr">
        <is>
          <t>Stories!B13</t>
        </is>
      </c>
    </row>
    <row r="33" ht="61" customHeight="1">
      <c r="A33" s="28" t="inlineStr">
        <is>
          <t>REQ-030</t>
        </is>
      </c>
      <c r="B33" s="28" t="inlineStr">
        <is>
          <t>1. Roles and account creation</t>
        </is>
      </c>
      <c r="C33" s="28" t="inlineStr">
        <is>
          <t>Current scope</t>
        </is>
      </c>
      <c r="D33" s="28" t="inlineStr">
        <is>
          <t>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t>
        </is>
      </c>
      <c r="E33" s="28" t="inlineStr">
        <is>
          <t>FB-016–FB-023, FB-025</t>
        </is>
      </c>
      <c r="F33" s="28" t="inlineStr">
        <is>
          <t>Stories!B9</t>
        </is>
      </c>
    </row>
    <row r="34" ht="52" customHeight="1">
      <c r="A34" s="4" t="inlineStr">
        <is>
          <t>REQ-031</t>
        </is>
      </c>
      <c r="B34" s="4" t="inlineStr">
        <is>
          <t>1. Roles and account creation</t>
        </is>
      </c>
      <c r="C34" s="4" t="inlineStr">
        <is>
          <t>##FUTURE</t>
        </is>
      </c>
      <c r="D34" s="4" t="inlineStr">
        <is>
          <t>##FUTURE Self-service profile editing.</t>
        </is>
      </c>
      <c r="E34" s="4" t="inlineStr">
        <is>
          <t>Deferred — no current item</t>
        </is>
      </c>
      <c r="F34" s="4" t="inlineStr">
        <is>
          <t>Deferred</t>
        </is>
      </c>
    </row>
    <row r="35" ht="52" customHeight="1">
      <c r="A35" s="28" t="inlineStr">
        <is>
          <t>REQ-032</t>
        </is>
      </c>
      <c r="B35" s="28" t="inlineStr">
        <is>
          <t>1. Roles and account creation</t>
        </is>
      </c>
      <c r="C35" s="28" t="inlineStr">
        <is>
          <t>Current scope</t>
        </is>
      </c>
      <c r="D35" s="28" t="inlineStr">
        <is>
          <t>Manager accounts use the same mandatory fields and username rules as volunteers, including username regeneration after name changes.</t>
        </is>
      </c>
      <c r="E35" s="28" t="inlineStr">
        <is>
          <t>FB-016–FB-023, FB-025</t>
        </is>
      </c>
      <c r="F35" s="28" t="inlineStr">
        <is>
          <t>Stories!B9</t>
        </is>
      </c>
    </row>
    <row r="36" ht="52" customHeight="1">
      <c r="A36" s="4" t="inlineStr">
        <is>
          <t>REQ-033</t>
        </is>
      </c>
      <c r="B36" s="4" t="inlineStr">
        <is>
          <t>1. Roles and account creation</t>
        </is>
      </c>
      <c r="C36" s="4" t="inlineStr">
        <is>
          <t>Current scope</t>
        </is>
      </c>
      <c r="D36" s="4" t="inlineStr">
        <is>
          <t>New managers follow the same initial password-change process as volunteers.</t>
        </is>
      </c>
      <c r="E36" s="4" t="inlineStr">
        <is>
          <t>FB-006–FB-007, FB-019</t>
        </is>
      </c>
      <c r="F36" s="4" t="inlineStr">
        <is>
          <t>Stories!B14</t>
        </is>
      </c>
    </row>
    <row r="37" ht="52" customHeight="1">
      <c r="A37" s="28" t="inlineStr">
        <is>
          <t>REQ-034</t>
        </is>
      </c>
      <c r="B37" s="28" t="inlineStr">
        <is>
          <t>1. Roles and account creation</t>
        </is>
      </c>
      <c r="C37" s="28" t="inlineStr">
        <is>
          <t>Current scope</t>
        </is>
      </c>
      <c r="D37" s="28" t="inlineStr">
        <is>
          <t>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37" s="28" t="inlineStr">
        <is>
          <t>FB-016–FB-023, FB-025</t>
        </is>
      </c>
      <c r="F37" s="28" t="inlineStr">
        <is>
          <t>Stories!B9</t>
        </is>
      </c>
    </row>
    <row r="38" ht="52" customHeight="1">
      <c r="A38" s="4" t="inlineStr">
        <is>
          <t>REQ-035</t>
        </is>
      </c>
      <c r="B38" s="4" t="inlineStr">
        <is>
          <t>1. Roles and account creation</t>
        </is>
      </c>
      <c r="C38" s="4" t="inlineStr">
        <is>
          <t>Current scope</t>
        </is>
      </c>
      <c r="D38" s="4" t="inlineStr">
        <is>
          <t>Email addresses must be unique across all users and roles. Creating or updating an account cannot use another account's email address.</t>
        </is>
      </c>
      <c r="E38" s="4" t="inlineStr">
        <is>
          <t>FB-016–FB-023, FB-025</t>
        </is>
      </c>
      <c r="F38" s="4" t="inlineStr">
        <is>
          <t>Stories!B9</t>
        </is>
      </c>
    </row>
    <row r="39" ht="52" customHeight="1">
      <c r="A39" s="28" t="inlineStr">
        <is>
          <t>REQ-036</t>
        </is>
      </c>
      <c r="B39" s="28" t="inlineStr">
        <is>
          <t>1. Roles and account creation</t>
        </is>
      </c>
      <c r="C39" s="28" t="inlineStr">
        <is>
          <t>Current scope</t>
        </is>
      </c>
      <c r="D39" s="28" t="inlineStr">
        <is>
          <t>Phone numbers are mandatory and may be shared by multiple users; they are not unique. Use Canadian phone-number formatting.</t>
        </is>
      </c>
      <c r="E39" s="28" t="inlineStr">
        <is>
          <t>FB-017, FB-019, FB-021</t>
        </is>
      </c>
      <c r="F39" s="28" t="inlineStr">
        <is>
          <t>Stories!B10</t>
        </is>
      </c>
    </row>
    <row r="40" ht="52" customHeight="1">
      <c r="A40" s="4" t="inlineStr">
        <is>
          <t>REQ-037</t>
        </is>
      </c>
      <c r="B40" s="4" t="inlineStr">
        <is>
          <t>1. Roles and account creation</t>
        </is>
      </c>
      <c r="C40" s="4" t="inlineStr">
        <is>
          <t>Current scope</t>
        </is>
      </c>
      <c r="D40" s="4" t="inlineStr">
        <is>
          <t>Phone input and display must use the format +1 506-555-0123: +1, a space, and the remaining digits grouped with hyphens.</t>
        </is>
      </c>
      <c r="E40" s="4" t="inlineStr">
        <is>
          <t>FB-017, FB-019, FB-021</t>
        </is>
      </c>
      <c r="F40" s="4" t="inlineStr">
        <is>
          <t>Stories!B10</t>
        </is>
      </c>
    </row>
    <row r="41" ht="52" customHeight="1">
      <c r="A41" s="28" t="inlineStr">
        <is>
          <t>REQ-038</t>
        </is>
      </c>
      <c r="B41" s="28" t="inlineStr">
        <is>
          <t>1. Roles and account creation</t>
        </is>
      </c>
      <c r="C41" s="28" t="inlineStr">
        <is>
          <t>Current scope</t>
        </is>
      </c>
      <c r="D41" s="28" t="inlineStr">
        <is>
          <t>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t>
        </is>
      </c>
      <c r="E41" s="28" t="inlineStr">
        <is>
          <t>FB-017, FB-019, FB-021</t>
        </is>
      </c>
      <c r="F41" s="28" t="inlineStr">
        <is>
          <t>Stories!B10</t>
        </is>
      </c>
    </row>
    <row r="42" ht="52" customHeight="1">
      <c r="A42" s="4" t="inlineStr">
        <is>
          <t>REQ-039</t>
        </is>
      </c>
      <c r="B42" s="4" t="inlineStr">
        <is>
          <t>1. Roles and account creation</t>
        </is>
      </c>
      <c r="C42" s="4" t="inlineStr">
        <is>
          <t>##FUTURE</t>
        </is>
      </c>
      <c r="D42" s="4" t="inlineStr">
        <is>
          <t>##FUTURE Additional roles.</t>
        </is>
      </c>
      <c r="E42" s="4" t="inlineStr">
        <is>
          <t>Deferred — no current item</t>
        </is>
      </c>
      <c r="F42" s="4" t="inlineStr">
        <is>
          <t>Deferred</t>
        </is>
      </c>
    </row>
    <row r="43" ht="52" customHeight="1">
      <c r="A43" s="28" t="inlineStr">
        <is>
          <t>REQ-040</t>
        </is>
      </c>
      <c r="B43" s="28" t="inlineStr">
        <is>
          <t>1. Roles and account creation</t>
        </is>
      </c>
      <c r="C43" s="28" t="inlineStr">
        <is>
          <t>Current scope</t>
        </is>
      </c>
      <c r="D43" s="28" t="inlineStr">
        <is>
          <t>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t>
        </is>
      </c>
      <c r="E43" s="28" t="inlineStr">
        <is>
          <t>FB-016–FB-023, FB-025</t>
        </is>
      </c>
      <c r="F43" s="28" t="inlineStr">
        <is>
          <t>Stories!B9</t>
        </is>
      </c>
    </row>
    <row r="44" ht="52" customHeight="1">
      <c r="A44" s="4" t="inlineStr">
        <is>
          <t>REQ-041</t>
        </is>
      </c>
      <c r="B44" s="4" t="inlineStr">
        <is>
          <t>1. Roles and account creation</t>
        </is>
      </c>
      <c r="C44" s="4" t="inlineStr">
        <is>
          <t>Current scope</t>
        </is>
      </c>
      <c r="D44" s="4" t="inlineStr">
        <is>
          <t>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t>
        </is>
      </c>
      <c r="E44" s="4" t="inlineStr">
        <is>
          <t>FB-009–FB-015</t>
        </is>
      </c>
      <c r="F44" s="4" t="inlineStr">
        <is>
          <t>Stories!B17</t>
        </is>
      </c>
    </row>
    <row r="45" ht="52" customHeight="1">
      <c r="A45" s="28" t="inlineStr">
        <is>
          <t>REQ-042</t>
        </is>
      </c>
      <c r="B45" s="28" t="inlineStr">
        <is>
          <t>1. Roles and account creation</t>
        </is>
      </c>
      <c r="C45" s="28" t="inlineStr">
        <is>
          <t>Current scope</t>
        </is>
      </c>
      <c r="D45" s="28" t="inlineStr">
        <is>
          <t>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t>
        </is>
      </c>
      <c r="E45" s="28" t="inlineStr">
        <is>
          <t>FB-009–FB-015</t>
        </is>
      </c>
      <c r="F45" s="28" t="inlineStr">
        <is>
          <t>Stories!B17</t>
        </is>
      </c>
    </row>
    <row r="46" ht="52" customHeight="1">
      <c r="A46" s="4" t="inlineStr">
        <is>
          <t>REQ-043</t>
        </is>
      </c>
      <c r="B46" s="4" t="inlineStr">
        <is>
          <t>1. Roles and account creation</t>
        </is>
      </c>
      <c r="C46" s="4" t="inlineStr">
        <is>
          <t>Current scope</t>
        </is>
      </c>
      <c r="D46" s="4" t="inlineStr">
        <is>
          <t>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46" s="4" t="inlineStr">
        <is>
          <t>FB-005, FB-022</t>
        </is>
      </c>
      <c r="F46" s="4" t="inlineStr">
        <is>
          <t>Stories!B8</t>
        </is>
      </c>
    </row>
    <row r="47" ht="52" customHeight="1">
      <c r="A47" s="28" t="inlineStr">
        <is>
          <t>REQ-044</t>
        </is>
      </c>
      <c r="B47" s="28" t="inlineStr">
        <is>
          <t>1. Roles and account creation</t>
        </is>
      </c>
      <c r="C47" s="28" t="inlineStr">
        <is>
          <t>Current scope</t>
        </is>
      </c>
      <c r="D47" s="28" t="inlineStr">
        <is>
          <t>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t>
        </is>
      </c>
      <c r="E47" s="28" t="inlineStr">
        <is>
          <t>FB-005, FB-022</t>
        </is>
      </c>
      <c r="F47" s="28" t="inlineStr">
        <is>
          <t>Stories!B8</t>
        </is>
      </c>
    </row>
    <row r="48" ht="52" customHeight="1">
      <c r="A48" s="4" t="inlineStr">
        <is>
          <t>REQ-045</t>
        </is>
      </c>
      <c r="B48" s="4" t="inlineStr">
        <is>
          <t>2. Shared login for all roles</t>
        </is>
      </c>
      <c r="C48" s="4" t="inlineStr">
        <is>
          <t>Current scope</t>
        </is>
      </c>
      <c r="D48" s="4" t="inlineStr">
        <is>
          <t>Super Admin, managers, and volunteers use the same login screen.</t>
        </is>
      </c>
      <c r="E48" s="4" t="inlineStr">
        <is>
          <t>FB-002–FB-008</t>
        </is>
      </c>
      <c r="F48" s="4" t="inlineStr">
        <is>
          <t>Stories!B5</t>
        </is>
      </c>
    </row>
    <row r="49" ht="52" customHeight="1">
      <c r="A49" s="28" t="inlineStr">
        <is>
          <t>REQ-046</t>
        </is>
      </c>
      <c r="B49" s="28" t="inlineStr">
        <is>
          <t>2. Shared login for all roles</t>
        </is>
      </c>
      <c r="C49" s="28" t="inlineStr">
        <is>
          <t>Current scope</t>
        </is>
      </c>
      <c r="D49" s="28" t="inlineStr">
        <is>
          <t>The system identifies the account and uses its stored role.</t>
        </is>
      </c>
      <c r="E49" s="28" t="inlineStr">
        <is>
          <t>FB-002–FB-008</t>
        </is>
      </c>
      <c r="F49" s="28" t="inlineStr">
        <is>
          <t>Stories!B5</t>
        </is>
      </c>
    </row>
    <row r="50" ht="52" customHeight="1">
      <c r="A50" s="4" t="inlineStr">
        <is>
          <t>REQ-047</t>
        </is>
      </c>
      <c r="B50" s="4" t="inlineStr">
        <is>
          <t>2. Shared login for all roles</t>
        </is>
      </c>
      <c r="C50" s="4" t="inlineStr">
        <is>
          <t>Current scope</t>
        </is>
      </c>
      <c r="D50" s="4" t="inlineStr">
        <is>
          <t>All three roles can log in using either their username or email in the same login field.</t>
        </is>
      </c>
      <c r="E50" s="4" t="inlineStr">
        <is>
          <t>FB-002–FB-008</t>
        </is>
      </c>
      <c r="F50" s="4" t="inlineStr">
        <is>
          <t>Stories!B5</t>
        </is>
      </c>
    </row>
    <row r="51" ht="52" customHeight="1">
      <c r="A51" s="28" t="inlineStr">
        <is>
          <t>REQ-048</t>
        </is>
      </c>
      <c r="B51" s="28" t="inlineStr">
        <is>
          <t>2. Shared login for all roles</t>
        </is>
      </c>
      <c r="C51" s="28" t="inlineStr">
        <is>
          <t>##FUTURE</t>
        </is>
      </c>
      <c r="D51" s="28"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51" s="28" t="inlineStr">
        <is>
          <t>Deferred — no current item</t>
        </is>
      </c>
      <c r="F51" s="28" t="inlineStr">
        <is>
          <t>Deferred</t>
        </is>
      </c>
    </row>
    <row r="52" ht="61" customHeight="1">
      <c r="A52" s="4" t="inlineStr">
        <is>
          <t>REQ-049</t>
        </is>
      </c>
      <c r="B52" s="4" t="inlineStr">
        <is>
          <t>2. Shared login for all roles</t>
        </is>
      </c>
      <c r="C52" s="4" t="inlineStr">
        <is>
          <t>Current scope</t>
        </is>
      </c>
      <c r="D52" s="4" t="inlineStr">
        <is>
          <t>After normal login, managers land on the volunteer list, the Super Admin on the combined user list, and volunteers on their welcome page. Required initial password setup takes priority over these landing pages.</t>
        </is>
      </c>
      <c r="E52" s="4" t="inlineStr">
        <is>
          <t>FB-002–FB-008</t>
        </is>
      </c>
      <c r="F52" s="4" t="inlineStr">
        <is>
          <t>Stories!B5</t>
        </is>
      </c>
    </row>
    <row r="53" ht="52" customHeight="1">
      <c r="A53" s="28" t="inlineStr">
        <is>
          <t>REQ-050</t>
        </is>
      </c>
      <c r="B53" s="28" t="inlineStr">
        <is>
          <t>3. Basic volunteer data management (initial scope)</t>
        </is>
      </c>
      <c r="C53" s="28" t="inlineStr">
        <is>
          <t>Current scope</t>
        </is>
      </c>
      <c r="D53" s="28" t="inlineStr">
        <is>
          <t>All managers can manage all volunteers, regardless of which manager created the record.</t>
        </is>
      </c>
      <c r="E53" s="28" t="inlineStr">
        <is>
          <t>FB-016–FB-025</t>
        </is>
      </c>
      <c r="F53" s="28" t="inlineStr">
        <is>
          <t>Stories!B9</t>
        </is>
      </c>
    </row>
    <row r="54" ht="52" customHeight="1">
      <c r="A54" s="4" t="inlineStr">
        <is>
          <t>REQ-051</t>
        </is>
      </c>
      <c r="B54" s="4" t="inlineStr">
        <is>
          <t>3. Basic volunteer data management (initial scope)</t>
        </is>
      </c>
      <c r="C54" s="4" t="inlineStr">
        <is>
          <t>Current scope</t>
        </is>
      </c>
      <c r="D54" s="4" t="inlineStr">
        <is>
          <t>Managers can create, view, and update volunteer records, and mark volunteers active or inactive. Deletion is excluded from current scope.</t>
        </is>
      </c>
      <c r="E54" s="4" t="inlineStr">
        <is>
          <t>FB-016–FB-025</t>
        </is>
      </c>
      <c r="F54" s="4" t="inlineStr">
        <is>
          <t>Stories!B9</t>
        </is>
      </c>
    </row>
    <row r="55" ht="52" customHeight="1">
      <c r="A55" s="28" t="inlineStr">
        <is>
          <t>REQ-052</t>
        </is>
      </c>
      <c r="B55" s="28" t="inlineStr">
        <is>
          <t>3. Basic volunteer data management (initial scope)</t>
        </is>
      </c>
      <c r="C55" s="28" t="inlineStr">
        <is>
          <t>Current scope</t>
        </is>
      </c>
      <c r="D55" s="28" t="inlineStr">
        <is>
          <t>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55" s="28" t="inlineStr">
        <is>
          <t>FB-005, FB-022</t>
        </is>
      </c>
      <c r="F55" s="28" t="inlineStr">
        <is>
          <t>Stories!B8</t>
        </is>
      </c>
    </row>
    <row r="56" ht="52" customHeight="1">
      <c r="A56" s="4" t="inlineStr">
        <is>
          <t>REQ-053</t>
        </is>
      </c>
      <c r="B56" s="4" t="inlineStr">
        <is>
          <t>3. Basic volunteer data management (initial scope)</t>
        </is>
      </c>
      <c r="C56" s="4" t="inlineStr">
        <is>
          <t>##FUTURE</t>
        </is>
      </c>
      <c r="D56" s="4" t="inlineStr">
        <is>
          <t>##FUTURE Volunteer deletion. Its behaviour, including whether records are preserved or permanently removed, has not been decided.</t>
        </is>
      </c>
      <c r="E56" s="4" t="inlineStr">
        <is>
          <t>Deferred — no current item</t>
        </is>
      </c>
      <c r="F56" s="4" t="inlineStr">
        <is>
          <t>Deferred</t>
        </is>
      </c>
    </row>
    <row r="57" ht="52" customHeight="1">
      <c r="A57" s="28" t="inlineStr">
        <is>
          <t>REQ-054</t>
        </is>
      </c>
      <c r="B57" s="28" t="inlineStr">
        <is>
          <t>3. Basic volunteer data management (initial scope)</t>
        </is>
      </c>
      <c r="C57" s="28" t="inlineStr">
        <is>
          <t>Current scope</t>
        </is>
      </c>
      <c r="D57" s="28" t="inlineStr">
        <is>
          <t>Required volunteer fields: first name, last name, username, email, phone, and status. All six fields are mandatory.</t>
        </is>
      </c>
      <c r="E57" s="28" t="inlineStr">
        <is>
          <t>FB-018–FB-021</t>
        </is>
      </c>
      <c r="F57" s="28" t="inlineStr">
        <is>
          <t>Stories!B11</t>
        </is>
      </c>
    </row>
    <row r="58" ht="52" customHeight="1">
      <c r="A58" s="4" t="inlineStr">
        <is>
          <t>REQ-055</t>
        </is>
      </c>
      <c r="B58" s="4" t="inlineStr">
        <is>
          <t>3. Basic volunteer data management (initial scope)</t>
        </is>
      </c>
      <c r="C58" s="4" t="inlineStr">
        <is>
          <t>Current scope</t>
        </is>
      </c>
      <c r="D58" s="4" t="inlineStr">
        <is>
          <t>The system generates the username; the manager does not need to enter it when creating a volunteer.</t>
        </is>
      </c>
      <c r="E58" s="4" t="inlineStr">
        <is>
          <t>FB-018–FB-021</t>
        </is>
      </c>
      <c r="F58" s="4" t="inlineStr">
        <is>
          <t>Stories!B11</t>
        </is>
      </c>
    </row>
    <row r="59" ht="76" customHeight="1">
      <c r="A59" s="28" t="inlineStr">
        <is>
          <t>REQ-056</t>
        </is>
      </c>
      <c r="B59" s="28" t="inlineStr">
        <is>
          <t>3. Basic volunteer data management (initial scope)</t>
        </is>
      </c>
      <c r="C59" s="28" t="inlineStr">
        <is>
          <t>Current scope</t>
        </is>
      </c>
      <c r="D59" s="28" t="inlineStr">
        <is>
          <t>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t>
        </is>
      </c>
      <c r="E59" s="28" t="inlineStr">
        <is>
          <t>FB-018–FB-021</t>
        </is>
      </c>
      <c r="F59" s="28" t="inlineStr">
        <is>
          <t>Stories!B11</t>
        </is>
      </c>
    </row>
    <row r="60" ht="52" customHeight="1">
      <c r="A60" s="4" t="inlineStr">
        <is>
          <t>REQ-057</t>
        </is>
      </c>
      <c r="B60" s="4" t="inlineStr">
        <is>
          <t>3. Basic volunteer data management (initial scope)</t>
        </is>
      </c>
      <c r="C60" s="4" t="inlineStr">
        <is>
          <t>Current scope</t>
        </is>
      </c>
      <c r="D60" s="4" t="inlineStr">
        <is>
          <t>Updating a volunteer's first or last name also regenerates their username from the updated name, applying the same uniqueness and numbered-suffix rules. This includes correcting a mistyped name.</t>
        </is>
      </c>
      <c r="E60" s="4" t="inlineStr">
        <is>
          <t>FB-018–FB-021</t>
        </is>
      </c>
      <c r="F60" s="4" t="inlineStr">
        <is>
          <t>Stories!B11</t>
        </is>
      </c>
    </row>
    <row r="61" ht="52" customHeight="1">
      <c r="A61" s="28" t="inlineStr">
        <is>
          <t>REQ-058</t>
        </is>
      </c>
      <c r="B61" s="28" t="inlineStr">
        <is>
          <t>3. Basic volunteer data management (initial scope)</t>
        </is>
      </c>
      <c r="C61" s="28" t="inlineStr">
        <is>
          <t>Current scope</t>
        </is>
      </c>
      <c r="D61" s="28" t="inlineStr">
        <is>
          <t>After saving a name change, show the resulting username in the confirmation message to the manager or Super Admin making the change.</t>
        </is>
      </c>
      <c r="E61" s="28" t="inlineStr">
        <is>
          <t>FB-018–FB-021</t>
        </is>
      </c>
      <c r="F61" s="28" t="inlineStr">
        <is>
          <t>Stories!B11</t>
        </is>
      </c>
    </row>
    <row r="62" ht="52" customHeight="1">
      <c r="A62" s="4" t="inlineStr">
        <is>
          <t>REQ-059</t>
        </is>
      </c>
      <c r="B62" s="4" t="inlineStr">
        <is>
          <t>3. Basic volunteer data management (initial scope)</t>
        </is>
      </c>
      <c r="C62" s="4" t="inlineStr">
        <is>
          <t>Current scope</t>
        </is>
      </c>
      <c r="D62" s="4" t="inlineStr">
        <is>
          <t>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62" s="4" t="inlineStr">
        <is>
          <t>FB-016–FB-025</t>
        </is>
      </c>
      <c r="F62" s="4" t="inlineStr">
        <is>
          <t>Stories!B9</t>
        </is>
      </c>
    </row>
    <row r="63" ht="52" customHeight="1">
      <c r="A63" s="28" t="inlineStr">
        <is>
          <t>REQ-060</t>
        </is>
      </c>
      <c r="B63" s="28" t="inlineStr">
        <is>
          <t>3. Basic volunteer data management (initial scope)</t>
        </is>
      </c>
      <c r="C63" s="28" t="inlineStr">
        <is>
          <t>Current scope</t>
        </is>
      </c>
      <c r="D63" s="28" t="inlineStr">
        <is>
          <t>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t>
        </is>
      </c>
      <c r="E63" s="28" t="inlineStr">
        <is>
          <t>FB-018–FB-021</t>
        </is>
      </c>
      <c r="F63" s="28" t="inlineStr">
        <is>
          <t>Stories!B11</t>
        </is>
      </c>
    </row>
    <row r="64" ht="52" customHeight="1">
      <c r="A64" s="4" t="inlineStr">
        <is>
          <t>REQ-061</t>
        </is>
      </c>
      <c r="B64" s="4" t="inlineStr">
        <is>
          <t>3. Basic volunteer data management (initial scope)</t>
        </is>
      </c>
      <c r="C64" s="4" t="inlineStr">
        <is>
          <t>Current scope</t>
        </is>
      </c>
      <c r="D64" s="4" t="inlineStr">
        <is>
          <t>Include pagination with 10 volunteers per page and Previous / Next controls. Search and status filters apply to the full list before it is divided into pages.</t>
        </is>
      </c>
      <c r="E64" s="4" t="inlineStr">
        <is>
          <t>FB-009–FB-015</t>
        </is>
      </c>
      <c r="F64" s="4" t="inlineStr">
        <is>
          <t>Stories!B17</t>
        </is>
      </c>
    </row>
    <row r="65" ht="61" customHeight="1">
      <c r="A65" s="28" t="inlineStr">
        <is>
          <t>REQ-062</t>
        </is>
      </c>
      <c r="B65" s="28" t="inlineStr">
        <is>
          <t>3. Basic volunteer data management (initial scope)</t>
        </is>
      </c>
      <c r="C65" s="28" t="inlineStr">
        <is>
          <t>Current scope</t>
        </is>
      </c>
      <c r="D65" s="28" t="inlineStr">
        <is>
          <t>Preserve actual first and last names as entered. When generating usernames only, remove spaces, hyphens, and apostrophes from each name part before joining them with a dot. For example, Mary Jane O'Connor becomes maryjane.oconnor, subject to uniqueness suffixes.</t>
        </is>
      </c>
      <c r="E65" s="28" t="inlineStr">
        <is>
          <t>FB-018–FB-021</t>
        </is>
      </c>
      <c r="F65" s="28" t="inlineStr">
        <is>
          <t>Stories!B11</t>
        </is>
      </c>
    </row>
    <row r="66" ht="52" customHeight="1">
      <c r="A66" s="4" t="inlineStr">
        <is>
          <t>REQ-063</t>
        </is>
      </c>
      <c r="B66" s="4" t="inlineStr">
        <is>
          <t>3. Basic volunteer data management (initial scope)</t>
        </is>
      </c>
      <c r="C66" s="4" t="inlineStr">
        <is>
          <t>Current scope</t>
        </is>
      </c>
      <c r="D66" s="4" t="inlineStr">
        <is>
          <t>Convert accented letters to plain letters in generated usernames only. Preserve accents in actual names. For example, Émilie Côté becomes emilie.cote, subject to uniqueness suffixes.</t>
        </is>
      </c>
      <c r="E66" s="4" t="inlineStr">
        <is>
          <t>FB-018–FB-021</t>
        </is>
      </c>
      <c r="F66" s="4" t="inlineStr">
        <is>
          <t>Stories!B11</t>
        </is>
      </c>
    </row>
    <row r="67" ht="91" customHeight="1">
      <c r="A67" s="28" t="inlineStr">
        <is>
          <t>REQ-064</t>
        </is>
      </c>
      <c r="B67" s="28" t="inlineStr">
        <is>
          <t>3. Basic volunteer data management (initial scope)</t>
        </is>
      </c>
      <c r="C67" s="28" t="inlineStr">
        <is>
          <t>Current scope</t>
        </is>
      </c>
      <c r="D67" s="28" t="inlineStr">
        <is>
          <t>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t>
        </is>
      </c>
      <c r="E67" s="28" t="inlineStr">
        <is>
          <t>FB-018–FB-021</t>
        </is>
      </c>
      <c r="F67" s="28" t="inlineStr">
        <is>
          <t>Stories!B11</t>
        </is>
      </c>
    </row>
    <row r="68" ht="52" customHeight="1">
      <c r="A68" s="4" t="inlineStr">
        <is>
          <t>REQ-065</t>
        </is>
      </c>
      <c r="B68" s="4" t="inlineStr">
        <is>
          <t>3. Basic volunteer data management (initial scope)</t>
        </is>
      </c>
      <c r="C68" s="4" t="inlineStr">
        <is>
          <t>Current scope</t>
        </is>
      </c>
      <c r="D68" s="4" t="inlineStr">
        <is>
          <t>Manager and volunteer first/last names are required, each 1–100 characters after trimming leading/trailing spaces. Preserve internal spaces, supported punctuation, and accents in actual stored names.</t>
        </is>
      </c>
      <c r="E68" s="4" t="inlineStr">
        <is>
          <t>FB-018–FB-021</t>
        </is>
      </c>
      <c r="F68" s="4" t="inlineStr">
        <is>
          <t>Stories!B11</t>
        </is>
      </c>
    </row>
    <row r="69" ht="52" customHeight="1">
      <c r="A69" s="28" t="inlineStr">
        <is>
          <t>REQ-066</t>
        </is>
      </c>
      <c r="B69" s="28" t="inlineStr">
        <is>
          <t>3. Basic volunteer data management (initial scope)</t>
        </is>
      </c>
      <c r="C69" s="28" t="inlineStr">
        <is>
          <t>Current scope</t>
        </is>
      </c>
      <c r="D69" s="28" t="inlineStr">
        <is>
          <t>Account email is required, must have a valid email format, and may contain at most 254 characters. Email uniqueness ignores capitalization across all users and roles.</t>
        </is>
      </c>
      <c r="E69" s="28" t="inlineStr">
        <is>
          <t>FB-016–FB-025</t>
        </is>
      </c>
      <c r="F69" s="28" t="inlineStr">
        <is>
          <t>Stories!B9</t>
        </is>
      </c>
    </row>
    <row r="70" ht="52" customHeight="1">
      <c r="A70" s="4" t="inlineStr">
        <is>
          <t>REQ-067</t>
        </is>
      </c>
      <c r="B70" s="4" t="inlineStr">
        <is>
          <t>3. Basic volunteer data management (initial scope)</t>
        </is>
      </c>
      <c r="C70" s="4" t="inlineStr">
        <is>
          <t>Current scope</t>
        </is>
      </c>
      <c r="D70" s="4" t="inlineStr">
        <is>
          <t>Account phone is required: 10 digits after +1, formatted +1 506-555-0123. Account phone numbers may be shared, unlike household phone numbers.</t>
        </is>
      </c>
      <c r="E70" s="4" t="inlineStr">
        <is>
          <t>FB-016–FB-025</t>
        </is>
      </c>
      <c r="F70" s="4" t="inlineStr">
        <is>
          <t>Stories!B9</t>
        </is>
      </c>
    </row>
    <row r="71" ht="52" customHeight="1">
      <c r="A71" s="28" t="inlineStr">
        <is>
          <t>REQ-068</t>
        </is>
      </c>
      <c r="B71" s="28" t="inlineStr">
        <is>
          <t>3. Basic volunteer data management (initial scope)</t>
        </is>
      </c>
      <c r="C71" s="28" t="inlineStr">
        <is>
          <t>Current scope</t>
        </is>
      </c>
      <c r="D71" s="28" t="inlineStr">
        <is>
          <t>Invalid account input shows a field-specific error and retains other entered values so the user can correct the form.</t>
        </is>
      </c>
      <c r="E71" s="28" t="inlineStr">
        <is>
          <t>FB-016–FB-025</t>
        </is>
      </c>
      <c r="F71" s="28" t="inlineStr">
        <is>
          <t>Stories!B9</t>
        </is>
      </c>
    </row>
    <row r="72" ht="52" customHeight="1">
      <c r="A72" s="4" t="inlineStr">
        <is>
          <t>REQ-069</t>
        </is>
      </c>
      <c r="B72" s="4" t="inlineStr">
        <is>
          <t>3. Basic volunteer data management (initial scope)</t>
        </is>
      </c>
      <c r="C72" s="4" t="inlineStr">
        <is>
          <t>##FUTURE</t>
        </is>
      </c>
      <c r="D72" s="4" t="inlineStr">
        <is>
          <t>##FUTURE The broader volunteer module; its additional features have not yet been defined.</t>
        </is>
      </c>
      <c r="E72" s="4" t="inlineStr">
        <is>
          <t>Deferred — no current item</t>
        </is>
      </c>
      <c r="F72" s="4" t="inlineStr">
        <is>
          <t>Deferred</t>
        </is>
      </c>
    </row>
    <row r="73" ht="52" customHeight="1">
      <c r="A73" s="28" t="inlineStr">
        <is>
          <t>REQ-070</t>
        </is>
      </c>
      <c r="B73" s="28" t="inlineStr">
        <is>
          <t>4. Volunteer access in the current version</t>
        </is>
      </c>
      <c r="C73" s="28" t="inlineStr">
        <is>
          <t>Current scope</t>
        </is>
      </c>
      <c r="D73" s="28" t="inlineStr">
        <is>
          <t>After completing initial password setup and logging in again, volunteers see a simple welcome page with Change Password and Log Out options.
2026-10-29 scheduling: FB-008 implementation, review and testing deferred to project end; remains required current scope and unverified. See REQ-172.</t>
        </is>
      </c>
      <c r="E73" s="28" t="inlineStr">
        <is>
          <t>FB-008, FB-024</t>
        </is>
      </c>
      <c r="F73" s="28" t="inlineStr">
        <is>
          <t>Stories!B24</t>
        </is>
      </c>
    </row>
    <row r="74" ht="52" customHeight="1">
      <c r="A74" s="4" t="inlineStr">
        <is>
          <t>REQ-071</t>
        </is>
      </c>
      <c r="B74" s="4" t="inlineStr">
        <is>
          <t>4. Volunteer access in the current version</t>
        </is>
      </c>
      <c r="C74" s="4" t="inlineStr">
        <is>
          <t>Current scope</t>
        </is>
      </c>
      <c r="D74" s="4" t="inlineStr">
        <is>
          <t>Volunteers cannot access other users' records.</t>
        </is>
      </c>
      <c r="E74" s="4" t="inlineStr">
        <is>
          <t>FB-008, FB-015, FB-037–FB-066</t>
        </is>
      </c>
      <c r="F74" s="4" t="inlineStr">
        <is>
          <t>Stories!B24</t>
        </is>
      </c>
    </row>
    <row r="75" ht="76" customHeight="1">
      <c r="A75" s="28" t="inlineStr">
        <is>
          <t>REQ-072</t>
        </is>
      </c>
      <c r="B75" s="28" t="inlineStr">
        <is>
          <t>4. Volunteer access in the current version</t>
        </is>
      </c>
      <c r="C75" s="28" t="inlineStr">
        <is>
          <t>Current scope</t>
        </is>
      </c>
      <c r="D75" s="28" t="inlineStr">
        <is>
          <t>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t>
        </is>
      </c>
      <c r="E75" s="28" t="inlineStr">
        <is>
          <t>FB-008, FB-015, FB-037–FB-066</t>
        </is>
      </c>
      <c r="F75" s="28" t="inlineStr">
        <is>
          <t>Stories!B24</t>
        </is>
      </c>
    </row>
    <row r="76" ht="52" customHeight="1">
      <c r="A76" s="4" t="inlineStr">
        <is>
          <t>REQ-073</t>
        </is>
      </c>
      <c r="B76" s="4" t="inlineStr">
        <is>
          <t>4. Volunteer access in the current version</t>
        </is>
      </c>
      <c r="C76" s="4" t="inlineStr">
        <is>
          <t>##FUTURE</t>
        </is>
      </c>
      <c r="D76" s="4" t="inlineStr">
        <is>
          <t>Broader volunteer functionality remains ##FUTURE.</t>
        </is>
      </c>
      <c r="E76" s="4" t="inlineStr">
        <is>
          <t>Deferred — no current item</t>
        </is>
      </c>
      <c r="F76" s="4" t="inlineStr">
        <is>
          <t>Deferred</t>
        </is>
      </c>
    </row>
    <row r="77" ht="52" customHeight="1">
      <c r="A77" s="28" t="inlineStr">
        <is>
          <t>REQ-074</t>
        </is>
      </c>
      <c r="B77" s="28" t="inlineStr">
        <is>
          <t>5. Initial password setup and later password changes</t>
        </is>
      </c>
      <c r="C77" s="28" t="inlineStr">
        <is>
          <t>Current scope</t>
        </is>
      </c>
      <c r="D77" s="28" t="inlineStr">
        <is>
          <t>A common initial password is supplied through application configuration.</t>
        </is>
      </c>
      <c r="E77" s="28" t="inlineStr">
        <is>
          <t>FB-004–FB-007, FB-019, FB-023</t>
        </is>
      </c>
      <c r="F77" s="28" t="inlineStr">
        <is>
          <t>Stories!B7</t>
        </is>
      </c>
    </row>
    <row r="78" ht="52" customHeight="1">
      <c r="A78" s="4" t="inlineStr">
        <is>
          <t>REQ-075</t>
        </is>
      </c>
      <c r="B78" s="4" t="inlineStr">
        <is>
          <t>5. Initial password setup and later password changes</t>
        </is>
      </c>
      <c r="C78" s="4" t="inlineStr">
        <is>
          <t>Current scope</t>
        </is>
      </c>
      <c r="D78" s="4" t="inlineStr">
        <is>
          <t>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E78" s="4" t="inlineStr">
        <is>
          <t>FB-004–FB-007, FB-019, FB-023</t>
        </is>
      </c>
      <c r="F78" s="4" t="inlineStr">
        <is>
          <t>Stories!B7</t>
        </is>
      </c>
    </row>
    <row r="79" ht="52" customHeight="1">
      <c r="A79" s="28" t="inlineStr">
        <is>
          <t>REQ-076</t>
        </is>
      </c>
      <c r="B79" s="28" t="inlineStr">
        <is>
          <t>5. Initial password setup and later password changes</t>
        </is>
      </c>
      <c r="C79" s="28" t="inlineStr">
        <is>
          <t>Current scope</t>
        </is>
      </c>
      <c r="D79" s="28" t="inlineStr">
        <is>
          <t>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t>
        </is>
      </c>
      <c r="E79" s="28" t="inlineStr">
        <is>
          <t>FB-004–FB-007, FB-019, FB-023</t>
        </is>
      </c>
      <c r="F79" s="28" t="inlineStr">
        <is>
          <t>Stories!B7</t>
        </is>
      </c>
    </row>
    <row r="80" ht="52" customHeight="1">
      <c r="A80" s="4" t="inlineStr">
        <is>
          <t>REQ-077</t>
        </is>
      </c>
      <c r="B80" s="4" t="inlineStr">
        <is>
          <t>5. Initial password setup and later password changes</t>
        </is>
      </c>
      <c r="C80" s="4" t="inlineStr">
        <is>
          <t>Current scope</t>
        </is>
      </c>
      <c r="D80" s="4" t="inlineStr">
        <is>
          <t>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0" s="4" t="inlineStr">
        <is>
          <t>FB-004–FB-007, FB-019, FB-023</t>
        </is>
      </c>
      <c r="F80" s="4" t="inlineStr">
        <is>
          <t>Stories!B7</t>
        </is>
      </c>
    </row>
    <row r="81" ht="52" customHeight="1">
      <c r="A81" s="28" t="inlineStr">
        <is>
          <t>REQ-078</t>
        </is>
      </c>
      <c r="B81" s="28" t="inlineStr">
        <is>
          <t>5. Initial password setup and later password changes</t>
        </is>
      </c>
      <c r="C81" s="28" t="inlineStr">
        <is>
          <t>Current scope</t>
        </is>
      </c>
      <c r="D81" s="28" t="inlineStr">
        <is>
          <t>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1" s="28" t="inlineStr">
        <is>
          <t>FB-004–FB-007, FB-019, FB-023</t>
        </is>
      </c>
      <c r="F81" s="28" t="inlineStr">
        <is>
          <t>Stories!B7</t>
        </is>
      </c>
    </row>
    <row r="82" ht="52" customHeight="1">
      <c r="A82" s="4" t="inlineStr">
        <is>
          <t>REQ-079</t>
        </is>
      </c>
      <c r="B82" s="4" t="inlineStr">
        <is>
          <t>5. Initial password setup and later password changes</t>
        </is>
      </c>
      <c r="C82" s="4" t="inlineStr">
        <is>
          <t>Current scope</t>
        </is>
      </c>
      <c r="D82" s="4" t="inlineStr">
        <is>
          <t>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t>
        </is>
      </c>
      <c r="E82" s="4" t="inlineStr">
        <is>
          <t>FB-004–FB-007, FB-019, FB-023</t>
        </is>
      </c>
      <c r="F82" s="4" t="inlineStr">
        <is>
          <t>Stories!B7</t>
        </is>
      </c>
    </row>
    <row r="83" ht="61" customHeight="1">
      <c r="A83" s="28" t="inlineStr">
        <is>
          <t>REQ-080</t>
        </is>
      </c>
      <c r="B83" s="28" t="inlineStr">
        <is>
          <t>5. Initial password setup and later password changes</t>
        </is>
      </c>
      <c r="C83" s="28" t="inlineStr">
        <is>
          <t>Current scope</t>
        </is>
      </c>
      <c r="D83" s="28" t="inlineStr">
        <is>
          <t>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t>
        </is>
      </c>
      <c r="E83" s="28" t="inlineStr">
        <is>
          <t>FB-023</t>
        </is>
      </c>
      <c r="F83" s="28" t="inlineStr">
        <is>
          <t>Stories!B27</t>
        </is>
      </c>
    </row>
    <row r="84" ht="52" customHeight="1">
      <c r="A84" s="4" t="inlineStr">
        <is>
          <t>REQ-081</t>
        </is>
      </c>
      <c r="B84" s="4" t="inlineStr">
        <is>
          <t>5. Initial password setup and later password changes</t>
        </is>
      </c>
      <c r="C84" s="4" t="inlineStr">
        <is>
          <t>Current scope</t>
        </is>
      </c>
      <c r="D84" s="4" t="inlineStr">
        <is>
          <t>The common password becomes valid again only through this explicit reset, not as an automatic fallback. The volunteer's old personal password stops working when the reset occurs.</t>
        </is>
      </c>
      <c r="E84" s="4" t="inlineStr">
        <is>
          <t>FB-023</t>
        </is>
      </c>
      <c r="F84" s="4" t="inlineStr">
        <is>
          <t>Stories!B27</t>
        </is>
      </c>
    </row>
    <row r="85" ht="52" customHeight="1">
      <c r="A85" s="28" t="inlineStr">
        <is>
          <t>REQ-082</t>
        </is>
      </c>
      <c r="B85" s="28" t="inlineStr">
        <is>
          <t>5. Initial password setup and later password changes</t>
        </is>
      </c>
      <c r="C85" s="28" t="inlineStr">
        <is>
          <t>Current scope</t>
        </is>
      </c>
      <c r="D85" s="28" t="inlineStr">
        <is>
          <t>Managers who forget their password ask the Super Admin to reset it. The reset uses the same configured common password and required password-setup cycle as volunteer resets.</t>
        </is>
      </c>
      <c r="E85" s="28" t="inlineStr">
        <is>
          <t>FB-023</t>
        </is>
      </c>
      <c r="F85" s="28" t="inlineStr">
        <is>
          <t>Stories!B27</t>
        </is>
      </c>
    </row>
    <row r="86" ht="52" customHeight="1">
      <c r="A86" s="4" t="inlineStr">
        <is>
          <t>REQ-083</t>
        </is>
      </c>
      <c r="B86" s="4" t="inlineStr">
        <is>
          <t>5. Initial password setup and later password changes</t>
        </is>
      </c>
      <c r="C86" s="4" t="inlineStr">
        <is>
          <t>Current scope</t>
        </is>
      </c>
      <c r="D86" s="4" t="inlineStr">
        <is>
          <t>Administrative password resets immediately end all existing sessions for the affected account, including both volunteers and managers.</t>
        </is>
      </c>
      <c r="E86" s="4" t="inlineStr">
        <is>
          <t>FB-023</t>
        </is>
      </c>
      <c r="F86" s="4" t="inlineStr">
        <is>
          <t>Stories!B27</t>
        </is>
      </c>
    </row>
    <row r="87" ht="52" customHeight="1">
      <c r="A87" s="28" t="inlineStr">
        <is>
          <t>REQ-084</t>
        </is>
      </c>
      <c r="B87" s="28" t="inlineStr">
        <is>
          <t>5. Initial password setup and later password changes</t>
        </is>
      </c>
      <c r="C87" s="28" t="inlineStr">
        <is>
          <t>Current scope</t>
        </is>
      </c>
      <c r="D87" s="28" t="inlineStr">
        <is>
          <t>The Super Admin can reset passwords for both managers and volunteers, using the same reset and required setup process.</t>
        </is>
      </c>
      <c r="E87" s="28" t="inlineStr">
        <is>
          <t>FB-023</t>
        </is>
      </c>
      <c r="F87" s="28" t="inlineStr">
        <is>
          <t>Stories!B27</t>
        </is>
      </c>
    </row>
    <row r="88" ht="52" customHeight="1">
      <c r="A88" s="4" t="inlineStr">
        <is>
          <t>REQ-085</t>
        </is>
      </c>
      <c r="B88" s="4" t="inlineStr">
        <is>
          <t>5. Initial password setup and later password changes</t>
        </is>
      </c>
      <c r="C88" s="4" t="inlineStr">
        <is>
          <t>Current scope</t>
        </is>
      </c>
      <c r="D88" s="4" t="inlineStr">
        <is>
          <t>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t>
        </is>
      </c>
      <c r="E88" s="4" t="inlineStr">
        <is>
          <t>FB-023</t>
        </is>
      </c>
      <c r="F88" s="4" t="inlineStr">
        <is>
          <t>Stories!B27</t>
        </is>
      </c>
    </row>
    <row r="89" ht="52" customHeight="1">
      <c r="A89" s="28" t="inlineStr">
        <is>
          <t>REQ-086</t>
        </is>
      </c>
      <c r="B89" s="28" t="inlineStr">
        <is>
          <t>5. Initial password setup and later password changes</t>
        </is>
      </c>
      <c r="C89" s="28" t="inlineStr">
        <is>
          <t>Current scope</t>
        </is>
      </c>
      <c r="D89" s="28" t="inlineStr">
        <is>
          <t>Password resets preserve the account's Active/Inactive status. An inactive account remains blocked from login until separately reactivated by an authorized user.</t>
        </is>
      </c>
      <c r="E89" s="28" t="inlineStr">
        <is>
          <t>FB-023</t>
        </is>
      </c>
      <c r="F89" s="28" t="inlineStr">
        <is>
          <t>Stories!B27</t>
        </is>
      </c>
    </row>
    <row r="90" ht="76" customHeight="1">
      <c r="A90" s="4" t="inlineStr">
        <is>
          <t>REQ-087</t>
        </is>
      </c>
      <c r="B90" s="4" t="inlineStr">
        <is>
          <t>5. Initial password setup and later password changes</t>
        </is>
      </c>
      <c r="C90" s="4" t="inlineStr">
        <is>
          <t>Current scope</t>
        </is>
      </c>
      <c r="D90" s="4" t="inlineStr">
        <is>
          <t>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t>
        </is>
      </c>
      <c r="E90" s="4" t="inlineStr">
        <is>
          <t>FB-070</t>
        </is>
      </c>
      <c r="F90" s="4" t="inlineStr">
        <is>
          <t>Stories!B73</t>
        </is>
      </c>
    </row>
    <row r="91" ht="52" customHeight="1">
      <c r="A91" s="28" t="inlineStr">
        <is>
          <t>REQ-088</t>
        </is>
      </c>
      <c r="B91" s="28" t="inlineStr">
        <is>
          <t>5. Initial password setup and later password changes</t>
        </is>
      </c>
      <c r="C91" s="28" t="inlineStr">
        <is>
          <t>Current scope</t>
        </is>
      </c>
      <c r="D91" s="28" t="inlineStr">
        <is>
          <t>Implement Super Admin recovery last in the implementation list, as requested. It remains in the agreed first-version scope.</t>
        </is>
      </c>
      <c r="E91" s="28" t="inlineStr">
        <is>
          <t>FB-070</t>
        </is>
      </c>
      <c r="F91" s="28" t="inlineStr">
        <is>
          <t>Stories!B73</t>
        </is>
      </c>
    </row>
    <row r="92" ht="52" customHeight="1">
      <c r="A92" s="4" t="inlineStr">
        <is>
          <t>REQ-089</t>
        </is>
      </c>
      <c r="B92" s="4" t="inlineStr">
        <is>
          <t>5. Initial password setup and later password changes</t>
        </is>
      </c>
      <c r="C92" s="4" t="inlineStr">
        <is>
          <t>Current scope</t>
        </is>
      </c>
      <c r="D92" s="4" t="inlineStr">
        <is>
          <t>All users can also change their own password later.</t>
        </is>
      </c>
      <c r="E92" s="4" t="inlineStr">
        <is>
          <t>FB-024</t>
        </is>
      </c>
      <c r="F92" s="4" t="inlineStr">
        <is>
          <t>Stories!B16</t>
        </is>
      </c>
    </row>
    <row r="93" ht="52" customHeight="1">
      <c r="A93" s="28" t="inlineStr">
        <is>
          <t>REQ-090</t>
        </is>
      </c>
      <c r="B93" s="28" t="inlineStr">
        <is>
          <t>5. Initial password setup and later password changes</t>
        </is>
      </c>
      <c r="C93" s="28" t="inlineStr">
        <is>
          <t>Current scope</t>
        </is>
      </c>
      <c r="D93" s="28" t="inlineStr">
        <is>
          <t>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3" s="28" t="inlineStr">
        <is>
          <t>FB-024</t>
        </is>
      </c>
      <c r="F93" s="28" t="inlineStr">
        <is>
          <t>Stories!B16</t>
        </is>
      </c>
    </row>
    <row r="94" ht="52" customHeight="1">
      <c r="A94" s="4" t="inlineStr">
        <is>
          <t>REQ-091</t>
        </is>
      </c>
      <c r="B94" s="4" t="inlineStr">
        <is>
          <t>5. Initial password setup and later password changes</t>
        </is>
      </c>
      <c r="C94" s="4" t="inlineStr">
        <is>
          <t>Current scope</t>
        </is>
      </c>
      <c r="D94" s="4" t="inlineStr">
        <is>
          <t>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4" s="4" t="inlineStr">
        <is>
          <t>FB-024</t>
        </is>
      </c>
      <c r="F94" s="4" t="inlineStr">
        <is>
          <t>Stories!B16</t>
        </is>
      </c>
    </row>
    <row r="95" ht="52" customHeight="1">
      <c r="A95" s="28" t="inlineStr">
        <is>
          <t>REQ-092</t>
        </is>
      </c>
      <c r="B95" s="28" t="inlineStr">
        <is>
          <t>5. Initial password setup and later password changes</t>
        </is>
      </c>
      <c r="C95" s="28" t="inlineStr">
        <is>
          <t>Current scope</t>
        </is>
      </c>
      <c r="D95" s="28" t="inlineStr">
        <is>
          <t>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t>
        </is>
      </c>
      <c r="E95" s="28" t="inlineStr">
        <is>
          <t>FB-004–FB-007, FB-019, FB-023</t>
        </is>
      </c>
      <c r="F95" s="28" t="inlineStr">
        <is>
          <t>Stories!B7</t>
        </is>
      </c>
    </row>
    <row r="96" ht="61" customHeight="1">
      <c r="A96" s="4" t="inlineStr">
        <is>
          <t>REQ-093</t>
        </is>
      </c>
      <c r="B96" s="4" t="inlineStr">
        <is>
          <t>5. Initial password setup and later password changes</t>
        </is>
      </c>
      <c r="C96" s="4" t="inlineStr">
        <is>
          <t>Current scope</t>
        </is>
      </c>
      <c r="D96" s="4" t="inlineStr">
        <is>
          <t>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6" s="4" t="inlineStr">
        <is>
          <t>FB-007, FB-024, FB-069, FB-070</t>
        </is>
      </c>
      <c r="F96" s="4" t="inlineStr">
        <is>
          <t>Stories!B15</t>
        </is>
      </c>
    </row>
    <row r="97" ht="52" customHeight="1">
      <c r="A97" s="28" t="inlineStr">
        <is>
          <t>REQ-094</t>
        </is>
      </c>
      <c r="B97" s="28" t="inlineStr">
        <is>
          <t>5. Initial password setup and later password changes</t>
        </is>
      </c>
      <c r="C97" s="28" t="inlineStr">
        <is>
          <t>##FUTURE</t>
        </is>
      </c>
      <c r="D97" s="28" t="inlineStr">
        <is>
          <t>##FUTURE Email links allowing new users to set their own password.</t>
        </is>
      </c>
      <c r="E97" s="28" t="inlineStr">
        <is>
          <t>Deferred — no current item</t>
        </is>
      </c>
      <c r="F97" s="28" t="inlineStr">
        <is>
          <t>Deferred</t>
        </is>
      </c>
    </row>
    <row r="98" ht="91" customHeight="1">
      <c r="A98" s="4" t="inlineStr">
        <is>
          <t>REQ-095</t>
        </is>
      </c>
      <c r="B98" s="4" t="inlineStr">
        <is>
          <t>Inventory management — first version, planning complete</t>
        </is>
      </c>
      <c r="C98" s="4" t="inlineStr">
        <is>
          <t>Current scope</t>
        </is>
      </c>
      <c r="D98" s="4" t="inlineStr">
        <is>
          <t>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t>
        </is>
      </c>
      <c r="E98" s="4" t="inlineStr">
        <is>
          <t>FB-032–FB-037, FB-047–FB-053</t>
        </is>
      </c>
      <c r="F98" s="4" t="inlineStr">
        <is>
          <t>Stories!B35</t>
        </is>
      </c>
    </row>
    <row r="99" ht="52" customHeight="1">
      <c r="A99" s="28" t="inlineStr">
        <is>
          <t>REQ-096</t>
        </is>
      </c>
      <c r="B99" s="28" t="inlineStr">
        <is>
          <t>Inventory management — first version, planning complete</t>
        </is>
      </c>
      <c r="C99" s="28" t="inlineStr">
        <is>
          <t>Current scope</t>
        </is>
      </c>
      <c r="D99" s="28" t="inlineStr">
        <is>
          <t>Track individual products.</t>
        </is>
      </c>
      <c r="E99" s="28" t="inlineStr">
        <is>
          <t>FB-032–FB-037, FB-047–FB-053</t>
        </is>
      </c>
      <c r="F99" s="28" t="inlineStr">
        <is>
          <t>Stories!B35</t>
        </is>
      </c>
    </row>
    <row r="100" ht="76" customHeight="1">
      <c r="A100" s="4" t="inlineStr">
        <is>
          <t>REQ-097</t>
        </is>
      </c>
      <c r="B100" s="4" t="inlineStr">
        <is>
          <t>Inventory management — first version, planning complete</t>
        </is>
      </c>
      <c r="C100" s="4" t="inlineStr">
        <is>
          <t>Current scope</t>
        </is>
      </c>
      <c r="D100" s="4" t="inlineStr">
        <is>
          <t>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catalogue product record, including brand variants, receives its own code. Under the approved module separation, package sizes are reusable Stock Management definitions linked through stock_items; different package sizes of the same catalogue product share that product code. Neither a stock_items ID nor a package_sizes ID replaces the permanent catalogue product code.</t>
        </is>
      </c>
      <c r="E100" s="4" t="inlineStr">
        <is>
          <t>FB-035</t>
        </is>
      </c>
      <c r="F100" s="4" t="inlineStr">
        <is>
          <t>Stories!B37</t>
        </is>
      </c>
    </row>
    <row r="101" ht="52" customHeight="1">
      <c r="A101" s="28" t="inlineStr">
        <is>
          <t>REQ-098</t>
        </is>
      </c>
      <c r="B101" s="28" t="inlineStr">
        <is>
          <t>Inventory management — first version, planning complete</t>
        </is>
      </c>
      <c r="C101" s="28" t="inlineStr">
        <is>
          <t>Current scope</t>
        </is>
      </c>
      <c r="D101" s="28" t="inlineStr">
        <is>
          <t>Organize products in exactly four levels: Department -&gt; Category -&gt; Subcategory -&gt; Product.</t>
        </is>
      </c>
      <c r="E101" s="28" t="inlineStr">
        <is>
          <t>FB-026–FB-030, FB-032</t>
        </is>
      </c>
      <c r="F101" s="28" t="inlineStr">
        <is>
          <t>Stories!B29</t>
        </is>
      </c>
    </row>
    <row r="102" ht="61" customHeight="1">
      <c r="A102" s="4" t="inlineStr">
        <is>
          <t>REQ-099</t>
        </is>
      </c>
      <c r="B102" s="4" t="inlineStr">
        <is>
          <t>Inventory management — first version, planning complete</t>
        </is>
      </c>
      <c r="C102" s="4" t="inlineStr">
        <is>
          <t>Current scope</t>
        </is>
      </c>
      <c r="D102" s="4" t="inlineStr">
        <is>
          <t>Every product follows this full path and belongs to one subcategory; categories belong to departments and subcategories belong to categories. The product itself is level four. No hierarchy levels are skipped.</t>
        </is>
      </c>
      <c r="E102" s="4" t="inlineStr">
        <is>
          <t>FB-026–FB-030, FB-032</t>
        </is>
      </c>
      <c r="F102" s="4" t="inlineStr">
        <is>
          <t>Stories!B29</t>
        </is>
      </c>
    </row>
    <row r="103" ht="61" customHeight="1">
      <c r="A103" s="28" t="inlineStr">
        <is>
          <t>REQ-100</t>
        </is>
      </c>
      <c r="B103" s="28" t="inlineStr">
        <is>
          <t>Inventory management — first version, planning complete</t>
        </is>
      </c>
      <c r="C103" s="28" t="inlineStr">
        <is>
          <t>Current scope</t>
        </is>
      </c>
      <c r="D103" s="28" t="inlineStr">
        <is>
          <t>Department, category, and subcategory names are required. Department names are unique across the catalogue; category names are unique within their department; subcategory names are unique within their category. Duplicate-name checks ignore capitalization and leading/trailing spaces.</t>
        </is>
      </c>
      <c r="E103" s="28" t="inlineStr">
        <is>
          <t>FB-026–FB-030, FB-032</t>
        </is>
      </c>
      <c r="F103" s="28" t="inlineStr">
        <is>
          <t>Stories!B29</t>
        </is>
      </c>
    </row>
    <row r="104" ht="61" customHeight="1">
      <c r="A104" s="4" t="inlineStr">
        <is>
          <t>REQ-101</t>
        </is>
      </c>
      <c r="B104" s="4" t="inlineStr">
        <is>
          <t>Inventory management — first version, planning complete</t>
        </is>
      </c>
      <c r="C104" s="4" t="inlineStr">
        <is>
          <t>Current scope</t>
        </is>
      </c>
      <c r="D104" s="4" t="inlineStr">
        <is>
          <t>Allow renaming departments, categories, and subcategories while preserving their links. Product category paths show current names, including when viewing older stock movements; historical name snapshots are not required.</t>
        </is>
      </c>
      <c r="E104" s="4" t="inlineStr">
        <is>
          <t>FB-026–FB-030, FB-032</t>
        </is>
      </c>
      <c r="F104" s="4" t="inlineStr">
        <is>
          <t>Stories!B29</t>
        </is>
      </c>
    </row>
    <row r="105" ht="52" customHeight="1">
      <c r="A105" s="28" t="inlineStr">
        <is>
          <t>REQ-102</t>
        </is>
      </c>
      <c r="B105" s="28" t="inlineStr">
        <is>
          <t>Inventory management — first version, planning complete</t>
        </is>
      </c>
      <c r="C105" s="28" t="inlineStr">
        <is>
          <t>##FUTURE</t>
        </is>
      </c>
      <c r="D105" s="28" t="inlineStr">
        <is>
          <t>##FUTURE Moving subcategories between parents, and deleting departments, categories, or subcategories. Category moves between departments are approved current scope as of 2026-10-29; see the Category edit requirement.</t>
        </is>
      </c>
      <c r="E105" s="28" t="inlineStr">
        <is>
          <t>Deferred — no current item</t>
        </is>
      </c>
      <c r="F105" s="28" t="inlineStr">
        <is>
          <t>Deferred</t>
        </is>
      </c>
    </row>
    <row r="106" ht="52" customHeight="1">
      <c r="A106" s="4" t="inlineStr">
        <is>
          <t>REQ-103</t>
        </is>
      </c>
      <c r="B106" s="4" t="inlineStr">
        <is>
          <t>Inventory management — first version, planning complete</t>
        </is>
      </c>
      <c r="C106" s="4" t="inlineStr">
        <is>
          <t>Current scope</t>
        </is>
      </c>
      <c r="D106" s="4" t="inlineStr">
        <is>
          <t>Each product can optionally have multiple tags.</t>
        </is>
      </c>
      <c r="E106" s="4" t="inlineStr">
        <is>
          <t>FB-031, FB-037, FB-048</t>
        </is>
      </c>
      <c r="F106" s="4" t="inlineStr">
        <is>
          <t>Stories!B34</t>
        </is>
      </c>
    </row>
    <row r="107" ht="52" customHeight="1">
      <c r="A107" s="28" t="inlineStr">
        <is>
          <t>REQ-104</t>
        </is>
      </c>
      <c r="B107" s="28" t="inlineStr">
        <is>
          <t>Inventory management — first version, planning complete</t>
        </is>
      </c>
      <c r="C107" s="28" t="inlineStr">
        <is>
          <t>Current scope</t>
        </is>
      </c>
      <c r="D107" s="28" t="inlineStr">
        <is>
          <t>Tags are shared across the product catalogue: create a tag once and reuse it on multiple products. A product can have multiple tags or none.</t>
        </is>
      </c>
      <c r="E107" s="28" t="inlineStr">
        <is>
          <t>FB-031, FB-037, FB-048</t>
        </is>
      </c>
      <c r="F107" s="28" t="inlineStr">
        <is>
          <t>Stories!B34</t>
        </is>
      </c>
    </row>
    <row r="108" ht="76" customHeight="1">
      <c r="A108" s="4" t="inlineStr">
        <is>
          <t>REQ-105</t>
        </is>
      </c>
      <c r="B108" s="4" t="inlineStr">
        <is>
          <t>Inventory management — first version, planning complete</t>
        </is>
      </c>
      <c r="C108" s="4" t="inlineStr">
        <is>
          <t>Current scope</t>
        </is>
      </c>
      <c r="D108" s="4" t="inlineStr">
        <is>
          <t>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t>
        </is>
      </c>
      <c r="E108" s="4" t="inlineStr">
        <is>
          <t>FB-031, FB-037, FB-048</t>
        </is>
      </c>
      <c r="F108" s="4" t="inlineStr">
        <is>
          <t>Stories!B34</t>
        </is>
      </c>
    </row>
    <row r="109" ht="52" customHeight="1">
      <c r="A109" s="28" t="inlineStr">
        <is>
          <t>REQ-106</t>
        </is>
      </c>
      <c r="B109" s="28" t="inlineStr">
        <is>
          <t>Inventory management — first version, planning complete</t>
        </is>
      </c>
      <c r="C109" s="28" t="inlineStr">
        <is>
          <t>Current scope</t>
        </is>
      </c>
      <c r="D109" s="28" t="inlineStr">
        <is>
          <t>2026-10-29 approved module separation: Different brands remain distinguishable catalogue products. Package sizes and their separate stock balances belong exclusively to Stock Management; package size does not create a separate catalogue product. Exact stock-record structure will be settled before implementation. Shared package structure is now approved: products -&gt; stock_items &lt;- package_sizes; movements reference stock_items. See REQ-185.</t>
        </is>
      </c>
      <c r="E109" s="28" t="inlineStr">
        <is>
          <t>FB-032–FB-037, FB-047–FB-053</t>
        </is>
      </c>
      <c r="F109" s="28" t="inlineStr">
        <is>
          <t>Stories!B35</t>
        </is>
      </c>
    </row>
    <row r="110" ht="52" customHeight="1">
      <c r="A110" s="4" t="inlineStr">
        <is>
          <t>REQ-107</t>
        </is>
      </c>
      <c r="B110" s="4" t="inlineStr">
        <is>
          <t>Inventory management — first version, planning complete</t>
        </is>
      </c>
      <c r="C110" s="4" t="inlineStr">
        <is>
          <t>Current scope</t>
        </is>
      </c>
      <c r="D110" s="4" t="inlineStr">
        <is>
          <t>Each product has a separate optional brand field. Unbranded products may leave it blank.</t>
        </is>
      </c>
      <c r="E110" s="4" t="inlineStr">
        <is>
          <t>FB-032–FB-037, FB-047–FB-053</t>
        </is>
      </c>
      <c r="F110" s="4" t="inlineStr">
        <is>
          <t>Stories!B35</t>
        </is>
      </c>
    </row>
    <row r="111" ht="91" customHeight="1">
      <c r="A111" s="28" t="inlineStr">
        <is>
          <t>REQ-108</t>
        </is>
      </c>
      <c r="B111" s="28" t="inlineStr">
        <is>
          <t>Inventory management — first version, planning complete</t>
        </is>
      </c>
      <c r="C111" s="28" t="inlineStr">
        <is>
          <t>Current scope</t>
        </is>
      </c>
      <c r="D111" s="28" t="inlineStr">
        <is>
          <t>2026-10-29 approved module separation: Product Catalogue form fields: required product name, full Department/Category/Subcategory selection and status (default Active); optional brand and tags. Product code generated automatically. No package size, counting/contents/summary unit, stock quantity, balance or calculated stock total in catalogue storage/forms/screens. Packaging and stock records belong to Stock Management.</t>
        </is>
      </c>
      <c r="E111" s="28" t="inlineStr">
        <is>
          <t>FB-032–FB-037, FB-047–FB-053</t>
        </is>
      </c>
      <c r="F111" s="28" t="inlineStr">
        <is>
          <t>Stories!B35</t>
        </is>
      </c>
    </row>
    <row r="112" ht="91" customHeight="1">
      <c r="A112" s="4" t="inlineStr">
        <is>
          <t>REQ-109</t>
        </is>
      </c>
      <c r="B112" s="4" t="inlineStr">
        <is>
          <t>Inventory management — first version, planning complete</t>
        </is>
      </c>
      <c r="C112" s="4" t="inlineStr">
        <is>
          <t>Current scope</t>
        </is>
      </c>
      <c r="D112" s="4" t="inlineStr">
        <is>
          <t>2026-10-29 approved module separation: Prevent duplicate catalogue products by name, brand and Subcategory, ignoring capitalization and outer spaces in name/brand and including inactive products. Size/unit/quantity are excluded from catalogue identity and validation. Stock item product/package_size pairs are unique; reusable package definitions are unique by package type and equivalent contents.</t>
        </is>
      </c>
      <c r="E112" s="4" t="inlineStr">
        <is>
          <t>FB-036</t>
        </is>
      </c>
      <c r="F112" s="4" t="inlineStr">
        <is>
          <t>Stories!B38</t>
        </is>
      </c>
    </row>
    <row r="113" ht="61" customHeight="1">
      <c r="A113" s="28" t="inlineStr">
        <is>
          <t>REQ-110</t>
        </is>
      </c>
      <c r="B113" s="28" t="inlineStr">
        <is>
          <t>Inventory management — first version, planning complete</t>
        </is>
      </c>
      <c r="C113" s="28" t="inlineStr">
        <is>
          <t>Current scope</t>
        </is>
      </c>
      <c r="D113" s="28" t="inlineStr">
        <is>
          <t>2026-10-29 approved module separation: Stock Management owns whole-number package/item quantities and counting units. Product Catalogue owns no counting units or quantity fields. Each stock package choice describes what is counted; exact stock-record design pending discussion. Shared package structure is now approved: products -&gt; stock_items &lt;- package_sizes; movements reference stock_items. See REQ-185.</t>
        </is>
      </c>
      <c r="E113" s="28" t="inlineStr">
        <is>
          <t>FB-032–FB-037, FB-047–FB-053</t>
        </is>
      </c>
      <c r="F113" s="28" t="inlineStr">
        <is>
          <t>Stories!B35</t>
        </is>
      </c>
    </row>
    <row r="114" ht="61" customHeight="1">
      <c r="A114" s="4" t="inlineStr">
        <is>
          <t>REQ-111</t>
        </is>
      </c>
      <c r="B114" s="4" t="inlineStr">
        <is>
          <t>Inventory management — first version, planning complete</t>
        </is>
      </c>
      <c r="C114" s="4" t="inlineStr">
        <is>
          <t>Current scope</t>
        </is>
      </c>
      <c r="D114" s="4" t="inlineStr">
        <is>
          <t>2026-10-29 approved module separation: Within Stock Management, package contents measured in individual items are positive whole numbers; weight/volume contents allow up to three decimal places. Movements remain whole packages/items. These fields do not belong to Product Catalogue.</t>
        </is>
      </c>
      <c r="E114" s="4" t="inlineStr">
        <is>
          <t>FB-032–FB-037, FB-047–FB-053</t>
        </is>
      </c>
      <c r="F114" s="4" t="inlineStr">
        <is>
          <t>Stories!B35</t>
        </is>
      </c>
    </row>
    <row r="115" ht="52" customHeight="1">
      <c r="A115" s="28" t="inlineStr">
        <is>
          <t>REQ-112</t>
        </is>
      </c>
      <c r="B115" s="28" t="inlineStr">
        <is>
          <t>Inventory management — first version, planning complete</t>
        </is>
      </c>
      <c r="C115" s="28" t="inlineStr">
        <is>
          <t>Current scope</t>
        </is>
      </c>
      <c r="D115" s="28" t="inlineStr">
        <is>
          <t>2026-10-29 approved module separation: Stock Management counting-unit choices: bag, box, can, bottle, carton, jar, packet and individual item. No counting-unit field in catalogue.</t>
        </is>
      </c>
      <c r="E115" s="28" t="inlineStr">
        <is>
          <t>FB-032–FB-037, FB-047–FB-053</t>
        </is>
      </c>
      <c r="F115" s="28" t="inlineStr">
        <is>
          <t>Stories!B35</t>
        </is>
      </c>
    </row>
    <row r="116" ht="151" customHeight="1">
      <c r="A116" s="4" t="inlineStr">
        <is>
          <t>REQ-113</t>
        </is>
      </c>
      <c r="B116" s="4" t="inlineStr">
        <is>
          <t>Inventory management — first version, planning complete</t>
        </is>
      </c>
      <c r="C116" s="4" t="inlineStr">
        <is>
          <t>Current scope</t>
        </is>
      </c>
      <c r="D116" s="4" t="inlineStr">
        <is>
          <t>2026-10-29 approved module separation: Stock Management owns package sizes, contents units, summary units and calculated totals. Retain kg/g and litres/ml conversions and individual-item totals; exact values until display, at most three displayed decimals. Catalogue Subcategories have no summary-unit field. Placement/ownership of summary configuration within Stock Management must be agreed before implementation.</t>
        </is>
      </c>
      <c r="E116" s="4" t="inlineStr">
        <is>
          <t>FB-029, FB-034, FB-053, FB-065–FB-066</t>
        </is>
      </c>
      <c r="F116" s="4" t="inlineStr">
        <is>
          <t>Stories!B32</t>
        </is>
      </c>
    </row>
    <row r="117" ht="52" customHeight="1">
      <c r="A117" s="28" t="inlineStr">
        <is>
          <t>REQ-114</t>
        </is>
      </c>
      <c r="B117" s="28" t="inlineStr">
        <is>
          <t>Inventory management — first version, planning complete</t>
        </is>
      </c>
      <c r="C117" s="28" t="inlineStr">
        <is>
          <t>##FUTURE</t>
        </is>
      </c>
      <c r="D117" s="28" t="inlineStr">
        <is>
          <t>##FUTURE Loose-weight quantities and general unit conversions beyond the agreed kg/g and litres/ml conversions for package contents and summaries.</t>
        </is>
      </c>
      <c r="E117" s="28" t="inlineStr">
        <is>
          <t>Deferred — no current item</t>
        </is>
      </c>
      <c r="F117" s="28" t="inlineStr">
        <is>
          <t>Deferred</t>
        </is>
      </c>
    </row>
    <row r="118" ht="52" customHeight="1">
      <c r="A118" s="4" t="inlineStr">
        <is>
          <t>REQ-115</t>
        </is>
      </c>
      <c r="B118" s="4" t="inlineStr">
        <is>
          <t>Inventory management — first version, planning complete</t>
        </is>
      </c>
      <c r="C118" s="4" t="inlineStr">
        <is>
          <t>Current scope</t>
        </is>
      </c>
      <c r="D118" s="4" t="inlineStr">
        <is>
          <t>Use one shared inventory for the first version, without separate stock balances for shelves, rooms, or branches.</t>
        </is>
      </c>
      <c r="E118" s="4" t="inlineStr">
        <is>
          <t>FB-049–FB-056, FB-063–FB-064, FB-068</t>
        </is>
      </c>
      <c r="F118" s="4" t="inlineStr">
        <is>
          <t>Stories!B53</t>
        </is>
      </c>
    </row>
    <row r="119" ht="52" customHeight="1">
      <c r="A119" s="28" t="inlineStr">
        <is>
          <t>REQ-116</t>
        </is>
      </c>
      <c r="B119" s="28" t="inlineStr">
        <is>
          <t>Inventory management — first version, planning complete</t>
        </is>
      </c>
      <c r="C119" s="28" t="inlineStr">
        <is>
          <t>##FUTURE</t>
        </is>
      </c>
      <c r="D119" s="28" t="inlineStr">
        <is>
          <t>##FUTURE Stock tracking by location.</t>
        </is>
      </c>
      <c r="E119" s="28" t="inlineStr">
        <is>
          <t>Deferred — no current item</t>
        </is>
      </c>
      <c r="F119" s="28" t="inlineStr">
        <is>
          <t>Deferred</t>
        </is>
      </c>
    </row>
    <row r="120" ht="61" customHeight="1">
      <c r="A120" s="4" t="inlineStr">
        <is>
          <t>REQ-117</t>
        </is>
      </c>
      <c r="B120" s="4" t="inlineStr">
        <is>
          <t>Inventory management — first version, planning complete</t>
        </is>
      </c>
      <c r="C120" s="4" t="inlineStr">
        <is>
          <t>Current scope</t>
        </is>
      </c>
      <c r="D120" s="4" t="inlineStr">
        <is>
          <t>2026-10-29 approved module separation: Summary measurement configuration belongs exclusively to Stock Management. No summary-unit field on catalogue Subcategories. Stock product/package measurements must be compatible with stock summary configuration; exact configuration structure pending discussion.</t>
        </is>
      </c>
      <c r="E120" s="4" t="inlineStr">
        <is>
          <t>FB-029, FB-034, FB-053, FB-065–FB-066</t>
        </is>
      </c>
      <c r="F120" s="4" t="inlineStr">
        <is>
          <t>Stories!B32</t>
        </is>
      </c>
    </row>
    <row r="121" ht="61" customHeight="1">
      <c r="A121" s="28" t="inlineStr">
        <is>
          <t>REQ-118</t>
        </is>
      </c>
      <c r="B121" s="28" t="inlineStr">
        <is>
          <t>Inventory management — first version, planning complete</t>
        </is>
      </c>
      <c r="C121" s="28" t="inlineStr">
        <is>
          <t>Current scope</t>
        </is>
      </c>
      <c r="D121" s="28" t="inlineStr">
        <is>
          <t>2026-10-29 approved module separation: In Stock Management, multiply each stock package count by its contents and sum compatible measurements; for example rice bags contribute kilograms and cartons contribute eggs. These totals are absent from catalogue screens.</t>
        </is>
      </c>
      <c r="E121" s="28" t="inlineStr">
        <is>
          <t>FB-029, FB-034, FB-053, FB-065–FB-066</t>
        </is>
      </c>
      <c r="F121" s="28" t="inlineStr">
        <is>
          <t>Stories!B32</t>
        </is>
      </c>
    </row>
    <row r="122" ht="52" customHeight="1">
      <c r="A122" s="4" t="inlineStr">
        <is>
          <t>REQ-119</t>
        </is>
      </c>
      <c r="B122" s="4" t="inlineStr">
        <is>
          <t>Inventory management — first version, planning complete</t>
        </is>
      </c>
      <c r="C122" s="4" t="inlineStr">
        <is>
          <t>Current scope</t>
        </is>
      </c>
      <c r="D122" s="4" t="inlineStr">
        <is>
          <t>2026-10-29 approved module separation: Stock summaries do not replace individual stock package balances. All balances/totals are owned and displayed by Stock Management only.</t>
        </is>
      </c>
      <c r="E122" s="4" t="inlineStr">
        <is>
          <t>FB-029, FB-034, FB-053, FB-065–FB-066</t>
        </is>
      </c>
      <c r="F122" s="4" t="inlineStr">
        <is>
          <t>Stories!B32</t>
        </is>
      </c>
    </row>
    <row r="123" ht="52" customHeight="1">
      <c r="A123" s="28" t="inlineStr">
        <is>
          <t>REQ-120</t>
        </is>
      </c>
      <c r="B123" s="28" t="inlineStr">
        <is>
          <t>Inventory management — first version, planning complete</t>
        </is>
      </c>
      <c r="C123" s="28" t="inlineStr">
        <is>
          <t>Current scope</t>
        </is>
      </c>
      <c r="D123" s="28" t="inlineStr">
        <is>
          <t>Stock balances change only through recorded stock movements, not by directly editing a balance. Incoming movements increase stock and outgoing movements decrease it; balances reflect those movements.</t>
        </is>
      </c>
      <c r="E123" s="28" t="inlineStr">
        <is>
          <t>FB-049–FB-056, FB-063–FB-064, FB-068</t>
        </is>
      </c>
      <c r="F123" s="28" t="inlineStr">
        <is>
          <t>Stories!B53</t>
        </is>
      </c>
    </row>
    <row r="124" ht="52" customHeight="1">
      <c r="A124" s="4" t="inlineStr">
        <is>
          <t>REQ-121</t>
        </is>
      </c>
      <c r="B124" s="4" t="inlineStr">
        <is>
          <t>Inventory management — first version, planning complete</t>
        </is>
      </c>
      <c r="C124" s="4" t="inlineStr">
        <is>
          <t>Current scope</t>
        </is>
      </c>
      <c r="D124" s="4" t="inlineStr">
        <is>
          <t>First-version movement types: Receive (food arrives), Distribute (food goes to a household), and Adjust (count corrections or damaged/ spoiled food). Every adjustment requires a reason.</t>
        </is>
      </c>
      <c r="E124" s="4" t="inlineStr">
        <is>
          <t>FB-049–FB-056, FB-063–FB-064, FB-068</t>
        </is>
      </c>
      <c r="F124" s="4" t="inlineStr">
        <is>
          <t>Stories!B53</t>
        </is>
      </c>
    </row>
    <row r="125" ht="52" customHeight="1">
      <c r="A125" s="28" t="inlineStr">
        <is>
          <t>REQ-122</t>
        </is>
      </c>
      <c r="B125" s="28" t="inlineStr">
        <is>
          <t>Inventory management — first version, planning complete</t>
        </is>
      </c>
      <c r="C125" s="28" t="inlineStr">
        <is>
          <t>Current scope</t>
        </is>
      </c>
      <c r="D125" s="28" t="inlineStr">
        <is>
          <t>Every stock movement must prevent a product's stock from falling below zero. Reject any outgoing quantity greater than available stock.</t>
        </is>
      </c>
      <c r="E125" s="28" t="inlineStr">
        <is>
          <t>FB-049–FB-056, FB-063–FB-064, FB-068</t>
        </is>
      </c>
      <c r="F125" s="28" t="inlineStr">
        <is>
          <t>Stories!B53</t>
        </is>
      </c>
    </row>
    <row r="126" ht="91" customHeight="1">
      <c r="A126" s="4" t="inlineStr">
        <is>
          <t>REQ-123</t>
        </is>
      </c>
      <c r="B126" s="4" t="inlineStr">
        <is>
          <t>Inventory management — first version, planning complete</t>
        </is>
      </c>
      <c r="C126" s="4" t="inlineStr">
        <is>
          <t>Current scope</t>
        </is>
      </c>
      <c r="D126" s="4" t="inlineStr">
        <is>
          <t>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t>
        </is>
      </c>
      <c r="E126" s="4" t="inlineStr">
        <is>
          <t>FB-032–FB-037, FB-047–FB-053</t>
        </is>
      </c>
      <c r="F126" s="4" t="inlineStr">
        <is>
          <t>Stories!B35</t>
        </is>
      </c>
    </row>
    <row r="127" ht="52" customHeight="1">
      <c r="A127" s="28" t="inlineStr">
        <is>
          <t>REQ-124</t>
        </is>
      </c>
      <c r="B127" s="28" t="inlineStr">
        <is>
          <t>Inventory management — first version, planning complete</t>
        </is>
      </c>
      <c r="C127" s="28" t="inlineStr">
        <is>
          <t>Current scope</t>
        </is>
      </c>
      <c r="D127" s="28" t="inlineStr">
        <is>
          <t>One distribution belongs to one household and can include multiple products. Either all its stock changes succeed or none are saved. Use fictional sample households until household management is built.</t>
        </is>
      </c>
      <c r="E127" s="28" t="inlineStr">
        <is>
          <t>FB-057–FB-064</t>
        </is>
      </c>
      <c r="F127" s="28" t="inlineStr">
        <is>
          <t>Stories!B63</t>
        </is>
      </c>
    </row>
    <row r="128" ht="136" customHeight="1">
      <c r="A128" s="4" t="inlineStr">
        <is>
          <t>REQ-125</t>
        </is>
      </c>
      <c r="B128" s="4" t="inlineStr">
        <is>
          <t>Inventory management — first version, planning complete</t>
        </is>
      </c>
      <c r="C128" s="4" t="inlineStr">
        <is>
          <t>Current scope</t>
        </is>
      </c>
      <c r="D128" s="4" t="inlineStr">
        <is>
          <t>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 2026-10-29 clarification: package choices and quantities are selected in Stock Management only; catalogue contains no such fields. Selectable stock rows are stock_items, each connecting an active product and package_sizes definition.</t>
        </is>
      </c>
      <c r="E128" s="4" t="inlineStr">
        <is>
          <t>FB-057–FB-064</t>
        </is>
      </c>
      <c r="F128" s="4" t="inlineStr">
        <is>
          <t>Stories!B63</t>
        </is>
      </c>
    </row>
    <row r="129" ht="52" customHeight="1">
      <c r="A129" s="28" t="inlineStr">
        <is>
          <t>REQ-126</t>
        </is>
      </c>
      <c r="B129" s="28" t="inlineStr">
        <is>
          <t>Inventory management — first version, planning complete</t>
        </is>
      </c>
      <c r="C129" s="28" t="inlineStr">
        <is>
          <t>Current scope</t>
        </is>
      </c>
      <c r="D129" s="28" t="inlineStr">
        <is>
          <t>One Receive entry can include multiple products. Either all stock changes in that receipt succeed or none are saved.</t>
        </is>
      </c>
      <c r="E129" s="28" t="inlineStr">
        <is>
          <t>FB-049–FB-052</t>
        </is>
      </c>
      <c r="F129" s="28" t="inlineStr">
        <is>
          <t>Stories!B53</t>
        </is>
      </c>
    </row>
    <row r="130" ht="61" customHeight="1">
      <c r="A130" s="4" t="inlineStr">
        <is>
          <t>REQ-127</t>
        </is>
      </c>
      <c r="B130" s="4" t="inlineStr">
        <is>
          <t>Inventory management — first version, planning complete</t>
        </is>
      </c>
      <c r="C130" s="4" t="inlineStr">
        <is>
          <t>Current scope</t>
        </is>
      </c>
      <c r="D130" s="4" t="inlineStr">
        <is>
          <t>Each stock_item may appear once per Receive or Distribute entry. Update its existing quantity instead of duplicate rows. The same catalogue product can appear on separate rows with different package_sizes. Quantities/packages belong exclusively to Stock Management.</t>
        </is>
      </c>
      <c r="E130" s="4" t="inlineStr">
        <is>
          <t>FB-050, FB-061</t>
        </is>
      </c>
      <c r="F130" s="4" t="inlineStr">
        <is>
          <t>Stories!B54</t>
        </is>
      </c>
    </row>
    <row r="131" ht="52" customHeight="1">
      <c r="A131" s="28" t="inlineStr">
        <is>
          <t>REQ-128</t>
        </is>
      </c>
      <c r="B131" s="28" t="inlineStr">
        <is>
          <t>Inventory management — first version, planning complete</t>
        </is>
      </c>
      <c r="C131" s="28" t="inlineStr">
        <is>
          <t>Current scope</t>
        </is>
      </c>
      <c r="D131" s="28" t="inlineStr">
        <is>
          <t>Each Receive entry has one optional notes field for the whole entry.</t>
        </is>
      </c>
      <c r="E131" s="28" t="inlineStr">
        <is>
          <t>FB-049–FB-052</t>
        </is>
      </c>
      <c r="F131" s="28" t="inlineStr">
        <is>
          <t>Stories!B53</t>
        </is>
      </c>
    </row>
    <row r="132" ht="61" customHeight="1">
      <c r="A132" s="4" t="inlineStr">
        <is>
          <t>REQ-129</t>
        </is>
      </c>
      <c r="B132" s="4" t="inlineStr">
        <is>
          <t>Inventory management — first version, planning complete</t>
        </is>
      </c>
      <c r="C132" s="4" t="inlineStr">
        <is>
          <t>Current scope</t>
        </is>
      </c>
      <c r="D132" s="4" t="inlineStr">
        <is>
          <t>Receive, Distribute, and Adjust movements automatically record the date and time they are saved. Users cannot change or backdate this timestamp. Stock changes when the entry is saved; the timestamp represents recording time, not necessarily the time food physically arrived or left.</t>
        </is>
      </c>
      <c r="E132" s="4" t="inlineStr">
        <is>
          <t>FB-049–FB-056, FB-063–FB-064, FB-068</t>
        </is>
      </c>
      <c r="F132" s="4" t="inlineStr">
        <is>
          <t>Stories!B53</t>
        </is>
      </c>
    </row>
    <row r="133" ht="52" customHeight="1">
      <c r="A133" s="28" t="inlineStr">
        <is>
          <t>REQ-130</t>
        </is>
      </c>
      <c r="B133" s="28" t="inlineStr">
        <is>
          <t>Inventory management — first version, planning complete</t>
        </is>
      </c>
      <c r="C133" s="28" t="inlineStr">
        <is>
          <t>##FUTURE</t>
        </is>
      </c>
      <c r="D133" s="28" t="inlineStr">
        <is>
          <t>##FUTURE User-entered or backdated stock-movement dates.</t>
        </is>
      </c>
      <c r="E133" s="28" t="inlineStr">
        <is>
          <t>Deferred — no current item</t>
        </is>
      </c>
      <c r="F133" s="28" t="inlineStr">
        <is>
          <t>Deferred</t>
        </is>
      </c>
    </row>
    <row r="134" ht="61" customHeight="1">
      <c r="A134" s="4" t="inlineStr">
        <is>
          <t>REQ-131</t>
        </is>
      </c>
      <c r="B134" s="4" t="inlineStr">
        <is>
          <t>Inventory management — first version, planning complete</t>
        </is>
      </c>
      <c r="C134" s="4" t="inlineStr">
        <is>
          <t>Current scope</t>
        </is>
      </c>
      <c r="D134" s="4" t="inlineStr">
        <is>
          <t>Each Adjust entry handles one stock_item (a product/package-size combination), Add or Remove, positive whole-number quantity and mandatory reason. Prevent negative balance. All packaging/quantities stay in Stock Management.</t>
        </is>
      </c>
      <c r="E134" s="4" t="inlineStr">
        <is>
          <t>FB-055–FB-056</t>
        </is>
      </c>
      <c r="F134" s="4" t="inlineStr">
        <is>
          <t>Stories!B61</t>
        </is>
      </c>
    </row>
    <row r="135" ht="61" customHeight="1">
      <c r="A135" s="28" t="inlineStr">
        <is>
          <t>REQ-132</t>
        </is>
      </c>
      <c r="B135" s="28" t="inlineStr">
        <is>
          <t>Inventory management — first version, planning complete</t>
        </is>
      </c>
      <c r="C135" s="28" t="inlineStr">
        <is>
          <t>Current scope</t>
        </is>
      </c>
      <c r="D135" s="28" t="inlineStr">
        <is>
          <t>2026-10-29 approved module separation: Within Stock Management, Managers/Super Admin can view movement history with movement type, quantity added/removed, save time, resulting balance, recorder and receipt/household/reason details. No stock history on catalogue product details.</t>
        </is>
      </c>
      <c r="E135" s="28" t="inlineStr">
        <is>
          <t>FB-054, FB-056, FB-063, FB-068</t>
        </is>
      </c>
      <c r="F135" s="28" t="inlineStr">
        <is>
          <t>Stories!B58</t>
        </is>
      </c>
    </row>
    <row r="136" ht="61" customHeight="1">
      <c r="A136" s="4" t="inlineStr">
        <is>
          <t>REQ-133</t>
        </is>
      </c>
      <c r="B136" s="4" t="inlineStr">
        <is>
          <t>Inventory management — first version, planning complete</t>
        </is>
      </c>
      <c r="C136" s="4" t="inlineStr">
        <is>
          <t>Current scope</t>
        </is>
      </c>
      <c r="D136" s="4" t="inlineStr">
        <is>
          <t>2026-10-29 approved module separation: Show balances, movement history and combined summaries exclusively in Stock Management. No quantities, sizes, units or totals in Product Catalogue, including catalogue Subcategory screens. Existing history permission restriction remains: Volunteers cannot browse stock history.</t>
        </is>
      </c>
      <c r="E136" s="4" t="inlineStr">
        <is>
          <t>FB-054, FB-066</t>
        </is>
      </c>
      <c r="F136" s="4" t="inlineStr">
        <is>
          <t>Stories!B58</t>
        </is>
      </c>
    </row>
    <row r="137" ht="52" customHeight="1">
      <c r="A137" s="28" t="inlineStr">
        <is>
          <t>REQ-134</t>
        </is>
      </c>
      <c r="B137" s="28" t="inlineStr">
        <is>
          <t>Inventory management — first version, planning complete</t>
        </is>
      </c>
      <c r="C137" s="28" t="inlineStr">
        <is>
          <t>Current scope</t>
        </is>
      </c>
      <c r="D137" s="28" t="inlineStr">
        <is>
          <t>History entries come from recorded movements automatically; users do not enter them separately. This inventory history is distinct from the broader account activity history deferred to future work.</t>
        </is>
      </c>
      <c r="E137" s="28" t="inlineStr">
        <is>
          <t>FB-054, FB-056, FB-063, FB-068</t>
        </is>
      </c>
      <c r="F137" s="28" t="inlineStr">
        <is>
          <t>Stories!B58</t>
        </is>
      </c>
    </row>
    <row r="138" ht="61" customHeight="1">
      <c r="A138" s="4" t="inlineStr">
        <is>
          <t>REQ-135</t>
        </is>
      </c>
      <c r="B138" s="4" t="inlineStr">
        <is>
          <t>Inventory management — first version, planning complete</t>
        </is>
      </c>
      <c r="C138" s="4" t="inlineStr">
        <is>
          <t>Current scope</t>
        </is>
      </c>
      <c r="D138" s="4" t="inlineStr">
        <is>
          <t>Saved stock movements cannot be edited or deleted in version one. Correct stock quantities through new adjustments with required reasons, preserving both the original movement and its correction in history.</t>
        </is>
      </c>
      <c r="E138" s="4" t="inlineStr">
        <is>
          <t>FB-054, FB-056, FB-063, FB-068</t>
        </is>
      </c>
      <c r="F138" s="4" t="inlineStr">
        <is>
          <t>Stories!B58</t>
        </is>
      </c>
    </row>
    <row r="139" ht="52" customHeight="1">
      <c r="A139" s="28" t="inlineStr">
        <is>
          <t>REQ-136</t>
        </is>
      </c>
      <c r="B139" s="28" t="inlineStr">
        <is>
          <t>Inventory management — first version, planning complete</t>
        </is>
      </c>
      <c r="C139" s="28" t="inlineStr">
        <is>
          <t>Current scope</t>
        </is>
      </c>
      <c r="D139" s="28" t="inlineStr">
        <is>
          <t>2026-10-29 approved module separation: Creating a catalogue product creates no stock quantity. Stock Management starts its stock records at zero and records opening stock through Receive so each quantity has an origin.</t>
        </is>
      </c>
      <c r="E139" s="28" t="inlineStr">
        <is>
          <t>FB-049–FB-052</t>
        </is>
      </c>
      <c r="F139" s="28" t="inlineStr">
        <is>
          <t>Stories!B53</t>
        </is>
      </c>
    </row>
    <row r="140" ht="61" customHeight="1">
      <c r="A140" s="4" t="inlineStr">
        <is>
          <t>REQ-137</t>
        </is>
      </c>
      <c r="B140" s="4" t="inlineStr">
        <is>
          <t>Inventory management — first version, planning complete</t>
        </is>
      </c>
      <c r="C140" s="4" t="inlineStr">
        <is>
          <t>Current scope</t>
        </is>
      </c>
      <c r="D140" s="4" t="inlineStr">
        <is>
          <t>2026-10-29 approved module separation: Products use Active/Inactive instead of deletion. Product deactivation is blocked if ANY stock remains for that product across Stock Management records. Catalogue performs a server-side availability check without displaying sizes/quantities. A generic explanation may say stock remains. Inactive products cannot receive movements until reactivated; records/history retained.</t>
        </is>
      </c>
      <c r="E140" s="4" t="inlineStr">
        <is>
          <t>FB-048, FB-053</t>
        </is>
      </c>
      <c r="F140" s="4" t="inlineStr">
        <is>
          <t>Stories!B50</t>
        </is>
      </c>
    </row>
    <row r="141" ht="52" customHeight="1">
      <c r="A141" s="28" t="inlineStr">
        <is>
          <t>REQ-138</t>
        </is>
      </c>
      <c r="B141" s="28" t="inlineStr">
        <is>
          <t>Inventory management — first version, planning complete</t>
        </is>
      </c>
      <c r="C141" s="28" t="inlineStr">
        <is>
          <t>Current scope</t>
        </is>
      </c>
      <c r="D141" s="28" t="inlineStr">
        <is>
          <t>Shared package_sizes package type/contents/unit become immutable once ANY stock_item references the definition, protecting every linked product. stock_items product/package_size identity must preserve movement history. No packaging fields on catalogue products. Catalogue classification/history constraints still require a focused decision before stock implementation.</t>
        </is>
      </c>
      <c r="E141" s="28" t="inlineStr">
        <is>
          <t>FB-053</t>
        </is>
      </c>
      <c r="F141" s="28" t="inlineStr">
        <is>
          <t>Stories!B57</t>
        </is>
      </c>
    </row>
    <row r="142" ht="61" customHeight="1">
      <c r="A142" s="4" t="inlineStr">
        <is>
          <t>REQ-139</t>
        </is>
      </c>
      <c r="B142" s="4" t="inlineStr">
        <is>
          <t>Inventory management — first version, planning complete</t>
        </is>
      </c>
      <c r="C142" s="4" t="inlineStr">
        <is>
          <t>Current scope</t>
        </is>
      </c>
      <c r="D142" s="4" t="inlineStr">
        <is>
          <t>2026-10-29 approved module separation: Lock Stock Management summary measurement configuration after affected stock movements, preserving meaning of package contents and totals. Catalogue Subcategories have no summary-unit field. Exact summary configuration owner pending design discussion.</t>
        </is>
      </c>
      <c r="E142" s="4" t="inlineStr">
        <is>
          <t>FB-053</t>
        </is>
      </c>
      <c r="F142" s="4" t="inlineStr">
        <is>
          <t>Stories!B57</t>
        </is>
      </c>
    </row>
    <row r="143" ht="52" customHeight="1">
      <c r="A143" s="28" t="inlineStr">
        <is>
          <t>REQ-140</t>
        </is>
      </c>
      <c r="B143" s="28" t="inlineStr">
        <is>
          <t>Inventory management — first version, planning complete</t>
        </is>
      </c>
      <c r="C143" s="28" t="inlineStr">
        <is>
          <t>Current scope</t>
        </is>
      </c>
      <c r="D143" s="28" t="inlineStr">
        <is>
          <t>2026-10-29 approved module separation: Consistent stock measurement and readable summary formatting belong exclusively to Stock Management. General unit conversion/loose-weight movements remain future scope.</t>
        </is>
      </c>
      <c r="E143" s="28" t="inlineStr">
        <is>
          <t>FB-029, FB-034, FB-053, FB-065–FB-066</t>
        </is>
      </c>
      <c r="F143" s="28" t="inlineStr">
        <is>
          <t>Stories!B32</t>
        </is>
      </c>
    </row>
    <row r="144" ht="52" customHeight="1">
      <c r="A144" s="4" t="inlineStr">
        <is>
          <t>REQ-141</t>
        </is>
      </c>
      <c r="B144" s="4" t="inlineStr">
        <is>
          <t>Inventory management — first version, planning complete</t>
        </is>
      </c>
      <c r="C144" s="4" t="inlineStr">
        <is>
          <t>Current scope</t>
        </is>
      </c>
      <c r="D144" s="4" t="inlineStr">
        <is>
          <t>Managers and the Super Admin can create and edit departments, categories, subcategories, products, and tags.</t>
        </is>
      </c>
      <c r="E144" s="4" t="inlineStr">
        <is>
          <t>FB-031, FB-037, FB-048</t>
        </is>
      </c>
      <c r="F144" s="4" t="inlineStr">
        <is>
          <t>Stories!B34</t>
        </is>
      </c>
    </row>
    <row r="145" ht="61" customHeight="1">
      <c r="A145" s="28" t="inlineStr">
        <is>
          <t>REQ-142</t>
        </is>
      </c>
      <c r="B145" s="28" t="inlineStr">
        <is>
          <t>Inventory management — first version, planning complete</t>
        </is>
      </c>
      <c r="C145" s="28" t="inlineStr">
        <is>
          <t>Current scope</t>
        </is>
      </c>
      <c r="D145" s="28" t="inlineStr">
        <is>
          <t>2026-10-29 approved module separation: Catalogue list shows product code, product name, category path, optional brand/tags and status; NO sizes, units, quantities, available stock or totals. Retain all-role search by code/name and filters for Department, Category, Subcategory, tag and status. Stock Management supplies its separate quantity/size views.</t>
        </is>
      </c>
      <c r="E145" s="28" t="inlineStr">
        <is>
          <t>FB-037–FB-046</t>
        </is>
      </c>
      <c r="F145" s="28" t="inlineStr">
        <is>
          <t>Stories!B39</t>
        </is>
      </c>
    </row>
    <row r="146" ht="52" customHeight="1">
      <c r="A146" s="4" t="inlineStr">
        <is>
          <t>REQ-143</t>
        </is>
      </c>
      <c r="B146" s="4" t="inlineStr">
        <is>
          <t>Inventory management — first version, planning complete</t>
        </is>
      </c>
      <c r="C146" s="4" t="inlineStr">
        <is>
          <t>Current scope</t>
        </is>
      </c>
      <c r="D146" s="4" t="inlineStr">
        <is>
          <t>Show 10 products per page. Search and filters apply across the full catalogue before results are divided into pages.</t>
        </is>
      </c>
      <c r="E146" s="4" t="inlineStr">
        <is>
          <t>FB-037–FB-046</t>
        </is>
      </c>
      <c r="F146" s="4" t="inlineStr">
        <is>
          <t>Stories!B39</t>
        </is>
      </c>
    </row>
    <row r="147" ht="52" customHeight="1">
      <c r="A147" s="28" t="inlineStr">
        <is>
          <t>REQ-144</t>
        </is>
      </c>
      <c r="B147" s="28" t="inlineStr">
        <is>
          <t>Inventory management — first version, planning complete</t>
        </is>
      </c>
      <c r="C147" s="28" t="inlineStr">
        <is>
          <t>Verification</t>
        </is>
      </c>
      <c r="D147" s="28" t="inlineStr">
        <is>
          <t>Inventory planning and the following verification checklist are approved. These are future checks; no implementation or successful tests are claimed.</t>
        </is>
      </c>
      <c r="E147" s="28" t="inlineStr">
        <is>
          <t>FB-067–FB-069</t>
        </is>
      </c>
      <c r="F147" s="28" t="inlineStr">
        <is>
          <t>Stories!B51</t>
        </is>
      </c>
    </row>
    <row r="148" ht="52" customHeight="1">
      <c r="A148" s="4" t="inlineStr">
        <is>
          <t>REQ-145</t>
        </is>
      </c>
      <c r="B148" s="4" t="inlineStr">
        <is>
          <t>Inventory management — first version, planning complete</t>
        </is>
      </c>
      <c r="C148" s="4" t="inlineStr">
        <is>
          <t>Verification</t>
        </is>
      </c>
      <c r="D148" s="4" t="inlineStr">
        <is>
          <t>Verify permanent codes, duplicate prevention, required fields, and units.</t>
        </is>
      </c>
      <c r="E148" s="4" t="inlineStr">
        <is>
          <t>FB-067, FB-069</t>
        </is>
      </c>
      <c r="F148" s="4" t="inlineStr">
        <is>
          <t>Stories!B51</t>
        </is>
      </c>
    </row>
    <row r="149" ht="52" customHeight="1">
      <c r="A149" s="28" t="inlineStr">
        <is>
          <t>REQ-146</t>
        </is>
      </c>
      <c r="B149" s="28" t="inlineStr">
        <is>
          <t>Inventory management — first version, planning complete</t>
        </is>
      </c>
      <c r="C149" s="28" t="inlineStr">
        <is>
          <t>Verification</t>
        </is>
      </c>
      <c r="D149" s="28" t="inlineStr">
        <is>
          <t>Verify Receive, Distribute, and Adjust balances; prevent negative stock, including when multiple users save simultaneously.</t>
        </is>
      </c>
      <c r="E149" s="28" t="inlineStr">
        <is>
          <t>FB-051, FB-052, FB-056, FB-063, FB-068, FB-069</t>
        </is>
      </c>
      <c r="F149" s="28" t="inlineStr">
        <is>
          <t>Stories!B55</t>
        </is>
      </c>
    </row>
    <row r="150" ht="52" customHeight="1">
      <c r="A150" s="4" t="inlineStr">
        <is>
          <t>REQ-147</t>
        </is>
      </c>
      <c r="B150" s="4" t="inlineStr">
        <is>
          <t>Inventory management — first version, planning complete</t>
        </is>
      </c>
      <c r="C150" s="4" t="inlineStr">
        <is>
          <t>Verification</t>
        </is>
      </c>
      <c r="D150" s="4" t="inlineStr">
        <is>
          <t>Verify multi-product entries save all movements together or none.</t>
        </is>
      </c>
      <c r="E150" s="4" t="inlineStr">
        <is>
          <t>FB-051, FB-063, FB-068, FB-069</t>
        </is>
      </c>
      <c r="F150" s="4" t="inlineStr">
        <is>
          <t>Stories!B55</t>
        </is>
      </c>
    </row>
    <row r="151" ht="52" customHeight="1">
      <c r="A151" s="28" t="inlineStr">
        <is>
          <t>REQ-148</t>
        </is>
      </c>
      <c r="B151" s="28" t="inlineStr">
        <is>
          <t>Inventory management — first version, planning complete</t>
        </is>
      </c>
      <c r="C151" s="28" t="inlineStr">
        <is>
          <t>Verification</t>
        </is>
      </c>
      <c r="D151" s="28" t="inlineStr">
        <is>
          <t>Verify whole-package movements, one row per product, and correct unit conversion and summary calculations/display.</t>
        </is>
      </c>
      <c r="E151" s="28" t="inlineStr">
        <is>
          <t>FB-050, FB-061, FB-065, FB-066, FB-068, FB-069</t>
        </is>
      </c>
      <c r="F151" s="28" t="inlineStr">
        <is>
          <t>Stories!B54</t>
        </is>
      </c>
    </row>
    <row r="152" ht="52" customHeight="1">
      <c r="A152" s="4" t="inlineStr">
        <is>
          <t>REQ-149</t>
        </is>
      </c>
      <c r="B152" s="4" t="inlineStr">
        <is>
          <t>Inventory management — first version, planning complete</t>
        </is>
      </c>
      <c r="C152" s="4" t="inlineStr">
        <is>
          <t>Verification</t>
        </is>
      </c>
      <c r="D152" s="4" t="inlineStr">
        <is>
          <t>Verify inactive-product restrictions, zero stock before deactivation, and protected contents/units after movements.</t>
        </is>
      </c>
      <c r="E152" s="4" t="inlineStr">
        <is>
          <t>FB-048, FB-053, FB-068, FB-069</t>
        </is>
      </c>
      <c r="F152" s="4" t="inlineStr">
        <is>
          <t>Stories!B50</t>
        </is>
      </c>
    </row>
    <row r="153" ht="52" customHeight="1">
      <c r="A153" s="28" t="inlineStr">
        <is>
          <t>REQ-150</t>
        </is>
      </c>
      <c r="B153" s="28" t="inlineStr">
        <is>
          <t>Inventory management — first version, planning complete</t>
        </is>
      </c>
      <c r="C153" s="28" t="inlineStr">
        <is>
          <t>Verification</t>
        </is>
      </c>
      <c r="D153" s="28" t="inlineStr">
        <is>
          <t>Verify role permissions on the server, including direct requests: volunteers may record movements and view balances, but cannot edit the catalogue or view history.</t>
        </is>
      </c>
      <c r="E153" s="28" t="inlineStr">
        <is>
          <t>FB-067, FB-051, FB-054, FB-056, FB-063, FB-066, FB-068, FB-069</t>
        </is>
      </c>
      <c r="F153" s="28" t="inlineStr">
        <is>
          <t>Stories!B51</t>
        </is>
      </c>
    </row>
    <row r="154" ht="52" customHeight="1">
      <c r="A154" s="4" t="inlineStr">
        <is>
          <t>REQ-151</t>
        </is>
      </c>
      <c r="B154" s="4" t="inlineStr">
        <is>
          <t>Inventory management — first version, planning complete</t>
        </is>
      </c>
      <c r="C154" s="4" t="inlineStr">
        <is>
          <t>Verification</t>
        </is>
      </c>
      <c r="D154" s="4" t="inlineStr">
        <is>
          <t>Verify search, filters, pagination, household selection, confirmation, errors, retained input, and success feedback.</t>
        </is>
      </c>
      <c r="E154" s="4" t="inlineStr">
        <is>
          <t>FB-067, FB-052, FB-058, FB-060, FB-062, FB-064, FB-068, FB-069</t>
        </is>
      </c>
      <c r="F154" s="4" t="inlineStr">
        <is>
          <t>Stories!B51</t>
        </is>
      </c>
    </row>
    <row r="155" ht="52" customHeight="1">
      <c r="A155" s="28" t="inlineStr">
        <is>
          <t>REQ-152</t>
        </is>
      </c>
      <c r="B155" s="28" t="inlineStr">
        <is>
          <t>##FUTURE — Confirmed future direction</t>
        </is>
      </c>
      <c r="C155" s="28" t="inlineStr">
        <is>
          <t>##FUTURE</t>
        </is>
      </c>
      <c r="D155" s="28" t="inlineStr">
        <is>
          <t>##FUTURE Batch and expiry tracking, including separate expiry dates for different deliveries of the same product. Version one tracks stock at product level without batch or expiry balances.</t>
        </is>
      </c>
      <c r="E155" s="28" t="inlineStr">
        <is>
          <t>Deferred — no current item</t>
        </is>
      </c>
      <c r="F155" s="28" t="inlineStr">
        <is>
          <t>Deferred</t>
        </is>
      </c>
    </row>
    <row r="156" ht="52" customHeight="1">
      <c r="A156" s="4" t="inlineStr">
        <is>
          <t>REQ-153</t>
        </is>
      </c>
      <c r="B156" s="4" t="inlineStr">
        <is>
          <t>##FUTURE — Confirmed future direction</t>
        </is>
      </c>
      <c r="C156" s="4" t="inlineStr">
        <is>
          <t>##FUTURE</t>
        </is>
      </c>
      <c r="D156" s="4" t="inlineStr">
        <is>
          <t>##FUTURE Donation management module; detailed requirements remain undecided.</t>
        </is>
      </c>
      <c r="E156" s="4" t="inlineStr">
        <is>
          <t>Deferred — no current item</t>
        </is>
      </c>
      <c r="F156" s="4" t="inlineStr">
        <is>
          <t>Deferred</t>
        </is>
      </c>
    </row>
    <row r="157" ht="52" customHeight="1">
      <c r="A157" s="28" t="inlineStr">
        <is>
          <t>REQ-154</t>
        </is>
      </c>
      <c r="B157" s="28" t="inlineStr">
        <is>
          <t>##FUTURE — Confirmed future direction</t>
        </is>
      </c>
      <c r="C157" s="28" t="inlineStr">
        <is>
          <t>##FUTURE</t>
        </is>
      </c>
      <c r="D157" s="28" t="inlineStr">
        <is>
          <t>##FUTURE Purchase management module; detailed requirements remain undecided.</t>
        </is>
      </c>
      <c r="E157" s="28" t="inlineStr">
        <is>
          <t>Deferred — no current item</t>
        </is>
      </c>
      <c r="F157" s="28" t="inlineStr">
        <is>
          <t>Deferred</t>
        </is>
      </c>
    </row>
    <row r="158" ht="52" customHeight="1">
      <c r="A158" s="4" t="inlineStr">
        <is>
          <t>REQ-155</t>
        </is>
      </c>
      <c r="B158" s="4" t="inlineStr">
        <is>
          <t>##FUTURE — Confirmed future direction</t>
        </is>
      </c>
      <c r="C158" s="4" t="inlineStr">
        <is>
          <t>##FUTURE</t>
        </is>
      </c>
      <c r="D158" s="4" t="inlineStr">
        <is>
          <t>##FUTURE Stock tracking by location.</t>
        </is>
      </c>
      <c r="E158" s="4" t="inlineStr">
        <is>
          <t>Deferred — no current item</t>
        </is>
      </c>
      <c r="F158" s="4" t="inlineStr">
        <is>
          <t>Deferred</t>
        </is>
      </c>
    </row>
    <row r="159" ht="52" customHeight="1">
      <c r="A159" s="28" t="inlineStr">
        <is>
          <t>REQ-156</t>
        </is>
      </c>
      <c r="B159" s="28" t="inlineStr">
        <is>
          <t>##FUTURE — Confirmed future direction</t>
        </is>
      </c>
      <c r="C159" s="28" t="inlineStr">
        <is>
          <t>##FUTURE</t>
        </is>
      </c>
      <c r="D159" s="28" t="inlineStr">
        <is>
          <t>##FUTURE Inventory quantities measured by loose weight and conversions between units. Detailed requirements remain undecided.</t>
        </is>
      </c>
      <c r="E159" s="28" t="inlineStr">
        <is>
          <t>Deferred — no current item</t>
        </is>
      </c>
      <c r="F159" s="28" t="inlineStr">
        <is>
          <t>Deferred</t>
        </is>
      </c>
    </row>
    <row r="160" ht="52" customHeight="1">
      <c r="A160" s="4" t="inlineStr">
        <is>
          <t>REQ-157</t>
        </is>
      </c>
      <c r="B160" s="4" t="inlineStr">
        <is>
          <t>##FUTURE — Confirmed future direction</t>
        </is>
      </c>
      <c r="C160" s="4" t="inlineStr">
        <is>
          <t>##FUTURE</t>
        </is>
      </c>
      <c r="D160" s="4" t="inlineStr">
        <is>
          <t>##FUTURE Activity history recording who created, edited, activated, deactivated, or reset an account. Detailed requirements remain undecided.</t>
        </is>
      </c>
      <c r="E160" s="4" t="inlineStr">
        <is>
          <t>Deferred — no current item</t>
        </is>
      </c>
      <c r="F160" s="4" t="inlineStr">
        <is>
          <t>Deferred</t>
        </is>
      </c>
    </row>
    <row r="161" ht="52" customHeight="1">
      <c r="A161" s="28" t="inlineStr">
        <is>
          <t>REQ-158</t>
        </is>
      </c>
      <c r="B161" s="28" t="inlineStr">
        <is>
          <t>##FUTURE — Confirmed future direction</t>
        </is>
      </c>
      <c r="C161" s="28" t="inlineStr">
        <is>
          <t>##FUTURE</t>
        </is>
      </c>
      <c r="D161" s="28" t="inlineStr">
        <is>
          <t>##FUTURE Household registration and management.</t>
        </is>
      </c>
      <c r="E161" s="28" t="inlineStr">
        <is>
          <t>Deferred — no current item</t>
        </is>
      </c>
      <c r="F161" s="28" t="inlineStr">
        <is>
          <t>Deferred</t>
        </is>
      </c>
    </row>
    <row r="162" ht="52" customHeight="1">
      <c r="A162" s="4" t="inlineStr">
        <is>
          <t>REQ-159</t>
        </is>
      </c>
      <c r="B162" s="4" t="inlineStr">
        <is>
          <t>##FUTURE — Confirmed future direction</t>
        </is>
      </c>
      <c r="C162" s="4" t="inlineStr">
        <is>
          <t>##FUTURE</t>
        </is>
      </c>
      <c r="D162" s="4" t="inlineStr">
        <is>
          <t>##FUTURE Appointment management.</t>
        </is>
      </c>
      <c r="E162" s="4" t="inlineStr">
        <is>
          <t>Deferred — no current item</t>
        </is>
      </c>
      <c r="F162" s="4" t="inlineStr">
        <is>
          <t>Deferred</t>
        </is>
      </c>
    </row>
    <row r="163" ht="52" customHeight="1">
      <c r="A163" s="28" t="inlineStr">
        <is>
          <t>REQ-160</t>
        </is>
      </c>
      <c r="B163" s="28" t="inlineStr">
        <is>
          <t>##FUTURE — Confirmed future direction</t>
        </is>
      </c>
      <c r="C163" s="28" t="inlineStr">
        <is>
          <t>##FUTURE</t>
        </is>
      </c>
      <c r="D163" s="28" t="inlineStr">
        <is>
          <t>##FUTURE Email-based initial password setup links.</t>
        </is>
      </c>
      <c r="E163" s="28" t="inlineStr">
        <is>
          <t>Deferred — no current item</t>
        </is>
      </c>
      <c r="F163" s="28" t="inlineStr">
        <is>
          <t>Deferred</t>
        </is>
      </c>
    </row>
    <row r="164" ht="52" customHeight="1">
      <c r="A164" s="4" t="inlineStr">
        <is>
          <t>REQ-161</t>
        </is>
      </c>
      <c r="B164" s="4" t="inlineStr">
        <is>
          <t>##FUTURE — Confirmed future direction</t>
        </is>
      </c>
      <c r="C164" s="4" t="inlineStr">
        <is>
          <t>##FUTURE</t>
        </is>
      </c>
      <c r="D164" s="4"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64" s="4" t="inlineStr">
        <is>
          <t>Deferred — no current item</t>
        </is>
      </c>
      <c r="F164" s="4" t="inlineStr">
        <is>
          <t>Deferred</t>
        </is>
      </c>
    </row>
    <row r="165" ht="52" customHeight="1">
      <c r="A165" s="28" t="inlineStr">
        <is>
          <t>REQ-162</t>
        </is>
      </c>
      <c r="B165" s="28" t="inlineStr">
        <is>
          <t>##FUTURE — Confirmed future direction</t>
        </is>
      </c>
      <c r="C165" s="28" t="inlineStr">
        <is>
          <t>##FUTURE</t>
        </is>
      </c>
      <c r="D165" s="28" t="inlineStr">
        <is>
          <t>##FUTURE Self-service profile editing (name, email, and phone).</t>
        </is>
      </c>
      <c r="E165" s="28" t="inlineStr">
        <is>
          <t>Deferred — no current item</t>
        </is>
      </c>
      <c r="F165" s="28" t="inlineStr">
        <is>
          <t>Deferred</t>
        </is>
      </c>
    </row>
    <row r="166" ht="52" customHeight="1">
      <c r="A166" s="4" t="inlineStr">
        <is>
          <t>REQ-163</t>
        </is>
      </c>
      <c r="B166" s="4" t="inlineStr">
        <is>
          <t>##FUTURE — Confirmed future direction</t>
        </is>
      </c>
      <c r="C166" s="4" t="inlineStr">
        <is>
          <t>##FUTURE</t>
        </is>
      </c>
      <c r="D166" s="4" t="inlineStr">
        <is>
          <t>##FUTURE Volunteer deletion; deletion and record-retention rules remain undecided.</t>
        </is>
      </c>
      <c r="E166" s="4" t="inlineStr">
        <is>
          <t>Deferred — no current item</t>
        </is>
      </c>
      <c r="F166" s="4" t="inlineStr">
        <is>
          <t>Deferred</t>
        </is>
      </c>
    </row>
    <row r="167" ht="52" customHeight="1">
      <c r="A167" s="28" t="inlineStr">
        <is>
          <t>REQ-164</t>
        </is>
      </c>
      <c r="B167" s="28" t="inlineStr">
        <is>
          <t>##FUTURE — Confirmed future direction</t>
        </is>
      </c>
      <c r="C167" s="28" t="inlineStr">
        <is>
          <t>##FUTURE</t>
        </is>
      </c>
      <c r="D167" s="28" t="inlineStr">
        <is>
          <t>##FUTURE Broader volunteer module, beyond basic data management; specific capabilities still need discussion.</t>
        </is>
      </c>
      <c r="E167" s="28" t="inlineStr">
        <is>
          <t>Deferred — no current item</t>
        </is>
      </c>
      <c r="F167" s="28" t="inlineStr">
        <is>
          <t>Deferred</t>
        </is>
      </c>
    </row>
    <row r="168" ht="52" customHeight="1">
      <c r="A168" s="4" t="inlineStr">
        <is>
          <t>REQ-165</t>
        </is>
      </c>
      <c r="B168" s="4" t="inlineStr">
        <is>
          <t>##FUTURE — Confirmed future direction</t>
        </is>
      </c>
      <c r="C168" s="4" t="inlineStr">
        <is>
          <t>##FUTURE</t>
        </is>
      </c>
      <c r="D168" s="4" t="inlineStr">
        <is>
          <t>##FUTURE Additional roles, to be defined later.</t>
        </is>
      </c>
      <c r="E168" s="4" t="inlineStr">
        <is>
          <t>Deferred — no current item</t>
        </is>
      </c>
      <c r="F168" s="4" t="inlineStr">
        <is>
          <t>Deferred</t>
        </is>
      </c>
    </row>
    <row r="169" ht="52" customHeight="1">
      <c r="A169" s="28" t="inlineStr">
        <is>
          <t>REQ-166</t>
        </is>
      </c>
      <c r="B169" s="28" t="inlineStr">
        <is>
          <t>1. Roles and account creation</t>
        </is>
      </c>
      <c r="C169" s="28" t="inlineStr">
        <is>
          <t>Current scope</t>
        </is>
      </c>
      <c r="D169" s="28"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169" s="28" t="inlineStr">
        <is>
          <t>FB-021</t>
        </is>
      </c>
      <c r="F169" s="28" t="inlineStr">
        <is>
          <t>Stories!B25</t>
        </is>
      </c>
    </row>
    <row r="170" ht="76" customHeight="1">
      <c r="A170" s="4" t="inlineStr">
        <is>
          <t>REQ-167</t>
        </is>
      </c>
      <c r="B170" s="4" t="inlineStr">
        <is>
          <t>Business context</t>
        </is>
      </c>
      <c r="C170" s="4" t="inlineStr">
        <is>
          <t>Current scope</t>
        </is>
      </c>
      <c r="D170" s="4" t="inlineStr">
        <is>
          <t>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t>
        </is>
      </c>
      <c r="E170" s="4" t="inlineStr">
        <is>
          <t>FB-057</t>
        </is>
      </c>
      <c r="F170" s="4" t="inlineStr">
        <is>
          <t>Stories!B63</t>
        </is>
      </c>
    </row>
    <row r="171" ht="52" customHeight="1">
      <c r="A171" s="28" t="inlineStr">
        <is>
          <t>REQ-168</t>
        </is>
      </c>
      <c r="B171" s="28" t="inlineStr">
        <is>
          <t>Business context</t>
        </is>
      </c>
      <c r="C171" s="28" t="inlineStr">
        <is>
          <t>Current scope</t>
        </is>
      </c>
      <c r="D171" s="28" t="inlineStr">
        <is>
          <t>Food recipients belong to registered households.</t>
        </is>
      </c>
      <c r="E171" s="28" t="inlineStr">
        <is>
          <t>FB-057–FB-064</t>
        </is>
      </c>
      <c r="F171" s="28" t="inlineStr">
        <is>
          <t>Stories!B63</t>
        </is>
      </c>
    </row>
    <row r="172" ht="52" customHeight="1">
      <c r="A172" s="4" t="inlineStr">
        <is>
          <t>REQ-169</t>
        </is>
      </c>
      <c r="B172" s="4" t="inlineStr">
        <is>
          <t>Business context</t>
        </is>
      </c>
      <c r="C172" s="4" t="inlineStr">
        <is>
          <t>Current scope</t>
        </is>
      </c>
      <c r="D172" s="4" t="inlineStr">
        <is>
          <t>Assume households have appointments when they arrive to receive food.</t>
        </is>
      </c>
      <c r="E172" s="4" t="inlineStr">
        <is>
          <t>FB-057–FB-064</t>
        </is>
      </c>
      <c r="F172" s="4" t="inlineStr">
        <is>
          <t>Stories!B63</t>
        </is>
      </c>
    </row>
    <row r="173" ht="61" customHeight="1">
      <c r="A173" s="28" t="inlineStr">
        <is>
          <t>REQ-170</t>
        </is>
      </c>
      <c r="B173" s="28" t="inlineStr">
        <is>
          <t>Business context</t>
        </is>
      </c>
      <c r="C173" s="28" t="inlineStr">
        <is>
          <t>Current scope</t>
        </is>
      </c>
      <c r="D173" s="28" t="inlineStr">
        <is>
          <t>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t>
        </is>
      </c>
      <c r="E173" s="28" t="inlineStr">
        <is>
          <t>FB-057–FB-064</t>
        </is>
      </c>
      <c r="F173" s="28" t="inlineStr">
        <is>
          <t>Stories!B63</t>
        </is>
      </c>
    </row>
    <row r="174" ht="61" customHeight="1">
      <c r="A174" s="4" t="inlineStr">
        <is>
          <t>REQ-171</t>
        </is>
      </c>
      <c r="B174" s="4" t="inlineStr">
        <is>
          <t>Business context</t>
        </is>
      </c>
      <c r="C174" s="4" t="inlineStr">
        <is>
          <t>Current scope</t>
        </is>
      </c>
      <c r="D174" s="4" t="inlineStr">
        <is>
          <t>Inventory management and household distribution are approved for the first version as detailed above. Donation and purchase management remain future modules. Additional reporting beyond agreed subcategory totals and stock history has not been approved.</t>
        </is>
      </c>
      <c r="E174" s="4" t="inlineStr">
        <is>
          <t>FB-057–FB-064</t>
        </is>
      </c>
      <c r="F174" s="4" t="inlineStr">
        <is>
          <t>Stories!B63</t>
        </is>
      </c>
    </row>
    <row r="175" ht="61" customHeight="1">
      <c r="A175" s="28" t="inlineStr">
        <is>
          <t>REQ-172</t>
        </is>
      </c>
      <c r="B175" s="28" t="inlineStr">
        <is>
          <t>Build order</t>
        </is>
      </c>
      <c r="C175" s="28" t="inlineStr">
        <is>
          <t>Project context</t>
        </is>
      </c>
      <c r="D175" s="28" t="inlineStr">
        <is>
          <t>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E175" s="28" t="inlineStr">
        <is>
          <t>All current items</t>
        </is>
      </c>
      <c r="F175" s="28" t="inlineStr">
        <is>
          <t>Stories!B4</t>
        </is>
      </c>
    </row>
    <row r="176" ht="52" customHeight="1">
      <c r="A176" s="4" t="inlineStr">
        <is>
          <t>REQ-173</t>
        </is>
      </c>
      <c r="B176" s="4" t="inlineStr">
        <is>
          <t>Build order</t>
        </is>
      </c>
      <c r="C176" s="4" t="inlineStr">
        <is>
          <t>Project context</t>
        </is>
      </c>
      <c r="D176" s="4" t="inlineStr">
        <is>
          <t>Ask the developer to test first; test on their behalf only if delegated. A done response to test instructions confirms the developer tested it.</t>
        </is>
      </c>
      <c r="E176" s="4" t="inlineStr">
        <is>
          <t>All current items</t>
        </is>
      </c>
      <c r="F176" s="4" t="inlineStr">
        <is>
          <t>Stories!B4</t>
        </is>
      </c>
    </row>
    <row r="177" ht="100" customHeight="1">
      <c r="A177" s="28" t="inlineStr">
        <is>
          <t>REQ-174</t>
        </is>
      </c>
      <c r="B177" s="28" t="inlineStr">
        <is>
          <t>Build order</t>
        </is>
      </c>
      <c r="C177" s="28" t="inlineStr">
        <is>
          <t>Project context</t>
        </is>
      </c>
      <c r="D177" s="28" t="inlineStr">
        <is>
          <t>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t>
        </is>
      </c>
      <c r="E177" s="28" t="inlineStr">
        <is>
          <t>All current items</t>
        </is>
      </c>
      <c r="F177" s="28" t="inlineStr">
        <is>
          <t>Stories!B4</t>
        </is>
      </c>
    </row>
    <row r="178" ht="52" customHeight="1">
      <c r="A178" s="4" t="inlineStr">
        <is>
          <t>REQ-175</t>
        </is>
      </c>
      <c r="B178" s="4" t="inlineStr">
        <is>
          <t>Build order</t>
        </is>
      </c>
      <c r="C178" s="4" t="inlineStr">
        <is>
          <t>Project context</t>
        </is>
      </c>
      <c r="D178" s="4" t="inlineStr">
        <is>
          <t>Fixed ordering constraint: implement Super Admin recovery last.</t>
        </is>
      </c>
      <c r="E178" s="4" t="inlineStr">
        <is>
          <t>All current items</t>
        </is>
      </c>
      <c r="F178" s="4" t="inlineStr">
        <is>
          <t>Stories!B4</t>
        </is>
      </c>
    </row>
    <row r="179" ht="110" customHeight="1">
      <c r="A179" s="9" t="inlineStr">
        <is>
          <t>REQ-176</t>
        </is>
      </c>
      <c r="B179" s="9" t="inlineStr">
        <is>
          <t>Login design</t>
        </is>
      </c>
      <c r="C179" s="9" t="inlineStr">
        <is>
          <t>Current scope</t>
        </is>
      </c>
      <c r="D179" s="9" t="inlineStr">
        <is>
          <t>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t>
        </is>
      </c>
      <c r="E179" s="9" t="inlineStr">
        <is>
          <t>FB-002</t>
        </is>
      </c>
      <c r="F179" s="9" t="inlineStr">
        <is>
          <t>Stories!B5</t>
        </is>
      </c>
    </row>
    <row r="180" ht="110" customHeight="1">
      <c r="A180" s="4" t="inlineStr">
        <is>
          <t>REQ-177</t>
        </is>
      </c>
      <c r="B180" s="4" t="inlineStr">
        <is>
          <t>Login redesign task</t>
        </is>
      </c>
      <c r="C180" s="4" t="inlineStr">
        <is>
          <t>##FUTURE</t>
        </is>
      </c>
      <c r="D180" s="4" t="inlineStr">
        <is>
          <t>##FUTURE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t>
        </is>
      </c>
      <c r="E180" s="4" t="inlineStr">
        <is>
          <t>FB-002–FB-008 (prerequisites)</t>
        </is>
      </c>
      <c r="F180" s="4" t="inlineStr">
        <is>
          <t>Stories!B5</t>
        </is>
      </c>
    </row>
    <row r="181" ht="100" customHeight="1">
      <c r="A181" s="9" t="inlineStr">
        <is>
          <t>REQ-178</t>
        </is>
      </c>
      <c r="B181" s="9" t="inlineStr">
        <is>
          <t>Shared login: Remember me</t>
        </is>
      </c>
      <c r="C181" s="9" t="inlineStr">
        <is>
          <t>Current scope</t>
        </is>
      </c>
      <c r="D181" s="9" t="inlineStr">
        <is>
          <t>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81" s="9" t="inlineStr">
        <is>
          <t>FB-002, FB-003, FB-005</t>
        </is>
      </c>
      <c r="F181" s="9" t="inlineStr">
        <is>
          <t>Stories!B5</t>
        </is>
      </c>
    </row>
    <row r="182" ht="100" customHeight="1">
      <c r="A182" s="9" t="inlineStr">
        <is>
          <t>REQ-179</t>
        </is>
      </c>
      <c r="B182" s="9" t="inlineStr">
        <is>
          <t>Login keyboard order</t>
        </is>
      </c>
      <c r="C182" s="9" t="inlineStr">
        <is>
          <t>Current scope</t>
        </is>
      </c>
      <c r="D182" s="9" t="inlineStr">
        <is>
          <t>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t>
        </is>
      </c>
      <c r="E182" s="9" t="inlineStr">
        <is>
          <t>FB-003</t>
        </is>
      </c>
      <c r="F182" s="9" t="inlineStr">
        <is>
          <t>Stories!B6</t>
        </is>
      </c>
    </row>
    <row r="183">
      <c r="A183" t="inlineStr">
        <is>
          <t>REQ-180</t>
        </is>
      </c>
      <c r="B183" t="inlineStr">
        <is>
          <t>User details and navigation</t>
        </is>
      </c>
      <c r="C183" t="inlineStr">
        <is>
          <t>Current scope</t>
        </is>
      </c>
      <c r="D183" t="inlineStr">
        <is>
          <t>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t>
        </is>
      </c>
      <c r="E183" t="inlineStr">
        <is>
          <t>FB-020</t>
        </is>
      </c>
      <c r="F183" t="inlineStr">
        <is>
          <t>Stories!B12</t>
        </is>
      </c>
    </row>
    <row r="184">
      <c r="A184" t="inlineStr">
        <is>
          <t>REQ-181</t>
        </is>
      </c>
      <c r="B184" t="inlineStr">
        <is>
          <t>Department list search</t>
        </is>
      </c>
      <c r="C184" t="inlineStr">
        <is>
          <t>Current scope</t>
        </is>
      </c>
      <c r="D184" t="inlineStr">
        <is>
          <t>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t>
        </is>
      </c>
      <c r="E184" t="inlineStr">
        <is>
          <t>FB-027</t>
        </is>
      </c>
      <c r="F184" t="inlineStr">
        <is>
          <t>Stories!B30</t>
        </is>
      </c>
    </row>
    <row r="185">
      <c r="A185" t="inlineStr">
        <is>
          <t>REQ-182</t>
        </is>
      </c>
      <c r="B185" t="inlineStr">
        <is>
          <t>Inventory management — first version</t>
        </is>
      </c>
      <c r="C185" t="inlineStr">
        <is>
          <t>Current scope</t>
        </is>
      </c>
      <c r="D185" t="inlineStr">
        <is>
          <t>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t>
        </is>
      </c>
      <c r="E185" t="inlineStr">
        <is>
          <t>FB-028</t>
        </is>
      </c>
      <c r="F185" t="inlineStr">
        <is>
          <t>Stories!B31</t>
        </is>
      </c>
    </row>
    <row r="186">
      <c r="A186" t="inlineStr">
        <is>
          <t>REQ-183</t>
        </is>
      </c>
      <c r="B186" t="inlineStr">
        <is>
          <t>Inventory management — first version</t>
        </is>
      </c>
      <c r="C186" t="inlineStr">
        <is>
          <t>Current scope</t>
        </is>
      </c>
      <c r="D186" t="inlineStr">
        <is>
          <t>2026-10-29 approved change: Managers/Super Admin can change a Category department while editing. Load all departments alphabetically with the current one selected. If changed, Save asks confirmation identifying old/new departments; declining prevents submission, confirming saves the selected department and name. Require existing destination and category-name uniqueness within that destination (case/outer spaces ignored). Preserve Category ID. This supersedes fixed-parent Category editing only; Subcategory moves/deletions remain FUTURE.</t>
        </is>
      </c>
      <c r="E186" t="inlineStr">
        <is>
          <t>FB-028</t>
        </is>
      </c>
      <c r="F186" t="inlineStr">
        <is>
          <t>Stories!B31</t>
        </is>
      </c>
    </row>
    <row r="187">
      <c r="A187" t="inlineStr">
        <is>
          <t>REQ-184</t>
        </is>
      </c>
      <c r="B187" t="inlineStr">
        <is>
          <t>Module separation</t>
        </is>
      </c>
      <c r="C187" t="inlineStr">
        <is>
          <t>Current scope</t>
        </is>
      </c>
      <c r="D187" t="inlineStr">
        <is>
          <t>2026-10-29 approved: Product Catalogue manages classification, product identity/description, optional brand/tags and status only. Stock Management owns all package sizes/types, counting/contents/summary units, quantities, receiving, distributing, adjustments, balances, totals and history. Catalogue must show no sizes or quantities. Block deactivation while any related stock remains through a server-side stock check. This supersedes prior package-on-product and Subcategory-summary-unit rules. Modules share product identity within one application; reusable package_sizes + product/package stock_items + stock_movements structure is now approved (see shared-package requirement). Summary configuration, package-management permissions and classification-lock details remain to be settled before implementation. Subcategory creation now requires only Category and name.</t>
        </is>
      </c>
      <c r="E187" t="inlineStr">
        <is>
          <t>FB-029–FB-068</t>
        </is>
      </c>
      <c r="F187" t="inlineStr">
        <is>
          <t>Stories!B32</t>
        </is>
      </c>
    </row>
    <row r="188">
      <c r="A188" t="inlineStr">
        <is>
          <t>REQ-185</t>
        </is>
      </c>
      <c r="B188" t="inlineStr">
        <is>
          <t>Stock Management — shared package definitions</t>
        </is>
      </c>
      <c r="C188" t="inlineStr">
        <is>
          <t>Current scope</t>
        </is>
      </c>
      <c r="D188" t="inlineStr">
        <is>
          <t>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t>
        </is>
      </c>
      <c r="E188" t="inlineStr">
        <is>
          <t>FB-034, FB-049–FB-056, FB-059–FB-068</t>
        </is>
      </c>
      <c r="F188" t="inlineStr">
        <is>
          <t>Stories!B52</t>
        </is>
      </c>
    </row>
    <row r="189">
      <c r="A189" t="inlineStr">
        <is>
          <t>REQ-186</t>
        </is>
      </c>
      <c r="B189" t="inlineStr">
        <is>
          <t>Product Catalogue — Subcategory creation</t>
        </is>
      </c>
      <c r="C189" t="inlineStr">
        <is>
          <t>Current scope</t>
        </is>
      </c>
      <c r="D189" t="inlineStr">
        <is>
          <t>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t>
        </is>
      </c>
      <c r="E189" t="inlineStr">
        <is>
          <t>FB-029</t>
        </is>
      </c>
      <c r="F189" t="inlineStr">
        <is>
          <t>Stories!B32</t>
        </is>
      </c>
    </row>
  </sheetData>
  <mergeCells count="2">
    <mergeCell ref="A2:F2"/>
    <mergeCell ref="A1:F1"/>
  </mergeCells>
  <conditionalFormatting sqref="C4:C178">
    <cfRule type="containsText" priority="1" operator="containsText" dxfId="1" text="##FUTUR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2026-10-29T10:25:18Z</dcterms:created>
  <dcterms:modified xmlns:dcterms="http://purl.org/dc/terms/" xmlns:xsi="http://www.w3.org/2001/XMLSchema-instance" xsi:type="dcterms:W3CDTF">2026-10-29T22:23:02Z</dcterms:modified>
</cp:coreProperties>
</file>