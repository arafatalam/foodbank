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9bbc614e6f58482d" /></Relationships>
</file>

<file path=xl/workbook.xml><?xml version="1.0" encoding="utf-8"?>
<x:workbook xmlns:x="http://schemas.openxmlformats.org/spreadsheetml/2006/main">
  <x:sheets>
    <x:sheet xmlns:r="http://schemas.openxmlformats.org/officeDocument/2006/relationships" name="Start Here" sheetId="1" r:id="R48ba8a15605c48c3"/>
    <x:sheet xmlns:r="http://schemas.openxmlformats.org/officeDocument/2006/relationships" name="Stories" sheetId="2" r:id="R7c197e22cde64d32"/>
    <x:sheet xmlns:r="http://schemas.openxmlformats.org/officeDocument/2006/relationships" name="Requirements" sheetId="3" r:id="Rcc1ccd24340c4cd4"/>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aacfed9c2760431b" /><Relationship Type="http://schemas.openxmlformats.org/officeDocument/2006/relationships/theme" Target="/xl/theme/theme1.xml" Id="Rbe0104592adc432b" /><Relationship Type="http://schemas.openxmlformats.org/officeDocument/2006/relationships/sharedStrings" Target="/xl/sharedStrings.xml" Id="Rf92e2e7cf793468b" /><Relationship Type="http://schemas.openxmlformats.org/officeDocument/2006/relationships/worksheet" Target="/xl/worksheets/sheet1.xml" Id="R48ba8a15605c48c3" /><Relationship Type="http://schemas.openxmlformats.org/officeDocument/2006/relationships/worksheet" Target="/xl/worksheets/sheet2.xml" Id="R7c197e22cde64d32" /><Relationship Type="http://schemas.openxmlformats.org/officeDocument/2006/relationships/worksheet" Target="/xl/worksheets/sheet3.xml" Id="Rcc1ccd24340c4cd4"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7e328e8a7c13421b" /></Relationships>
</file>

<file path=xl/worksheets/_rels/sheet3.xml.rels>&#65279;<?xml version="1.0" encoding="utf-8"?><Relationships xmlns="http://schemas.openxmlformats.org/package/2006/relationships"><Relationship Type="http://schemas.openxmlformats.org/officeDocument/2006/relationships/table" Target="/xl/tables/table2.xml" Id="Rb3642f61181e46d0"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4</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18</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FB-021</x:v>
      </x:c>
      <x:c r="C10" s="15" t="n"/>
      <x:c r="D10" s="18" t="inlineStr">
        <x:is>
          <x:t xml:space="preserve">Only test application behaviour yourself after the developer delegates it.</x:t>
        </x:is>
      </x:c>
    </x:row>
    <x:row r="11" ht="24" customHeight="1">
      <x:c r="A11" s="15" t="inlineStr">
        <x:is>
          <x:t xml:space="preserve">Verified progress</x:t>
        </x:is>
      </x:c>
      <x:c r="B11" s="29" t="inlineStr">
        <x:is>
          <x:t xml:space="preserve">2026-10-28: non-password creation checks/review evidence retained; phone cleanup remains failed but repair/review/retest explicitly deferred to project end by developer. Password and username-concurrency deferrals preserved. Developer requested user-list lessons now; no new item marked Complete.</x:t>
        </x:is>
      </x:c>
      <x:c r="C11" s="15" t="n"/>
    </x:row>
    <x:row r="12">
      <x:c r="A12" s="15" t="n"/>
      <x:c r="B12" s="15" t="str">
        <x:v>Before starting/resuming this item or feature: reread AGENTS.md from disk; apply teaching/testing rules. Await developer applying Index.vue canEdit:boolean and :disabled binding and reporting role-matrix check: manager volunteers only, volunteer none, Super Admin managers/volunteers only; own account always disabled under current rules. A done reply following these explicit checks records developer-reported testing only. Completed-feature review still required; navigation not yet connected. Preserve prior evidence and all pending/deferred checks.</x:v>
      </x:c>
      <x:c r="C12" s="15" t="n"/>
      <x:c r="D12" s="15" t="n"/>
      <x:c r="E12" s="15" t="n"/>
      <x:c r="F12" s="15" t="n"/>
      <x:c r="G12" s="15" t="n"/>
      <x:c r="H12" s="15" t="n"/>
    </x:row>
    <x:row r="13" ht="40" customHeight="1">
      <x:c r="A13" s="21" t="inlineStr">
        <x:is>
          <x:t xml:space="preserve">Current item ID</x:t>
        </x:is>
      </x:c>
      <x:c r="B13" s="22" t="str">
        <x:v>FB-021</x:v>
      </x:c>
    </x:row>
    <x:row r="14" ht="100" customHeight="1">
      <x:c r="A14" s="21" t="inlineStr">
        <x:is>
          <x:t xml:space="preserve">Current lesson</x:t>
        </x:is>
      </x:c>
      <x:c r="B14" s="22" t="str">
        <x:v>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x:v>
      </x:c>
    </x:row>
    <x:row r="15" ht="100" customHeight="1">
      <x:c r="A15" s="21" t="inlineStr">
        <x:is>
          <x:t xml:space="preserve">Next action</x:t>
        </x:is>
      </x:c>
      <x:c r="B15" s="22" t="str">
        <x:v>Before starting/resuming this item or feature: reread AGENTS.md from disk; apply teaching/testing rules. Await developer applying Index.vue canEdit:boolean and :disabled binding and reporting role-matrix check: manager volunteers only, volunteer none, Super Admin managers/volunteers only; own account always disabled under current rules. A done reply following these explicit checks records developer-reported testing only. Completed-feature review still required; navigation not yet connected. Preserve prior evidence and all pending/deferred checks.</x:v>
      </x:c>
    </x:row>
    <x:row r="16" ht="65" customHeight="1">
      <x:c r="A16" s="21" t="inlineStr">
        <x:is>
          <x:t xml:space="preserve">Waiting on</x:t>
        </x:is>
      </x:c>
      <x:c r="B16" s="22" t="str">
        <x:v>Awaiting developer applying Vue disabled binding and checking button states for each role; navigation remains unconnected.</x:v>
      </x:c>
    </x:row>
    <x:row r="17" ht="65" customHeight="1">
      <x:c r="A17" s="21" t="inlineStr">
        <x:is>
          <x:t xml:space="preserve">Last reviewed revision</x:t>
        </x:is>
      </x:c>
      <x:c r="B17" s="22" t="str">
        <x:v>2026-10-29 Edit.vue::submit confirmation-only change source-reviewed; actual function tested in18 focused scenarios. Backend unchanged since27-test role/status checkpoint.</x:v>
      </x:c>
    </x:row>
    <x:row r="18" ht="40" customHeight="1">
      <x:c r="A18" s="21" t="inlineStr">
        <x:is>
          <x:t xml:space="preserve">Current item status</x:t>
        </x:is>
      </x:c>
      <x:c r="B18" s="18" t="str">
        <x:v>In progress</x:v>
      </x:c>
    </x:row>
    <x:row r="19">
      <x:c r="A19" s="15" t="n"/>
      <x:c r="B19" s="15" t="str">
        <x:v>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x:v>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x:t>
        </x:is>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inlineStr">
        <x:is>
          <x:t xml:space="preserve">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x:t>
        </x:is>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Changes needed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9" s="31" t="n">
        <x:v>46323.5</x:v>
      </x:c>
      <x:c r="M9" s="11" t="inlineStr">
        <x:is>
          <x:t xml:space="preserve">Assistant (explicitly delegated; prior developer evidence retained)</x:t>
        </x:is>
      </x:c>
      <x:c r="N9" s="11" t="inlineStr">
        <x:is>
          <x:t xml:space="preserve">Failed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t>
        </x:is>
      </x:c>
      <x:c r="P9" s="31" t="n">
        <x:v>46323.5</x:v>
      </x:c>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R9"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Changes needed</x:t>
        </x:is>
      </x:c>
      <x:c r="K10" s="10"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10" s="30" t="n">
        <x:v>46323.5</x:v>
      </x:c>
      <x:c r="M10" s="10" t="inlineStr">
        <x:is>
          <x:t xml:space="preserve">Assistant (explicitly delegated; prior developer evidence retained)</x:t>
        </x:is>
      </x:c>
      <x:c r="N10" s="10" t="inlineStr">
        <x:is>
          <x:t xml:space="preserve">Failed</x:t>
        </x:is>
      </x:c>
      <x:c r="O10" s="10" t="inlineStr">
        <x:is>
          <x: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t>
        </x:is>
      </x:c>
      <x:c r="P10" s="30" t="n">
        <x:v>46323.5</x:v>
      </x:c>
      <x:c r="Q10" s="10" t="inlineStr">
        <x:is>
          <x: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R10" s="10"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Changes needed</x:t>
        </x:is>
      </x:c>
      <x:c r="K11" s="11"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11" s="31" t="n">
        <x:v>46323.5</x:v>
      </x:c>
      <x:c r="M11" s="11" t="inlineStr">
        <x:is>
          <x:t xml:space="preserve">Assistant (delegated browser checks)</x:t>
        </x:is>
      </x:c>
      <x:c r="N11" s="11" t="inlineStr">
        <x:is>
          <x:t xml:space="preserve">Not tested</x:t>
        </x:is>
      </x:c>
      <x:c r="O11" s="11" t="inlineStr">
        <x:is>
          <x: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x:t>
        </x:is>
      </x:c>
      <x:c r="P11" s="31" t="n">
        <x:v>46323.5</x:v>
      </x:c>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R11" s="11" t="inlineStr">
        <x:is>
          <x: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Changes needed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x:t>
        </x:is>
      </x:c>
      <x:c r="L13" s="31" t="n">
        <x:v>46323.5</x:v>
      </x:c>
      <x:c r="M13" s="11" t="inlineStr">
        <x:is>
          <x:t xml:space="preserve">Assistant (explicitly delegated; prior developer evidence retained)</x:t>
        </x:is>
      </x:c>
      <x:c r="N13" s="11" t="inlineStr">
        <x:is>
          <x:t xml:space="preserve">Failed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x:t>
        </x:is>
      </x:c>
      <x:c r="P13" s="31" t="n">
        <x:v>46323.5</x:v>
      </x:c>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R13"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t>
        </x:is>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inlineStr">
        <x:is>
          <x:t xml:space="preserve">In progress</x:t>
        </x:is>
      </x:c>
      <x:c r="J16" s="10" t="inlineStr">
        <x:is>
          <x:t xml:space="preserve">Not reviewed</x:t>
        </x:is>
      </x:c>
      <x:c r="K16" s="10" t="n"/>
      <x:c r="L16" s="30" t="n"/>
      <x:c r="M16" s="10" t="n"/>
      <x:c r="N16" s="10" t="inlineStr">
        <x:is>
          <x:t xml:space="preserve">Not tested</x:t>
        </x:is>
      </x:c>
      <x:c r="O16" s="10" t="n"/>
      <x:c r="P16" s="30" t="n"/>
      <x:c r="Q16" s="10" t="inlineStr">
        <x:is>
          <x: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16" s="10" t="inlineStr">
        <x:is>
          <x: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Shared directory available to every signed-in user; all three roles, active and inactive. SIX separate columns First name, Last name, Email, Phone, Role, Status. Fictional props/loops/stable keys first. Separate full-details/management permissions. No pictures now. REQ-041.</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inlineStr">
        <x:is>
          <x:t xml:space="preserve">In progress</x:t>
        </x:is>
      </x:c>
      <x:c r="J17" s="11" t="inlineStr">
        <x:is>
          <x:t xml:space="preserve">Not reviewed</x:t>
        </x:is>
      </x:c>
      <x:c r="K17" s="11" t="n"/>
      <x:c r="L17" s="31" t="n">
        <x:v>46324</x:v>
      </x:c>
      <x:c r="M17" s="11" t="inlineStr">
        <x:is>
          <x:t xml:space="preserve">Developer</x:t>
        </x:is>
      </x:c>
      <x:c r="N17" s="11" t="inlineStr">
        <x:is>
          <x:t xml:space="preserve">Partial</x:t>
        </x:is>
      </x:c>
      <x:c r="O17" s="11" t="inlineStr">
        <x:is>
          <x: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x:t>
        </x:is>
      </x:c>
      <x:c r="P17" s="31" t="inlineStr">
        <x:is>
          <x:t xml:space="preserve">2026-10-29</x:t>
        </x:is>
      </x:c>
      <x:c r="Q17" s="11" t="inlineStr">
        <x:is>
          <x: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17"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x:t>
        </x:is>
      </x:c>
      <x:c r="F18" s="4" t="inlineStr">
        <x:is>
          <x:t xml:space="preserve">FB-009</x:t>
        </x:is>
      </x:c>
      <x:c r="G18" s="4" t="str">
        <x:f>IF(H18="Complete","Complete",IF(I18="Blocked","Blocked",IF(I18="In progress","Ready",IF(F18="","Ready",IF(COUNTIFS($B$4:$B$73,F18,$H$4:$H$73,"Complete")=1,"Ready","Waiting")))))</x:f>
        <x:v>Ready</x:v>
      </x:c>
      <x:c r="H18" s="4" t="str">
        <x:f>IF(I18="Not started","Not started",IF(I18="Blocked","Blocked",IF(I18="In progress","In progress",IF(J18&lt;&gt;"Passed","Awaiting code review",IF(OR(K18="",NOT(ISNUMBER(L18))),"Awaiting review evidence",IF(N18&lt;&gt;"Passed","Awaiting test",IF(OR(M18="",O18="",NOT(ISNUMBER(P18))),"Awaiting test evidence","Complete")))))))</x:f>
        <x:v>In progress</x:v>
      </x:c>
      <x:c r="I18" s="10" t="inlineStr">
        <x:is>
          <x:t xml:space="preserve">In progress</x:t>
        </x:is>
      </x:c>
      <x:c r="J18" s="10" t="inlineStr">
        <x:is>
          <x:t xml:space="preserve">Not reviewed</x:t>
        </x:is>
      </x:c>
      <x:c r="K18" s="10" t="n"/>
      <x:c r="L18" s="30" t="n">
        <x:v>46324</x:v>
      </x:c>
      <x:c r="M18" s="10" t="inlineStr">
        <x:is>
          <x:t xml:space="preserve">Developer</x:t>
        </x:is>
      </x:c>
      <x:c r="N18" s="10" t="inlineStr">
        <x:is>
          <x:t xml:space="preserve">Partial</x:t>
        </x:is>
      </x:c>
      <x:c r="O18" s="10" t="inlineStr">
        <x:is>
          <x: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x:t>
        </x:is>
      </x:c>
      <x:c r="P18" s="30" t="n"/>
      <x:c r="Q18" s="10" t="inlineStr">
        <x:is>
          <x: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18"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x:t>
        </x:is>
      </x:c>
      <x:c r="F19" s="9" t="inlineStr">
        <x:is>
          <x:t xml:space="preserve">FB-010</x:t>
        </x:is>
      </x:c>
      <x:c r="G19" s="9" t="str">
        <x:f>IF(H19="Complete","Complete",IF(I19="Blocked","Blocked",IF(I19="In progress","Ready",IF(F19="","Ready",IF(COUNTIFS($B$4:$B$73,F19,$H$4:$H$73,"Complete")=1,"Ready","Waiting")))))</x:f>
        <x:v>Ready</x:v>
      </x:c>
      <x:c r="H19" s="9" t="str">
        <x:f>IF(I19="Not started","Not started",IF(I19="Blocked","Blocked",IF(I19="In progress","In progress",IF(J19&lt;&gt;"Passed","Awaiting code review",IF(OR(K19="",NOT(ISNUMBER(L19))),"Awaiting review evidence",IF(N19&lt;&gt;"Passed","Awaiting test",IF(OR(M19="",O19="",NOT(ISNUMBER(P19))),"Awaiting test evidence","Complete")))))))</x:f>
        <x:v>In progress</x:v>
      </x:c>
      <x:c r="I19" s="11" t="inlineStr">
        <x:is>
          <x:t xml:space="preserve">In progress</x:t>
        </x:is>
      </x:c>
      <x:c r="J19" s="11" t="inlineStr">
        <x:is>
          <x:t xml:space="preserve">Not reviewed</x:t>
        </x:is>
      </x:c>
      <x:c r="K19" s="11" t="n"/>
      <x:c r="L19" s="31" t="n">
        <x:v>46324</x:v>
      </x:c>
      <x:c r="M19" s="11" t="inlineStr">
        <x:is>
          <x:t xml:space="preserve">Developer</x:t>
        </x:is>
      </x:c>
      <x:c r="N19" s="11" t="inlineStr">
        <x:is>
          <x:t xml:space="preserve">Partial</x:t>
        </x:is>
      </x:c>
      <x:c r="O19" s="11" t="inlineStr">
        <x:is>
          <x: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x:t>
        </x:is>
      </x:c>
      <x:c r="P19" s="31" t="n"/>
      <x:c r="Q19" s="11" t="inlineStr">
        <x:is>
          <x: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19"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9" s="11" t="n"/>
    </x:row>
    <x:row r="20" ht="105" customHeight="1">
      <x:c r="A20" s="4" t="n">
        <x:v>17</x:v>
      </x:c>
      <x:c r="B20" s="4" t="inlineStr">
        <x:is>
          <x:t xml:space="preserve">FB-012</x:t>
        </x:is>
      </x:c>
      <x:c r="C20" s="4" t="inlineStr">
        <x:is>
          <x:t xml:space="preserve">Accounts</x:t>
        </x:is>
      </x:c>
      <x:c r="D20" s="4" t="inlineStr">
        <x:is>
          <x:t xml:space="preserve">Extend directory search to partial role names</x:t>
        </x:is>
      </x:c>
      <x:c r="E20" s="4" t="inlineStr">
        <x:is>
          <x:t xml:space="preserve">Same single search box matches role labels as well as first name, last name, email or phone. manager, mana and manag find Managers. Search applies before pagination; no separate status or role dropdown. Related rule: REQ-041.</x:t>
        </x:is>
      </x:c>
      <x:c r="F20" s="4" t="inlineStr">
        <x:is>
          <x:t xml:space="preserve">FB-011</x:t>
        </x:is>
      </x:c>
      <x:c r="G20" s="4" t="str">
        <x:f>IF(H20="Complete","Complete",IF(I20="Blocked","Blocked",IF(I20="In progress","Ready",IF(F20="","Ready",IF(COUNTIFS($B$4:$B$73,F20,$H$4:$H$73,"Complete")=1,"Ready","Waiting")))))</x:f>
        <x:v>Ready</x:v>
      </x:c>
      <x:c r="H20" s="4" t="str">
        <x:f>IF(I20="Not started","Not started",IF(I20="Blocked","Blocked",IF(I20="In progress","In progress",IF(J20&lt;&gt;"Passed","Awaiting code review",IF(OR(K20="",NOT(ISNUMBER(L20))),"Awaiting review evidence",IF(N20&lt;&gt;"Passed","Awaiting test",IF(OR(M20="",O20="",NOT(ISNUMBER(P20))),"Awaiting test evidence","Complete")))))))</x:f>
        <x:v>In progress</x:v>
      </x:c>
      <x:c r="I20" s="10" t="inlineStr">
        <x:is>
          <x:t xml:space="preserve">In progress</x:t>
        </x:is>
      </x:c>
      <x:c r="J20" s="10" t="inlineStr">
        <x:is>
          <x:t xml:space="preserve">Not reviewed</x:t>
        </x:is>
      </x:c>
      <x:c r="K20" s="10" t="n"/>
      <x:c r="L20" s="30" t="n">
        <x:v>46324</x:v>
      </x:c>
      <x:c r="M20" s="10" t="inlineStr">
        <x:is>
          <x:t xml:space="preserve">Developer</x:t>
        </x:is>
      </x:c>
      <x:c r="N20" s="10" t="inlineStr">
        <x:is>
          <x:t xml:space="preserve">Partial</x:t>
        </x:is>
      </x:c>
      <x:c r="O20" s="10" t="inlineStr">
        <x:is>
          <x:t xml:space="preserve">2026-10-29 developer-reported partial role checks PASS: mana, volun, Super Admin within all-searches confirmation. manag-specific and full-feature verification pending.</x:t>
        </x:is>
      </x:c>
      <x:c r="P20" s="30" t="n"/>
      <x:c r="Q20" s="10" t="inlineStr">
        <x:is>
          <x: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0"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0" s="10" t="n"/>
    </x:row>
    <x:row r="21" ht="105" customHeight="1">
      <x:c r="A21" s="9" t="n">
        <x:v>18</x:v>
      </x:c>
      <x:c r="B21" s="9" t="inlineStr">
        <x:is>
          <x:t xml:space="preserve">FB-013</x:t>
        </x:is>
      </x:c>
      <x:c r="C21" s="9" t="inlineStr">
        <x:is>
          <x:t xml:space="preserve">Accounts</x:t>
        </x:is>
      </x:c>
      <x:c r="D21" s="9" t="inlineStr">
        <x:is>
          <x:t xml:space="preserve">Handle cleared searches and no matching users</x:t>
        </x:is>
      </x:c>
      <x:c r="E21" s="9" t="inlineStr">
        <x:is>
          <x:t xml:space="preserve">Clearing the single search restores the full permitted directory; a search with no matches displays an understandable empty result. Include contact and partial-role searches. No separate role/status dropdowns. Related rule: REQ-041.</x:t>
        </x:is>
      </x:c>
      <x:c r="F21" s="9" t="inlineStr">
        <x:is>
          <x:t xml:space="preserve">FB-012</x:t>
        </x:is>
      </x:c>
      <x:c r="G21" s="9" t="str">
        <x:f>IF(H21="Complete","Complete",IF(I21="Blocked","Blocked",IF(I21="In progress","Ready",IF(F21="","Ready",IF(COUNTIFS($B$4:$B$73,F21,$H$4:$H$73,"Complete")=1,"Ready","Waiting")))))</x:f>
        <x:v>Ready</x:v>
      </x:c>
      <x:c r="H21" s="9" t="str">
        <x:f>IF(I21="Not started","Not started",IF(I21="Blocked","Blocked",IF(I21="In progress","In progress",IF(J21&lt;&gt;"Passed","Awaiting code review",IF(OR(K21="",NOT(ISNUMBER(L21))),"Awaiting review evidence",IF(N21&lt;&gt;"Passed","Awaiting test",IF(OR(M21="",O21="",NOT(ISNUMBER(P21))),"Awaiting test evidence","Complete")))))))</x:f>
        <x:v>In progress</x:v>
      </x:c>
      <x:c r="I21" s="11" t="inlineStr">
        <x:is>
          <x:t xml:space="preserve">In progress</x:t>
        </x:is>
      </x:c>
      <x:c r="J21" s="11" t="inlineStr">
        <x:is>
          <x:t xml:space="preserve">Not reviewed</x:t>
        </x:is>
      </x:c>
      <x:c r="K21" s="11" t="n"/>
      <x:c r="L21" s="31" t="n">
        <x:v>46324</x:v>
      </x:c>
      <x:c r="M21" s="11" t="inlineStr">
        <x:is>
          <x:t xml:space="preserve">Developer</x:t>
        </x:is>
      </x:c>
      <x:c r="N21" s="11" t="inlineStr">
        <x:is>
          <x:t xml:space="preserve">Passed</x:t>
        </x:is>
      </x:c>
      <x:c r="O21" s="11" t="inlineStr">
        <x:is>
          <x: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x:t>
        </x:is>
      </x:c>
      <x:c r="P21" s="31" t="n">
        <x:v>46324</x:v>
      </x:c>
      <x:c r="Q21" s="11" t="inlineStr">
        <x:is>
          <x: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1"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x:t>
        </x:is>
      </x:c>
      <x:c r="F22" s="4" t="inlineStr">
        <x:is>
          <x:t xml:space="preserve">FB-013</x:t>
        </x:is>
      </x:c>
      <x:c r="G22" s="4" t="str">
        <x:f>IF(H22="Complete","Complete",IF(I22="Blocked","Blocked",IF(I22="In progress","Ready",IF(F22="","Ready",IF(COUNTIFS($B$4:$B$73,F22,$H$4:$H$73,"Complete")=1,"Ready","Waiting")))))</x:f>
        <x:v>Ready</x:v>
      </x:c>
      <x:c r="H22" s="4" t="str">
        <x:f>IF(I22="Not started","Not started",IF(I22="Blocked","Blocked",IF(I22="In progress","In progress",IF(J22&lt;&gt;"Passed","Awaiting code review",IF(OR(K22="",NOT(ISNUMBER(L22))),"Awaiting review evidence",IF(N22&lt;&gt;"Passed","Awaiting test",IF(OR(M22="",O22="",NOT(ISNUMBER(P22))),"Awaiting test evidence","Complete")))))))</x:f>
        <x:v>In progress</x:v>
      </x:c>
      <x:c r="I22" s="10" t="inlineStr">
        <x:is>
          <x:t xml:space="preserve">In progress</x:t>
        </x:is>
      </x:c>
      <x:c r="J22" s="10" t="inlineStr">
        <x:is>
          <x:t xml:space="preserve">Not reviewed</x:t>
        </x:is>
      </x:c>
      <x:c r="K22" s="10" t="n"/>
      <x:c r="L22" s="30" t="n">
        <x:v>46324</x:v>
      </x:c>
      <x:c r="M22" s="10" t="inlineStr">
        <x:is>
          <x:t xml:space="preserve">Developer</x:t>
        </x:is>
      </x:c>
      <x:c r="N22" s="10" t="inlineStr">
        <x:is>
          <x:t xml:space="preserve">Passed</x:t>
        </x:is>
      </x:c>
      <x:c r="O22" s="10" t="inlineStr">
        <x:is>
          <x: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x:t>
        </x:is>
      </x:c>
      <x:c r="P22" s="30" t="n">
        <x:v>46324</x:v>
      </x:c>
      <x:c r="Q22" s="10" t="inlineStr">
        <x:is>
          <x: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2"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2" s="10" t="n"/>
    </x:row>
    <x:row r="23" ht="105" customHeight="1">
      <x:c r="A23" s="9" t="n">
        <x:v>20</x:v>
      </x:c>
      <x:c r="B23" s="9" t="inlineStr">
        <x:is>
          <x:t xml:space="preserve">FB-015</x:t>
        </x:is>
      </x:c>
      <x:c r="C23" s="9" t="inlineStr">
        <x:is>
          <x:t xml:space="preserve">Accounts</x:t>
        </x:is>
      </x:c>
      <x:c r="D23" s="9" t="inlineStr">
        <x:is>
          <x:t xml:space="preserve">Verify shared directory access on the server</x:t>
        </x:is>
      </x:c>
      <x:c r="E23" s="9" t="inlineStr">
        <x:is>
          <x: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x:t>
        </x:is>
      </x:c>
      <x:c r="F23" s="9" t="inlineStr">
        <x:is>
          <x:t xml:space="preserve">FB-014</x:t>
        </x:is>
      </x:c>
      <x:c r="G23" s="9" t="str">
        <x:f>IF(H23="Complete","Complete",IF(I23="Blocked","Blocked",IF(I23="In progress","Ready",IF(F23="","Ready",IF(COUNTIFS($B$4:$B$73,F23,$H$4:$H$73,"Complete")=1,"Ready","Waiting")))))</x:f>
        <x:v>Ready</x:v>
      </x:c>
      <x:c r="H23" s="9" t="str">
        <x:f>IF(I23="Not started","Not started",IF(I23="Blocked","Blocked",IF(I23="In progress","In progress",IF(J23&lt;&gt;"Passed","Awaiting code review",IF(OR(K23="",NOT(ISNUMBER(L23))),"Awaiting review evidence",IF(N23&lt;&gt;"Passed","Awaiting test",IF(OR(M23="",O23="",NOT(ISNUMBER(P23))),"Awaiting test evidence","Complete")))))))</x:f>
        <x:v>In progress</x:v>
      </x:c>
      <x:c r="I23" s="11" t="inlineStr">
        <x:is>
          <x:t xml:space="preserve">In progress</x:t>
        </x:is>
      </x:c>
      <x:c r="J23" s="11" t="inlineStr">
        <x:is>
          <x:t xml:space="preserve">Not reviewed</x:t>
        </x:is>
      </x:c>
      <x:c r="K23" s="11" t="n"/>
      <x:c r="L23" s="31" t="n"/>
      <x:c r="M23" s="11" t="inlineStr">
        <x:is>
          <x:t xml:space="preserve">Developer</x:t>
        </x:is>
      </x:c>
      <x:c r="N23" s="11" t="inlineStr">
        <x:is>
          <x:t xml:space="preserve">Partial</x:t>
        </x:is>
      </x:c>
      <x:c r="O23" s="11" t="inlineStr">
        <x:is>
          <x: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x:t>
        </x:is>
      </x:c>
      <x:c r="P23" s="31" t="n"/>
      <x:c r="Q23" s="11" t="inlineStr">
        <x:is>
          <x: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23"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FB-015</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n"/>
      <x:c r="R24" s="10" t="inlineStr">
        <x:is>
          <x:t xml:space="preserve">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str">
        <x:v>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x:v>
      </x:c>
      <x:c r="F25" s="9" t="inlineStr">
        <x:is>
          <x:t xml:space="preserve">FB-008</x:t>
        </x:is>
      </x:c>
      <x:c r="G25" s="9" t="str">
        <x:f>IF(H25="Complete","Complete",IF(I25="Blocked","Blocked",IF(I25="In progress","Ready",IF(F25="","Ready",IF(COUNTIFS($B$4:$B$73,F25,$H$4:$H$73,"Complete")=1,"Ready","Waiting")))))</x:f>
        <x:v>Ready</x:v>
      </x:c>
      <x:c r="H25" s="9" t="str">
        <x:f>IF(I25="Not started","Not started",IF(I25="Blocked","Blocked",IF(I25="In progress","In progress",IF(J25&lt;&gt;"Passed","Awaiting code review",IF(OR(K25="",NOT(ISNUMBER(L25))),"Awaiting review evidence",IF(N25&lt;&gt;"Passed","Awaiting test",IF(OR(M25="",O25="",NOT(ISNUMBER(P25))),"Awaiting test evidence","Complete")))))))</x:f>
        <x:v>In progress</x:v>
      </x:c>
      <x:c r="I25" s="11" t="str">
        <x:v>In progress</x:v>
      </x:c>
      <x:c r="J25" s="11" t="str">
        <x:v>Passed</x:v>
      </x:c>
      <x:c r="K25" s="11" t="str">
        <x:v>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x:v>
      </x:c>
      <x:c r="L25" s="31" t="n">
        <x:v>46324</x:v>
      </x:c>
      <x:c r="M25" s="11" t="str">
        <x:v>Assistant (explicitly delegated); earlier developer page check retained</x:v>
      </x:c>
      <x:c r="N25" s="11" t="str">
        <x:v>Partial</x:v>
      </x:c>
      <x:c r="O25" s="11" t="str">
        <x:v>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x:v>
      </x:c>
      <x:c r="P25" s="31" t="n">
        <x:v>46324</x:v>
      </x:c>
      <x:c r="Q25" s="11" t="str">
        <x:v>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x:v>
      </x:c>
      <x:c r="R25" s="11" t="str">
        <x:v>Before starting/resuming this item or feature: reread AGENTS.md from disk; apply teaching/testing rules. Await developer applying Index.vue canEdit:boolean and :disabled binding and reporting role-matrix check: manager volunteers only, volunteer none, Super Admin managers/volunteers only; own account always disabled under current rules. A done reply following these explicit checks records developer-reported testing only. Completed-feature review still required; navigation not yet connected. Preserve prior evidence and all pending/deferred checks.</x:v>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Ready</x:v>
      </x:c>
      <x:c r="H26" s="4" t="str">
        <x:f>IF(I26="Not started","Not started",IF(I26="Blocked","Blocked",IF(I26="In progress","In progress",IF(J26&lt;&gt;"Passed","Awaiting code review",IF(OR(K26="",NOT(ISNUMBER(L26))),"Awaiting review evidence",IF(N26&lt;&gt;"Passed","Awaiting test",IF(OR(M26="",O26="",NOT(ISNUMBER(P26))),"Awaiting test evidence","Complete")))))))</x:f>
        <x:v>In progress</x:v>
      </x:c>
      <x:c r="I26" s="10" t="str">
        <x:v>In progress</x:v>
      </x:c>
      <x:c r="J26" s="10" t="inlineStr">
        <x:is>
          <x:t xml:space="preserve">Not reviewed</x:t>
        </x:is>
      </x:c>
      <x:c r="K26" s="10" t="str">
        <x:v>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x:v>
      </x:c>
      <x:c r="L26" s="30" t="n"/>
      <x:c r="M26" s="10" t="str">
        <x:v>Assistant (explicit narrow test delegation)</x:v>
      </x:c>
      <x:c r="N26" s="10" t="str">
        <x:v>Partial</x:v>
      </x:c>
      <x:c r="O26" s="10" t="str">
        <x:v>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x:v>
      </x:c>
      <x:c r="P26" s="30" t="n">
        <x:v>46324</x:v>
      </x:c>
      <x:c r="Q26" s="10" t="str">
        <x:v>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x:v>
      </x:c>
      <x:c r="R26" s="10" t="str">
        <x:v>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x:v>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FB-022</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x:t>
        </x:is>
      </x:c>
      <x:c r="R27" s="11" t="inlineStr">
        <x:is>
          <x:t xml:space="preserve">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FB-023</x:t>
        </x:is>
      </x:c>
      <x:c r="G28" s="4" t="str">
        <x:f>IF(H28="Complete","Complete",IF(I28="Blocked","Blocked",IF(I28="In progress","Ready",IF(F28="","Ready",IF(COUNTIFS($B$4:$B$73,F28,$H$4:$H$73,"Complete")=1,"Ready","Waiting")))))</x:f>
        <x:v>Waiting</x:v>
      </x:c>
      <x:c r="H28" s="4" t="str">
        <x:f>IF(I28="Not started","Not started",IF(I28="Blocked","Blocked",IF(I28="In progress","In progress",IF(J28&lt;&gt;"Passed","Awaiting code review",IF(OR(K28="",NOT(ISNUMBER(L28))),"Awaiting review evidence",IF(N28&lt;&gt;"Passed","Awaiting test",IF(OR(M28="",O28="",NOT(ISNUMBER(P28))),"Awaiting test evidence","Complete")))))))</x:f>
        <x:v>Not started</x:v>
      </x:c>
      <x:c r="I28" s="10" t="inlineStr">
        <x:is>
          <x:t xml:space="preserve">Not started</x:t>
        </x:is>
      </x:c>
      <x:c r="J28" s="10" t="inlineStr">
        <x:is>
          <x:t xml:space="preserve">Not reviewed</x:t>
        </x:is>
      </x:c>
      <x:c r="K28" s="10" t="n"/>
      <x:c r="L28" s="30" t="n"/>
      <x:c r="M28" s="10" t="n"/>
      <x:c r="N28" s="10" t="inlineStr">
        <x:is>
          <x:t xml:space="preserve">Not tested</x:t>
        </x:is>
      </x:c>
      <x:c r="O28" s="10" t="n"/>
      <x:c r="P28" s="30" t="n"/>
      <x:c r="Q28" s="10" t="n"/>
      <x:c r="R28" s="10" t="inlineStr">
        <x:is>
          <x:t xml:space="preserve">Before starting this item or feature: reread AGENTS.md from disk; apply its teaching and testing rules.
Next: Start this item after the previous item is complete.</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Waiting</x:v>
      </x:c>
      <x:c r="H29" s="9" t="str">
        <x:f>IF(I29="Not started","Not started",IF(I29="Blocked","Blocked",IF(I29="In progress","In progress",IF(J29&lt;&gt;"Passed","Awaiting code review",IF(OR(K29="",NOT(ISNUMBER(L29))),"Awaiting review evidence",IF(N29&lt;&gt;"Passed","Awaiting test",IF(OR(M29="",O29="",NOT(ISNUMBER(P29))),"Awaiting test evidence","Complete")))))))</x:f>
        <x:v>Not started</x:v>
      </x:c>
      <x:c r="I29" s="11" t="inlineStr">
        <x:is>
          <x:t xml:space="preserve">Not started</x:t>
        </x:is>
      </x:c>
      <x:c r="J29" s="11" t="inlineStr">
        <x:is>
          <x:t xml:space="preserve">Not reviewed</x:t>
        </x:is>
      </x:c>
      <x:c r="K29" s="11" t="n"/>
      <x:c r="L29" s="31" t="n"/>
      <x:c r="M29" s="11" t="n"/>
      <x:c r="N29" s="11" t="inlineStr">
        <x:is>
          <x:t xml:space="preserve">Not tested</x:t>
        </x:is>
      </x:c>
      <x:c r="O29" s="11" t="n"/>
      <x:c r="P29" s="31" t="n"/>
      <x:c r="Q29" s="11" t="n"/>
      <x:c r="R29" s="11" t="inlineStr">
        <x:is>
          <x:t xml:space="preserve">Before starting this item or feature: reread AGENTS.md from disk; apply its teaching and testing rules.
Next: Build Department model/storage, then complete and verify creation before its list at FB-027.</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x:t>
        </x:is>
      </x:c>
      <x:c r="F30" s="4" t="inlineStr">
        <x:is>
          <x:t xml:space="preserve">FB-026</x:t>
        </x:is>
      </x:c>
      <x:c r="G30" s="4" t="str">
        <x:f>IF(H30="Complete","Complete",IF(I30="Blocked","Blocked",IF(I30="In progress","Ready",IF(F30="","Ready",IF(COUNTIFS($B$4:$B$73,F30,$H$4:$H$73,"Complete")=1,"Ready","Waiting")))))</x:f>
        <x:v>Waiting</x:v>
      </x:c>
      <x:c r="H30" s="4" t="str">
        <x:f>IF(I30="Not started","Not started",IF(I30="Blocked","Blocked",IF(I30="In progress","In progress",IF(J30&lt;&gt;"Passed","Awaiting code review",IF(OR(K30="",NOT(ISNUMBER(L30))),"Awaiting review evidence",IF(N30&lt;&gt;"Passed","Awaiting test",IF(OR(M30="",O30="",NOT(ISNUMBER(P30))),"Awaiting test evidence","Complete")))))))</x:f>
        <x:v>Not started</x:v>
      </x:c>
      <x:c r="I30" s="10" t="inlineStr">
        <x:is>
          <x:t xml:space="preserve">Not started</x:t>
        </x:is>
      </x:c>
      <x:c r="J30" s="10" t="inlineStr">
        <x:is>
          <x:t xml:space="preserve">Not reviewed</x:t>
        </x:is>
      </x:c>
      <x:c r="K30" s="10" t="n"/>
      <x:c r="L30" s="30" t="n"/>
      <x:c r="M30" s="10" t="n"/>
      <x:c r="N30" s="10" t="inlineStr">
        <x:is>
          <x:t xml:space="preserve">Not tested</x:t>
        </x:is>
      </x:c>
      <x:c r="O30" s="10" t="n"/>
      <x:c r="P30" s="30" t="n"/>
      <x:c r="Q30" s="10" t="n"/>
      <x:c r="R30" s="10" t="inlineStr">
        <x:is>
          <x:t xml:space="preserve">Before starting this item or feature: reread AGENTS.md from disk; apply its teaching and testing rules.
Next: After verified Department creation, display its list and then teach rename. Complete and verify the module before Category.</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Parent stays fixed; no deletion. Manager/Super Admin only for display/write. Verify the full module and parent rename preserving links before Subcategory.</x:t>
        </x:is>
      </x:c>
      <x:c r="F31" s="9" t="inlineStr">
        <x:is>
          <x:t xml:space="preserve">FB-027</x:t>
        </x:is>
      </x:c>
      <x:c r="G31" s="9" t="str">
        <x:f>IF(H31="Complete","Complete",IF(I31="Blocked","Blocked",IF(I31="In progress","Ready",IF(F31="","Ready",IF(COUNTIFS($B$4:$B$73,F31,$H$4:$H$73,"Complete")=1,"Ready","Waiting")))))</x:f>
        <x:v>Waiting</x:v>
      </x:c>
      <x:c r="H31" s="9" t="str">
        <x:f>IF(I31="Not started","Not started",IF(I31="Blocked","Blocked",IF(I31="In progress","In progress",IF(J31&lt;&gt;"Passed","Awaiting code review",IF(OR(K31="",NOT(ISNUMBER(L31))),"Awaiting review evidence",IF(N31&lt;&gt;"Passed","Awaiting test",IF(OR(M31="",O31="",NOT(ISNUMBER(P31))),"Awaiting test evidence","Complete")))))))</x:f>
        <x:v>Not started</x:v>
      </x:c>
      <x:c r="I31" s="11" t="inlineStr">
        <x:is>
          <x:t xml:space="preserve">Not started</x:t>
        </x:is>
      </x:c>
      <x:c r="J31" s="11" t="inlineStr">
        <x:is>
          <x:t xml:space="preserve">Not reviewed</x:t>
        </x:is>
      </x:c>
      <x:c r="K31" s="11" t="n"/>
      <x:c r="L31" s="31" t="n"/>
      <x:c r="M31" s="11" t="n"/>
      <x:c r="N31" s="11" t="inlineStr">
        <x:is>
          <x:t xml:space="preserve">Not tested</x:t>
        </x:is>
      </x:c>
      <x:c r="O31" s="11" t="n"/>
      <x:c r="P31" s="31" t="n"/>
      <x:c r="Q31" s="11" t="n"/>
      <x:c r="R31" s="11" t="inlineStr">
        <x:is>
          <x:t xml:space="preserve">Before starting this item or feature: reread AGENTS.md from disk; apply its teaching and testing rules.
Next: Build Category storage and Department connection, complete and verify creation, then list and rename.</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After Category is verified, introduce Subcategory model/storage and Category relationship. Teach parent selection, summary-unit selection and authorized creation separately. Required names unique within category ignoring case/outer spaces. Summary units kg, litres or individual items; no skipped levels. Review and developer-test creation before displaying the list. Managers/Super Admin only on display/write. No speculative Product relationship.</x:t>
        </x:is>
      </x:c>
      <x:c r="F32" s="4" t="inlineStr">
        <x:is>
          <x:t xml:space="preserve">FB-028</x:t>
        </x:is>
      </x:c>
      <x:c r="G32" s="4" t="str">
        <x:f>IF(H32="Complete","Complete",IF(I32="Blocked","Blocked",IF(I32="In progress","Ready",IF(F32="","Ready",IF(COUNTIFS($B$4:$B$73,F32,$H$4:$H$73,"Complete")=1,"Ready","Waiting")))))</x:f>
        <x:v>Waiting</x:v>
      </x:c>
      <x:c r="H32" s="4" t="str">
        <x:f>IF(I32="Not started","Not started",IF(I32="Blocked","Blocked",IF(I32="In progress","In progress",IF(J32&lt;&gt;"Passed","Awaiting code review",IF(OR(K32="",NOT(ISNUMBER(L32))),"Awaiting review evidence",IF(N32&lt;&gt;"Passed","Awaiting test",IF(OR(M32="",O32="",NOT(ISNUMBER(P32))),"Awaiting test evidence","Complete")))))))</x:f>
        <x:v>Not started</x:v>
      </x:c>
      <x:c r="I32" s="10" t="inlineStr">
        <x:is>
          <x:t xml:space="preserve">Not started</x:t>
        </x:is>
      </x:c>
      <x:c r="J32" s="10" t="inlineStr">
        <x:is>
          <x:t xml:space="preserve">Not reviewed</x:t>
        </x:is>
      </x:c>
      <x:c r="K32" s="10" t="n"/>
      <x:c r="L32" s="30" t="n"/>
      <x:c r="M32" s="10" t="n"/>
      <x:c r="N32" s="10" t="inlineStr">
        <x:is>
          <x:t xml:space="preserve">Not tested</x:t>
        </x:is>
      </x:c>
      <x:c r="O32" s="10" t="n"/>
      <x:c r="P32" s="30" t="n"/>
      <x:c r="Q32" s="10" t="n"/>
      <x:c r="R32" s="10" t="inlineStr">
        <x:is>
          <x:t xml:space="preserve">Before starting this item or feature: reread AGENTS.md from disk; apply its teaching and testing rules.
Next: Build required storage/relationship and complete creation with review and developer-first checks; then display the subcategory list.</x:t>
        </x:is>
      </x:c>
      <x:c r="S32" s="10" t="n"/>
    </x:row>
    <x:row r="33" ht="105" customHeight="1">
      <x:c r="A33" s="9" t="n">
        <x:v>30</x:v>
      </x:c>
      <x:c r="B33" s="9" t="inlineStr">
        <x:is>
          <x:t xml:space="preserve">FB-030</x:t>
        </x:is>
      </x:c>
      <x:c r="C33" s="9" t="inlineStr">
        <x:is>
          <x:t xml:space="preserve">Subcategories</x:t>
        </x:is>
      </x:c>
      <x:c r="D33" s="9" t="inlineStr">
        <x:is>
          <x:t xml:space="preserve">Rename subcategories and verify catalogue permissions</x:t>
        </x:is>
      </x:c>
      <x:c r="E33" s="9" t="inlineStr">
        <x:is>
          <x:t xml:space="preserve">Preserve links on renaming; existing paths show current names, even for past movements. No parent moves/deletion. Managers/Super Admin only; unit lock after movements is verified in later stock items. Complete list/create/rename review and developer-first checks before Product. Verify Category rename preserves the Subcategory link. Summary-unit editing before movements is checked now; the post-movement lock is explicitly deferred to FB-053.</x:t>
        </x:is>
      </x:c>
      <x:c r="F33" s="9" t="inlineStr">
        <x:is>
          <x:t xml:space="preserve">FB-029</x:t>
        </x:is>
      </x:c>
      <x:c r="G33" s="9" t="str">
        <x:f>IF(H33="Complete","Complete",IF(I33="Blocked","Blocked",IF(I33="In progress","Ready",IF(F33="","Ready",IF(COUNTIFS($B$4:$B$73,F33,$H$4:$H$73,"Complete")=1,"Ready","Waiting")))))</x:f>
        <x:v>Waiting</x:v>
      </x:c>
      <x:c r="H33" s="9" t="str">
        <x:f>IF(I33="Not started","Not started",IF(I33="Blocked","Blocked",IF(I33="In progress","In progress",IF(J33&lt;&gt;"Passed","Awaiting code review",IF(OR(K33="",NOT(ISNUMBER(L33))),"Awaiting review evidence",IF(N33&lt;&gt;"Passed","Awaiting test",IF(OR(M33="",O33="",NOT(ISNUMBER(P33))),"Awaiting test evidence","Complete")))))))</x:f>
        <x:v>Not started</x:v>
      </x:c>
      <x:c r="I33" s="11" t="inlineStr">
        <x:is>
          <x:t xml:space="preserve">Not started</x:t>
        </x:is>
      </x:c>
      <x:c r="J33" s="11" t="inlineStr">
        <x:is>
          <x:t xml:space="preserve">Not reviewed</x:t>
        </x:is>
      </x:c>
      <x:c r="K33" s="11" t="n"/>
      <x:c r="L33" s="31" t="n"/>
      <x:c r="M33" s="11" t="n"/>
      <x:c r="N33" s="11" t="inlineStr">
        <x:is>
          <x:t xml:space="preserve">Not tested</x:t>
        </x:is>
      </x:c>
      <x:c r="O33" s="11" t="n"/>
      <x:c r="P33" s="31" t="n"/>
      <x:c r="Q33" s="11" t="n"/>
      <x:c r="R33" s="11" t="inlineStr">
        <x:is>
          <x:t xml:space="preserve">Before starting this item or feature: reread AGENTS.md from disk; apply its teaching and testing rules.
Next: Teach rename separately, preserve the parent, and verify all existing Subcategory actions and permissions. Check editable summary units before stock movements. Record FB-053 as the later lock checkpoint; do not mark that later rule verified now.</x:t>
        </x:is>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Waiting</x:v>
      </x:c>
      <x:c r="H34" s="4" t="str">
        <x:f>IF(I34="Not started","Not started",IF(I34="Blocked","Blocked",IF(I34="In progress","In progress",IF(J34&lt;&gt;"Passed","Awaiting code review",IF(OR(K34="",NOT(ISNUMBER(L34))),"Awaiting review evidence",IF(N34&lt;&gt;"Passed","Awaiting test",IF(OR(M34="",O34="",NOT(ISNUMBER(P34))),"Awaiting test evidence","Complete")))))))</x:f>
        <x:v>Not started</x:v>
      </x:c>
      <x:c r="I34" s="10" t="inlineStr">
        <x:is>
          <x:t xml:space="preserve">Not started</x:t>
        </x:is>
      </x:c>
      <x:c r="J34" s="10" t="inlineStr">
        <x:is>
          <x:t xml:space="preserve">Not reviewed</x:t>
        </x:is>
      </x:c>
      <x:c r="K34" s="10" t="n"/>
      <x:c r="L34" s="30" t="n"/>
      <x:c r="M34" s="10" t="n"/>
      <x:c r="N34" s="10" t="inlineStr">
        <x:is>
          <x:t xml:space="preserve">Not tested</x:t>
        </x:is>
      </x:c>
      <x:c r="O34" s="10" t="n"/>
      <x:c r="P34" s="30" t="n"/>
      <x:c r="Q34" s="10" t="n"/>
      <x:c r="R34" s="10" t="inlineStr">
        <x:is>
          <x:t xml:space="preserve">Before starting this item or feature: reread AGENTS.md from disk; apply its teaching and testing rules.
Next: Complete and verify tag creation before displaying its list; then teach rename.</x:t>
        </x:is>
      </x:c>
      <x:c r="S34" s="10" t="n"/>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inlineStr">
        <x:is>
          <x:t xml:space="preserve">After Department, Category and Subcategory actions are verified, introduce Product model/storage and its required Subcategory relationship. Then display the form: required name, department/category/subcategory selection, counting unit, positive contents/unit and status; optional brand/tags, default Active and no balance input. Teach each dependent selection separately. Optional tag persistence/relationship is introduced at FB-037. Post-movement locks remain FB-053.</x:t>
        </x:is>
      </x:c>
      <x:c r="F35" s="9" t="inlineStr">
        <x:is>
          <x:t xml:space="preserve">FB-031</x:t>
        </x:is>
      </x:c>
      <x:c r="G35" s="9" t="str">
        <x:f>IF(H35="Complete","Complete",IF(I35="Blocked","Blocked",IF(I35="In progress","Ready",IF(F35="","Ready",IF(COUNTIFS($B$4:$B$73,F35,$H$4:$H$73,"Complete")=1,"Ready","Waiting")))))</x:f>
        <x:v>Waiting</x:v>
      </x:c>
      <x:c r="H35" s="9" t="str">
        <x:f>IF(I35="Not started","Not started",IF(I35="Blocked","Blocked",IF(I35="In progress","In progress",IF(J35&lt;&gt;"Passed","Awaiting code review",IF(OR(K35="",NOT(ISNUMBER(L35))),"Awaiting review evidence",IF(N35&lt;&gt;"Passed","Awaiting test",IF(OR(M35="",O35="",NOT(ISNUMBER(P35))),"Awaiting test evidence","Complete")))))))</x:f>
        <x:v>Not started</x:v>
      </x:c>
      <x:c r="I35" s="11" t="inlineStr">
        <x:is>
          <x:t xml:space="preserve">Not started</x:t>
        </x:is>
      </x:c>
      <x:c r="J35" s="11" t="inlineStr">
        <x:is>
          <x:t xml:space="preserve">Not reviewed</x:t>
        </x:is>
      </x:c>
      <x:c r="K35" s="11" t="n"/>
      <x:c r="L35" s="31" t="n"/>
      <x:c r="M35" s="11" t="n"/>
      <x:c r="N35" s="11" t="inlineStr">
        <x:is>
          <x:t xml:space="preserve">Not tested</x:t>
        </x:is>
      </x:c>
      <x:c r="O35" s="11" t="n"/>
      <x:c r="P35" s="31" t="n"/>
      <x:c r="Q35" s="11" t="n"/>
      <x:c r="R35" s="11" t="inlineStr">
        <x:is>
          <x:t xml:space="preserve">Before starting this item or feature: reread AGENTS.md from disk; apply its teaching and testing rules.
Next: Explain one Product belonging to one completed Subcategory. Start with only required Product storage and that relationship. Then display the plain form and teach the hierarchy selections one at a time; layout/state follow in FB-033. Do not create stock-movement relationships yet.</x:t>
        </x:is>
      </x:c>
      <x:c r="S35" s="11" t="n"/>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Explain parent grid/flex, spacing, width and phone-to-desktop arrangement. Introduce local form state gradually; package preview reflects entered values before saving.</x:t>
        </x:is>
      </x:c>
      <x:c r="F36" s="4" t="inlineStr">
        <x:is>
          <x:t xml:space="preserve">FB-032</x:t>
        </x:is>
      </x:c>
      <x:c r="G36" s="4" t="str">
        <x:f>IF(H36="Complete","Complete",IF(I36="Blocked","Blocked",IF(I36="In progress","Ready",IF(F36="","Ready",IF(COUNTIFS($B$4:$B$73,F36,$H$4:$H$73,"Complete")=1,"Ready","Waiting")))))</x:f>
        <x:v>Waiting</x:v>
      </x:c>
      <x:c r="H36" s="4" t="str">
        <x:f>IF(I36="Not started","Not started",IF(I36="Blocked","Blocked",IF(I36="In progress","In progress",IF(J36&lt;&gt;"Passed","Awaiting code review",IF(OR(K36="",NOT(ISNUMBER(L36))),"Awaiting review evidence",IF(N36&lt;&gt;"Passed","Awaiting test",IF(OR(M36="",O36="",NOT(ISNUMBER(P36))),"Awaiting test evidence","Complete")))))))</x:f>
        <x:v>Not started</x:v>
      </x:c>
      <x:c r="I36" s="10" t="inlineStr">
        <x:is>
          <x:t xml:space="preserve">Not started</x:t>
        </x:is>
      </x:c>
      <x:c r="J36" s="10" t="inlineStr">
        <x:is>
          <x:t xml:space="preserve">Not reviewed</x:t>
        </x:is>
      </x:c>
      <x:c r="K36" s="10" t="n"/>
      <x:c r="L36" s="30" t="n"/>
      <x:c r="M36" s="10" t="n"/>
      <x:c r="N36" s="10" t="inlineStr">
        <x:is>
          <x:t xml:space="preserve">Not tested</x:t>
        </x:is>
      </x:c>
      <x:c r="O36" s="10" t="n"/>
      <x:c r="P36" s="30" t="n"/>
      <x:c r="Q36" s="10" t="n"/>
      <x:c r="R36" s="10" t="inlineStr">
        <x:is>
          <x:t xml:space="preserve">Before starting this item or feature: reread AGENTS.md from disk; apply its teaching and testing rules.
Next: Start this item after the previous item is complete.</x:t>
        </x:is>
      </x:c>
      <x:c r="S36" s="10" t="n"/>
    </x:row>
    <x:row r="37" ht="105" customHeight="1">
      <x:c r="A37" s="9" t="n">
        <x:v>34</x:v>
      </x:c>
      <x:c r="B37" s="9" t="inlineStr">
        <x:is>
          <x:t xml:space="preserve">FB-034</x:t>
        </x:is>
      </x:c>
      <x:c r="C37" s="9" t="inlineStr">
        <x:is>
          <x:t xml:space="preserve">Products</x:t>
        </x:is>
      </x:c>
      <x:c r="D37" s="9" t="inlineStr">
        <x:is>
          <x:t xml:space="preserve">Choose package units and validate contents</x:t>
        </x:is>
      </x:c>
      <x:c r="E37" s="9" t="inlineStr">
        <x:is>
          <x:t xml:space="preserve">Counting units: bag, box, can, bottle, carton, jar, packet, individual item. Choose kg/g or litres/ml matching subcategory measure. Positive contents allow up to 3 decimals with fewer allowed; item counts are positive integers.</x:t>
        </x:is>
      </x:c>
      <x:c r="F37" s="9" t="inlineStr">
        <x:is>
          <x:t xml:space="preserve">FB-033</x:t>
        </x:is>
      </x:c>
      <x:c r="G37" s="9" t="str">
        <x:f>IF(H37="Complete","Complete",IF(I37="Blocked","Blocked",IF(I37="In progress","Ready",IF(F37="","Ready",IF(COUNTIFS($B$4:$B$73,F37,$H$4:$H$73,"Complete")=1,"Ready","Waiting")))))</x:f>
        <x:v>Waiting</x:v>
      </x:c>
      <x:c r="H37" s="9" t="str">
        <x:f>IF(I37="Not started","Not started",IF(I37="Blocked","Blocked",IF(I37="In progress","In progress",IF(J37&lt;&gt;"Passed","Awaiting code review",IF(OR(K37="",NOT(ISNUMBER(L37))),"Awaiting review evidence",IF(N37&lt;&gt;"Passed","Awaiting test",IF(OR(M37="",O37="",NOT(ISNUMBER(P37))),"Awaiting test evidence","Complete")))))))</x:f>
        <x:v>Not started</x:v>
      </x:c>
      <x:c r="I37" s="11" t="inlineStr">
        <x:is>
          <x:t xml:space="preserve">Not started</x:t>
        </x:is>
      </x:c>
      <x:c r="J37" s="11" t="inlineStr">
        <x:is>
          <x:t xml:space="preserve">Not reviewed</x:t>
        </x:is>
      </x:c>
      <x:c r="K37" s="11" t="n"/>
      <x:c r="L37" s="31" t="n"/>
      <x:c r="M37" s="11" t="n"/>
      <x:c r="N37" s="11" t="inlineStr">
        <x:is>
          <x:t xml:space="preserve">Not tested</x:t>
        </x:is>
      </x:c>
      <x:c r="O37" s="11" t="n"/>
      <x:c r="P37" s="31" t="n"/>
      <x:c r="Q37" s="11" t="n"/>
      <x:c r="R37" s="11" t="inlineStr">
        <x:is>
          <x:t xml:space="preserve">Before starting this item or feature: reread AGENTS.md from disk; apply its teaching and testing rules.
Next: Start this item after the previous item is complete.</x:t>
        </x:is>
      </x:c>
      <x:c r="S37" s="11" t="n"/>
    </x:row>
    <x:row r="38" ht="105" customHeight="1">
      <x:c r="A38" s="4" t="n">
        <x:v>35</x:v>
      </x:c>
      <x:c r="B38" s="4" t="inlineStr">
        <x:is>
          <x:t xml:space="preserve">FB-035</x:t>
        </x:is>
      </x:c>
      <x:c r="C38" s="4" t="inlineStr">
        <x:is>
          <x:t xml:space="preserve">Products</x:t>
        </x:is>
      </x:c>
      <x:c r="D38" s="4" t="inlineStr">
        <x:is>
          <x:t xml:space="preserve">Generate permanent product codes</x:t>
        </x:is>
      </x:c>
      <x:c r="E38" s="4" t="inlineStr">
        <x:is>
          <x:t xml:space="preserve">Automatically assign unique PRD-000001 onward, at least six digits with growth beyond 999999. Never edit/reuse codes or derive from categories. Each brand/size is a separate product; review collision handling.</x:t>
        </x:is>
      </x:c>
      <x:c r="F38" s="4" t="inlineStr">
        <x:is>
          <x:t xml:space="preserve">FB-034</x:t>
        </x:is>
      </x:c>
      <x:c r="G38" s="4" t="str">
        <x:f>IF(H38="Complete","Complete",IF(I38="Blocked","Blocked",IF(I38="In progress","Ready",IF(F38="","Ready",IF(COUNTIFS($B$4:$B$73,F38,$H$4:$H$73,"Complete")=1,"Ready","Waiting")))))</x:f>
        <x:v>Waiting</x:v>
      </x:c>
      <x:c r="H38" s="4" t="str">
        <x:f>IF(I38="Not started","Not started",IF(I38="Blocked","Blocked",IF(I38="In progress","In progress",IF(J38&lt;&gt;"Passed","Awaiting code review",IF(OR(K38="",NOT(ISNUMBER(L38))),"Awaiting review evidence",IF(N38&lt;&gt;"Passed","Awaiting test",IF(OR(M38="",O38="",NOT(ISNUMBER(P38))),"Awaiting test evidence","Complete")))))))</x:f>
        <x:v>Not started</x:v>
      </x:c>
      <x:c r="I38" s="10" t="inlineStr">
        <x:is>
          <x:t xml:space="preserve">Not started</x:t>
        </x:is>
      </x:c>
      <x:c r="J38" s="10" t="inlineStr">
        <x:is>
          <x:t xml:space="preserve">Not reviewed</x:t>
        </x:is>
      </x:c>
      <x:c r="K38" s="10" t="n"/>
      <x:c r="L38" s="30" t="n"/>
      <x:c r="M38" s="10" t="n"/>
      <x:c r="N38" s="10" t="inlineStr">
        <x:is>
          <x:t xml:space="preserve">Not tested</x:t>
        </x:is>
      </x:c>
      <x:c r="O38" s="10" t="n"/>
      <x:c r="P38" s="30" t="n"/>
      <x:c r="Q38" s="10" t="n"/>
      <x:c r="R38" s="10" t="inlineStr">
        <x:is>
          <x:t xml:space="preserve">Before starting this item or feature: reread AGENTS.md from disk; apply its teaching and testing rules.
Next: Start this item after the previous item is complete.</x:t>
        </x:is>
      </x:c>
      <x:c r="S38" s="10" t="n"/>
    </x:row>
    <x:row r="39" ht="105" customHeight="1">
      <x:c r="A39" s="9" t="n">
        <x:v>36</x:v>
      </x:c>
      <x:c r="B39" s="9" t="inlineStr">
        <x:is>
          <x:t xml:space="preserve">FB-036</x:t>
        </x:is>
      </x:c>
      <x:c r="C39" s="9" t="inlineStr">
        <x:is>
          <x:t xml:space="preserve">Products</x:t>
        </x:is>
      </x:c>
      <x:c r="D39" s="9" t="inlineStr">
        <x:is>
          <x:t xml:space="preserve">Prevent duplicate products</x:t>
        </x:is>
      </x:c>
      <x:c r="E39" s="9" t="inlineStr">
        <x:is>
          <x:t xml:space="preserve">Match name, brand, subcategory, counting unit and equivalent contents. Ignore case/outer spaces; 500g=0.5kg and 500ml=0.5litres. Include inactive products; retain name/brand distinctions and reject duplicates.</x:t>
        </x:is>
      </x:c>
      <x:c r="F39" s="9" t="inlineStr">
        <x:is>
          <x:t xml:space="preserve">FB-035</x:t>
        </x:is>
      </x:c>
      <x:c r="G39" s="9" t="str">
        <x:f>IF(H39="Complete","Complete",IF(I39="Blocked","Blocked",IF(I39="In progress","Ready",IF(F39="","Ready",IF(COUNTIFS($B$4:$B$73,F39,$H$4:$H$73,"Complete")=1,"Ready","Waiting")))))</x:f>
        <x:v>Waiting</x:v>
      </x:c>
      <x:c r="H39" s="9" t="str">
        <x:f>IF(I39="Not started","Not started",IF(I39="Blocked","Blocked",IF(I39="In progress","In progress",IF(J39&lt;&gt;"Passed","Awaiting code review",IF(OR(K39="",NOT(ISNUMBER(L39))),"Awaiting review evidence",IF(N39&lt;&gt;"Passed","Awaiting test",IF(OR(M39="",O39="",NOT(ISNUMBER(P39))),"Awaiting test evidence","Complete")))))))</x:f>
        <x:v>Not started</x:v>
      </x:c>
      <x:c r="I39" s="11" t="inlineStr">
        <x:is>
          <x:t xml:space="preserve">Not started</x:t>
        </x:is>
      </x:c>
      <x:c r="J39" s="11" t="inlineStr">
        <x:is>
          <x:t xml:space="preserve">Not reviewed</x:t>
        </x:is>
      </x:c>
      <x:c r="K39" s="11" t="n"/>
      <x:c r="L39" s="31" t="n"/>
      <x:c r="M39" s="11" t="n"/>
      <x:c r="N39" s="11" t="inlineStr">
        <x:is>
          <x:t xml:space="preserve">Not tested</x:t>
        </x:is>
      </x:c>
      <x:c r="O39" s="11" t="n"/>
      <x:c r="P39" s="31" t="n"/>
      <x:c r="Q39" s="11" t="n"/>
      <x:c r="R39" s="11" t="inlineStr">
        <x:is>
          <x:t xml:space="preserve">Before starting this item or feature: reread AGENTS.md from disk; apply its teaching and testing rules.
Next: Start this item after the previous item is complete.</x:t>
        </x:is>
      </x:c>
      <x:c r="S39" s="11" t="n"/>
    </x:row>
    <x:row r="40" ht="105" customHeight="1">
      <x:c r="A40" s="4" t="n">
        <x:v>37</x:v>
      </x:c>
      <x:c r="B40" s="4" t="inlineStr">
        <x:is>
          <x:t xml:space="preserve">FB-037</x:t>
        </x:is>
      </x:c>
      <x:c r="C40" s="4" t="inlineStr">
        <x:is>
          <x:t xml:space="preserve">Products</x:t>
        </x:is>
      </x:c>
      <x:c r="D40" s="4" t="inlineStr">
        <x:is>
          <x:t xml:space="preserve">Save products and attach optional tags</x:t>
        </x:is>
      </x:c>
      <x:c r="E40" s="4" t="inlineStr">
        <x:is>
          <x:t xml:space="preserve">Managers/Super Admin can create; volunteers denied display/write. New stock is zero. Shared tags can be none/multiple. Validate errors, retained input, processing state and successful persisted record.</x:t>
        </x:is>
      </x:c>
      <x:c r="F40" s="4" t="inlineStr">
        <x:is>
          <x:t xml:space="preserve">FB-036</x:t>
        </x:is>
      </x:c>
      <x:c r="G40" s="4" t="str">
        <x:f>IF(H40="Complete","Complete",IF(I40="Blocked","Blocked",IF(I40="In progress","Ready",IF(F40="","Ready",IF(COUNTIFS($B$4:$B$73,F40,$H$4:$H$73,"Complete")=1,"Ready","Waiting")))))</x:f>
        <x:v>Waiting</x:v>
      </x:c>
      <x:c r="H40" s="4" t="str">
        <x:f>IF(I40="Not started","Not started",IF(I40="Blocked","Blocked",IF(I40="In progress","In progress",IF(J40&lt;&gt;"Passed","Awaiting code review",IF(OR(K40="",NOT(ISNUMBER(L40))),"Awaiting review evidence",IF(N40&lt;&gt;"Passed","Awaiting test",IF(OR(M40="",O40="",NOT(ISNUMBER(P40))),"Awaiting test evidence","Complete")))))))</x:f>
        <x:v>Not started</x:v>
      </x:c>
      <x:c r="I40" s="10" t="inlineStr">
        <x:is>
          <x:t xml:space="preserve">Not started</x:t>
        </x:is>
      </x:c>
      <x:c r="J40" s="10" t="inlineStr">
        <x:is>
          <x:t xml:space="preserve">Not reviewed</x:t>
        </x:is>
      </x:c>
      <x:c r="K40" s="10" t="n"/>
      <x:c r="L40" s="30" t="n"/>
      <x:c r="M40" s="10" t="n"/>
      <x:c r="N40" s="10" t="inlineStr">
        <x:is>
          <x:t xml:space="preserve">Not tested</x:t>
        </x:is>
      </x:c>
      <x:c r="O40" s="10" t="n"/>
      <x:c r="P40" s="30" t="n"/>
      <x:c r="Q40" s="10" t="n"/>
      <x:c r="R40" s="10" t="inlineStr">
        <x:is>
          <x:t xml:space="preserve">Before starting this item or feature: reread AGENTS.md from disk; apply its teaching and testing rules.
Next: Introduce the Product–Tag relationship through saving an optional tag selection. Enforce create policy on form and submission before enabling saving. Connect one save, then field errors, retained input and processing feedback separately. Verify the complete create action before list filters.</x:t>
        </x:is>
      </x:c>
      <x:c r="S40" s="10" t="n"/>
    </x:row>
    <x:row r="41" ht="105" customHeight="1">
      <x:c r="A41" s="9" t="n">
        <x:v>38</x:v>
      </x:c>
      <x:c r="B41" s="9" t="inlineStr">
        <x:is>
          <x:t xml:space="preserve">FB-038</x:t>
        </x:is>
      </x:c>
      <x:c r="C41" s="9" t="inlineStr">
        <x:is>
          <x:t xml:space="preserve">Products</x:t>
        </x:is>
      </x:c>
      <x:c r="D41" s="9" t="inlineStr">
        <x:is>
          <x:t xml:space="preserve">Display the unfiltered product list</x:t>
        </x:is>
      </x:c>
      <x:c r="E41" s="9" t="inlineStr">
        <x:is>
          <x:t xml:space="preserve">All roles see code, name, category path, package contents in saved units, available stock and status. Use visible baseline before filters; verify list access server-side.</x:t>
        </x:is>
      </x:c>
      <x:c r="F41" s="9" t="inlineStr">
        <x:is>
          <x:t xml:space="preserve">FB-037</x:t>
        </x:is>
      </x:c>
      <x:c r="G41" s="9" t="str">
        <x:f>IF(H41="Complete","Complete",IF(I41="Blocked","Blocked",IF(I41="In progress","Ready",IF(F41="","Ready",IF(COUNTIFS($B$4:$B$73,F41,$H$4:$H$73,"Complete")=1,"Ready","Waiting")))))</x:f>
        <x:v>Waiting</x:v>
      </x:c>
      <x:c r="H41" s="9" t="str">
        <x:f>IF(I41="Not started","Not started",IF(I41="Blocked","Blocked",IF(I41="In progress","In progress",IF(J41&lt;&gt;"Passed","Awaiting code review",IF(OR(K41="",NOT(ISNUMBER(L41))),"Awaiting review evidence",IF(N41&lt;&gt;"Passed","Awaiting test",IF(OR(M41="",O41="",NOT(ISNUMBER(P41))),"Awaiting test evidence","Complete")))))))</x:f>
        <x:v>Not started</x:v>
      </x:c>
      <x:c r="I41" s="11" t="inlineStr">
        <x:is>
          <x:t xml:space="preserve">Not started</x:t>
        </x:is>
      </x:c>
      <x:c r="J41" s="11" t="inlineStr">
        <x:is>
          <x:t xml:space="preserve">Not reviewed</x:t>
        </x:is>
      </x:c>
      <x:c r="K41" s="11" t="n"/>
      <x:c r="L41" s="31" t="n"/>
      <x:c r="M41" s="11" t="n"/>
      <x:c r="N41" s="11" t="inlineStr">
        <x:is>
          <x:t xml:space="preserve">Not tested</x:t>
        </x:is>
      </x:c>
      <x:c r="O41" s="11" t="n"/>
      <x:c r="P41" s="31" t="n"/>
      <x:c r="Q41" s="11" t="n"/>
      <x:c r="R41" s="11" t="inlineStr">
        <x:is>
          <x:t xml:space="preserve">Before starting this item or feature: reread AGENTS.md from disk; apply its teaching and testing rules.
Next: Start this item after the previous item is complete.</x:t>
        </x:is>
      </x:c>
      <x:c r="S41" s="11" t="n"/>
    </x:row>
    <x:row r="42" ht="105" customHeight="1">
      <x:c r="A42" s="4" t="n">
        <x:v>39</x:v>
      </x:c>
      <x:c r="B42" s="4" t="inlineStr">
        <x:is>
          <x:t xml:space="preserve">FB-039</x:t>
        </x:is>
      </x:c>
      <x:c r="C42" s="4" t="inlineStr">
        <x:is>
          <x:t xml:space="preserve">Products</x:t>
        </x:is>
      </x:c>
      <x:c r="D42" s="4" t="inlineStr">
        <x:is>
          <x:t xml:space="preserve">Arrange product rows and the filter toolbar</x:t>
        </x:is>
      </x:c>
      <x:c r="E42" s="4" t="inlineStr">
        <x:is>
          <x:t xml:space="preserve">Teach readable widths, wrapping, table overflow and stacked toolbar on small screens. Keep code and available stock understandable without typography/colour lessons.</x:t>
        </x:is>
      </x:c>
      <x:c r="F42" s="4" t="inlineStr">
        <x:is>
          <x:t xml:space="preserve">FB-038</x:t>
        </x:is>
      </x:c>
      <x:c r="G42" s="4" t="str">
        <x:f>IF(H42="Complete","Complete",IF(I42="Blocked","Blocked",IF(I42="In progress","Ready",IF(F42="","Ready",IF(COUNTIFS($B$4:$B$73,F42,$H$4:$H$73,"Complete")=1,"Ready","Waiting")))))</x:f>
        <x:v>Waiting</x:v>
      </x:c>
      <x:c r="H42" s="4" t="str">
        <x:f>IF(I42="Not started","Not started",IF(I42="Blocked","Blocked",IF(I42="In progress","In progress",IF(J42&lt;&gt;"Passed","Awaiting code review",IF(OR(K42="",NOT(ISNUMBER(L42))),"Awaiting review evidence",IF(N42&lt;&gt;"Passed","Awaiting test",IF(OR(M42="",O42="",NOT(ISNUMBER(P42))),"Awaiting test evidence","Complete")))))))</x:f>
        <x:v>Not started</x:v>
      </x:c>
      <x:c r="I42" s="10" t="inlineStr">
        <x:is>
          <x:t xml:space="preserve">Not started</x:t>
        </x:is>
      </x:c>
      <x:c r="J42" s="10" t="inlineStr">
        <x:is>
          <x:t xml:space="preserve">Not reviewed</x:t>
        </x:is>
      </x:c>
      <x:c r="K42" s="10" t="n"/>
      <x:c r="L42" s="30" t="n"/>
      <x:c r="M42" s="10" t="n"/>
      <x:c r="N42" s="10" t="inlineStr">
        <x:is>
          <x:t xml:space="preserve">Not tested</x:t>
        </x:is>
      </x:c>
      <x:c r="O42" s="10" t="n"/>
      <x:c r="P42" s="30" t="n"/>
      <x:c r="Q42" s="10" t="n"/>
      <x:c r="R42" s="10" t="inlineStr">
        <x:is>
          <x:t xml:space="preserve">Before starting this item or feature: reread AGENTS.md from disk; apply its teaching and testing rules.
Next: Start this item after the previous item is complete.</x:t>
        </x:is>
      </x:c>
      <x:c r="S42" s="10" t="n"/>
    </x:row>
    <x:row r="43" ht="105" customHeight="1">
      <x:c r="A43" s="9" t="n">
        <x:v>40</x:v>
      </x:c>
      <x:c r="B43" s="9" t="inlineStr">
        <x:is>
          <x:t xml:space="preserve">FB-040</x:t>
        </x:is>
      </x:c>
      <x:c r="C43" s="9" t="inlineStr">
        <x:is>
          <x:t xml:space="preserve">Products</x:t>
        </x:is>
      </x:c>
      <x:c r="D43" s="9" t="inlineStr">
        <x:is>
          <x:t xml:space="preserve">Add search by product code or name</x:t>
        </x:is>
      </x:c>
      <x:c r="E43" s="9" t="inlineStr">
        <x:is>
          <x:t xml:space="preserve">Search the full catalogue before pagination. Verify both code and name, clear search and no results.</x:t>
        </x:is>
      </x:c>
      <x:c r="F43" s="9" t="inlineStr">
        <x:is>
          <x:t xml:space="preserve">FB-039</x:t>
        </x:is>
      </x:c>
      <x:c r="G43" s="9" t="str">
        <x:f>IF(H43="Complete","Complete",IF(I43="Blocked","Blocked",IF(I43="In progress","Ready",IF(F43="","Ready",IF(COUNTIFS($B$4:$B$73,F43,$H$4:$H$73,"Complete")=1,"Ready","Waiting")))))</x:f>
        <x:v>Waiting</x:v>
      </x:c>
      <x:c r="H43" s="9" t="str">
        <x:f>IF(I43="Not started","Not started",IF(I43="Blocked","Blocked",IF(I43="In progress","In progress",IF(J43&lt;&gt;"Passed","Awaiting code review",IF(OR(K43="",NOT(ISNUMBER(L43))),"Awaiting review evidence",IF(N43&lt;&gt;"Passed","Awaiting test",IF(OR(M43="",O43="",NOT(ISNUMBER(P43))),"Awaiting test evidence","Complete")))))))</x:f>
        <x:v>Not started</x:v>
      </x:c>
      <x:c r="I43" s="11" t="inlineStr">
        <x:is>
          <x:t xml:space="preserve">Not started</x:t>
        </x:is>
      </x:c>
      <x:c r="J43" s="11" t="inlineStr">
        <x:is>
          <x:t xml:space="preserve">Not reviewed</x:t>
        </x:is>
      </x:c>
      <x:c r="K43" s="11" t="n"/>
      <x:c r="L43" s="31" t="n"/>
      <x:c r="M43" s="11" t="n"/>
      <x:c r="N43" s="11" t="inlineStr">
        <x:is>
          <x:t xml:space="preserve">Not tested</x:t>
        </x:is>
      </x:c>
      <x:c r="O43" s="11" t="n"/>
      <x:c r="P43" s="31" t="n"/>
      <x:c r="Q43" s="11" t="n"/>
      <x:c r="R43" s="11" t="inlineStr">
        <x:is>
          <x:t xml:space="preserve">Before starting this item or feature: reread AGENTS.md from disk; apply its teaching and testing rules.
Next: Start this item after the previous item is complete.</x:t>
        </x:is>
      </x:c>
      <x:c r="S43" s="11" t="n"/>
    </x:row>
    <x:row r="44" ht="105" customHeight="1">
      <x:c r="A44" s="4" t="n">
        <x:v>41</x:v>
      </x:c>
      <x:c r="B44" s="4" t="inlineStr">
        <x:is>
          <x:t xml:space="preserve">FB-041</x:t>
        </x:is>
      </x:c>
      <x:c r="C44" s="4" t="inlineStr">
        <x:is>
          <x:t xml:space="preserve">Products</x:t>
        </x:is>
      </x:c>
      <x:c r="D44" s="4" t="inlineStr">
        <x:is>
          <x:t xml:space="preserve">Add the department filter</x:t>
        </x:is>
      </x:c>
      <x:c r="E44" s="4" t="inlineStr">
        <x:is>
          <x:t xml:space="preserve">Filter by department alone and with search. Explain selected state and request values; do not introduce remaining filters yet.</x:t>
        </x:is>
      </x:c>
      <x:c r="F44" s="4" t="inlineStr">
        <x:is>
          <x:t xml:space="preserve">FB-040</x:t>
        </x:is>
      </x:c>
      <x:c r="G44" s="4" t="str">
        <x:f>IF(H44="Complete","Complete",IF(I44="Blocked","Blocked",IF(I44="In progress","Ready",IF(F44="","Ready",IF(COUNTIFS($B$4:$B$73,F44,$H$4:$H$73,"Complete")=1,"Ready","Waiting")))))</x:f>
        <x:v>Waiting</x:v>
      </x:c>
      <x:c r="H44" s="4" t="str">
        <x:f>IF(I44="Not started","Not started",IF(I44="Blocked","Blocked",IF(I44="In progress","In progress",IF(J44&lt;&gt;"Passed","Awaiting code review",IF(OR(K44="",NOT(ISNUMBER(L44))),"Awaiting review evidence",IF(N44&lt;&gt;"Passed","Awaiting test",IF(OR(M44="",O44="",NOT(ISNUMBER(P44))),"Awaiting test evidence","Complete")))))))</x:f>
        <x:v>Not started</x:v>
      </x:c>
      <x:c r="I44" s="10" t="inlineStr">
        <x:is>
          <x:t xml:space="preserve">Not started</x:t>
        </x:is>
      </x:c>
      <x:c r="J44" s="10" t="inlineStr">
        <x:is>
          <x:t xml:space="preserve">Not reviewed</x:t>
        </x:is>
      </x:c>
      <x:c r="K44" s="10" t="n"/>
      <x:c r="L44" s="30" t="n"/>
      <x:c r="M44" s="10" t="n"/>
      <x:c r="N44" s="10" t="inlineStr">
        <x:is>
          <x:t xml:space="preserve">Not tested</x:t>
        </x:is>
      </x:c>
      <x:c r="O44" s="10" t="n"/>
      <x:c r="P44" s="30" t="n"/>
      <x:c r="Q44" s="10" t="n"/>
      <x:c r="R44" s="10" t="inlineStr">
        <x:is>
          <x:t xml:space="preserve">Before starting this item or feature: reread AGENTS.md from disk; apply its teaching and testing rules.
Next: Start this item after the previous item is complete.</x:t>
        </x:is>
      </x:c>
      <x:c r="S44" s="10" t="n"/>
    </x:row>
    <x:row r="45" ht="105" customHeight="1">
      <x:c r="A45" s="9" t="n">
        <x:v>42</x:v>
      </x:c>
      <x:c r="B45" s="9" t="inlineStr">
        <x:is>
          <x:t xml:space="preserve">FB-042</x:t>
        </x:is>
      </x:c>
      <x:c r="C45" s="9" t="inlineStr">
        <x:is>
          <x:t xml:space="preserve">Products</x:t>
        </x:is>
      </x:c>
      <x:c r="D45" s="9" t="inlineStr">
        <x:is>
          <x:t xml:space="preserve">Add the category filter</x:t>
        </x:is>
      </x:c>
      <x:c r="E45" s="9" t="inlineStr">
        <x:is>
          <x:t xml:space="preserve">Filter by category and combine with department/search; changing parent must not leave incompatible selections.</x:t>
        </x:is>
      </x:c>
      <x:c r="F45" s="9" t="inlineStr">
        <x:is>
          <x:t xml:space="preserve">FB-041</x:t>
        </x:is>
      </x:c>
      <x:c r="G45" s="9" t="str">
        <x:f>IF(H45="Complete","Complete",IF(I45="Blocked","Blocked",IF(I45="In progress","Ready",IF(F45="","Ready",IF(COUNTIFS($B$4:$B$73,F45,$H$4:$H$73,"Complete")=1,"Ready","Waiting")))))</x:f>
        <x:v>Waiting</x:v>
      </x:c>
      <x:c r="H45" s="9" t="str">
        <x:f>IF(I45="Not started","Not started",IF(I45="Blocked","Blocked",IF(I45="In progress","In progress",IF(J45&lt;&gt;"Passed","Awaiting code review",IF(OR(K45="",NOT(ISNUMBER(L45))),"Awaiting review evidence",IF(N45&lt;&gt;"Passed","Awaiting test",IF(OR(M45="",O45="",NOT(ISNUMBER(P45))),"Awaiting test evidence","Complete")))))))</x:f>
        <x:v>Not started</x:v>
      </x:c>
      <x:c r="I45" s="11" t="inlineStr">
        <x:is>
          <x:t xml:space="preserve">Not started</x:t>
        </x:is>
      </x:c>
      <x:c r="J45" s="11" t="inlineStr">
        <x:is>
          <x:t xml:space="preserve">Not reviewed</x:t>
        </x:is>
      </x:c>
      <x:c r="K45" s="11" t="n"/>
      <x:c r="L45" s="31" t="n"/>
      <x:c r="M45" s="11" t="n"/>
      <x:c r="N45" s="11" t="inlineStr">
        <x:is>
          <x:t xml:space="preserve">Not tested</x:t>
        </x:is>
      </x:c>
      <x:c r="O45" s="11" t="n"/>
      <x:c r="P45" s="31" t="n"/>
      <x:c r="Q45" s="11" t="n"/>
      <x:c r="R45" s="11" t="inlineStr">
        <x:is>
          <x:t xml:space="preserve">Before starting this item or feature: reread AGENTS.md from disk; apply its teaching and testing rules.
Next: Start this item after the previous item is complete.</x:t>
        </x:is>
      </x:c>
      <x:c r="S45" s="11" t="n"/>
    </x:row>
    <x:row r="46" ht="105" customHeight="1">
      <x:c r="A46" s="4" t="n">
        <x:v>43</x:v>
      </x:c>
      <x:c r="B46" s="4" t="inlineStr">
        <x:is>
          <x:t xml:space="preserve">FB-043</x:t>
        </x:is>
      </x:c>
      <x:c r="C46" s="4" t="inlineStr">
        <x:is>
          <x:t xml:space="preserve">Products</x:t>
        </x:is>
      </x:c>
      <x:c r="D46" s="4" t="inlineStr">
        <x:is>
          <x:t xml:space="preserve">Add the subcategory filter</x:t>
        </x:is>
      </x:c>
      <x:c r="E46" s="4" t="inlineStr">
        <x:is>
          <x:t xml:space="preserve">Filter by subcategory alongside existing selections; verify full path and no skipped/contradictory parent selection.</x:t>
        </x:is>
      </x:c>
      <x:c r="F46" s="4" t="inlineStr">
        <x:is>
          <x:t xml:space="preserve">FB-042</x:t>
        </x:is>
      </x:c>
      <x:c r="G46" s="4" t="str">
        <x:f>IF(H46="Complete","Complete",IF(I46="Blocked","Blocked",IF(I46="In progress","Ready",IF(F46="","Ready",IF(COUNTIFS($B$4:$B$73,F46,$H$4:$H$73,"Complete")=1,"Ready","Waiting")))))</x:f>
        <x:v>Waiting</x:v>
      </x:c>
      <x:c r="H46" s="4" t="str">
        <x:f>IF(I46="Not started","Not started",IF(I46="Blocked","Blocked",IF(I46="In progress","In progress",IF(J46&lt;&gt;"Passed","Awaiting code review",IF(OR(K46="",NOT(ISNUMBER(L46))),"Awaiting review evidence",IF(N46&lt;&gt;"Passed","Awaiting test",IF(OR(M46="",O46="",NOT(ISNUMBER(P46))),"Awaiting test evidence","Complete")))))))</x:f>
        <x:v>Not started</x:v>
      </x:c>
      <x:c r="I46" s="10" t="inlineStr">
        <x:is>
          <x:t xml:space="preserve">Not started</x:t>
        </x:is>
      </x:c>
      <x:c r="J46" s="10" t="inlineStr">
        <x:is>
          <x:t xml:space="preserve">Not reviewed</x:t>
        </x:is>
      </x:c>
      <x:c r="K46" s="10" t="n"/>
      <x:c r="L46" s="30" t="n"/>
      <x:c r="M46" s="10" t="n"/>
      <x:c r="N46" s="10" t="inlineStr">
        <x:is>
          <x:t xml:space="preserve">Not tested</x:t>
        </x:is>
      </x:c>
      <x:c r="O46" s="10" t="n"/>
      <x:c r="P46" s="30" t="n"/>
      <x:c r="Q46" s="10" t="n"/>
      <x:c r="R46" s="10" t="inlineStr">
        <x:is>
          <x:t xml:space="preserve">Before starting this item or feature: reread AGENTS.md from disk; apply its teaching and testing rules.
Next: Start this item after the previous item is complete.</x:t>
        </x:is>
      </x:c>
      <x:c r="S46" s="10" t="n"/>
    </x:row>
    <x:row r="47" ht="105" customHeight="1">
      <x:c r="A47" s="9" t="n">
        <x:v>44</x:v>
      </x:c>
      <x:c r="B47" s="9" t="inlineStr">
        <x:is>
          <x:t xml:space="preserve">FB-044</x:t>
        </x:is>
      </x:c>
      <x:c r="C47" s="9" t="inlineStr">
        <x:is>
          <x:t xml:space="preserve">Products</x:t>
        </x:is>
      </x:c>
      <x:c r="D47" s="9" t="inlineStr">
        <x:is>
          <x:t xml:space="preserve">Add the tag filter</x:t>
        </x:is>
      </x:c>
      <x:c r="E47" s="9" t="inlineStr">
        <x:is>
          <x:t xml:space="preserve">Show products with the selected shared tag; combine with prior filters and search. Untagged products remain visible when tag filter is cleared.</x:t>
        </x:is>
      </x:c>
      <x:c r="F47" s="9" t="inlineStr">
        <x:is>
          <x:t xml:space="preserve">FB-043</x:t>
        </x:is>
      </x:c>
      <x:c r="G47" s="9" t="str">
        <x:f>IF(H47="Complete","Complete",IF(I47="Blocked","Blocked",IF(I47="In progress","Ready",IF(F47="","Ready",IF(COUNTIFS($B$4:$B$73,F47,$H$4:$H$73,"Complete")=1,"Ready","Waiting")))))</x:f>
        <x:v>Waiting</x:v>
      </x:c>
      <x:c r="H47" s="9" t="str">
        <x:f>IF(I47="Not started","Not started",IF(I47="Blocked","Blocked",IF(I47="In progress","In progress",IF(J47&lt;&gt;"Passed","Awaiting code review",IF(OR(K47="",NOT(ISNUMBER(L47))),"Awaiting review evidence",IF(N47&lt;&gt;"Passed","Awaiting test",IF(OR(M47="",O47="",NOT(ISNUMBER(P47))),"Awaiting test evidence","Complete")))))))</x:f>
        <x:v>Not started</x:v>
      </x:c>
      <x:c r="I47" s="11" t="inlineStr">
        <x:is>
          <x:t xml:space="preserve">Not started</x:t>
        </x:is>
      </x:c>
      <x:c r="J47" s="11" t="inlineStr">
        <x:is>
          <x:t xml:space="preserve">Not reviewed</x:t>
        </x:is>
      </x:c>
      <x:c r="K47" s="11" t="n"/>
      <x:c r="L47" s="31" t="n"/>
      <x:c r="M47" s="11" t="n"/>
      <x:c r="N47" s="11" t="inlineStr">
        <x:is>
          <x:t xml:space="preserve">Not tested</x:t>
        </x:is>
      </x:c>
      <x:c r="O47" s="11" t="n"/>
      <x:c r="P47" s="31" t="n"/>
      <x:c r="Q47" s="11" t="n"/>
      <x:c r="R47" s="11" t="inlineStr">
        <x:is>
          <x:t xml:space="preserve">Before starting this item or feature: reread AGENTS.md from disk; apply its teaching and testing rules.
Next: Start this item after the previous item is complete.</x:t>
        </x:is>
      </x:c>
      <x:c r="S47" s="11" t="n"/>
    </x:row>
    <x:row r="48" ht="105" customHeight="1">
      <x:c r="A48" s="4" t="n">
        <x:v>45</x:v>
      </x:c>
      <x:c r="B48" s="4" t="inlineStr">
        <x:is>
          <x:t xml:space="preserve">FB-045</x:t>
        </x:is>
      </x:c>
      <x:c r="C48" s="4" t="inlineStr">
        <x:is>
          <x:t xml:space="preserve">Products</x:t>
        </x:is>
      </x:c>
      <x:c r="D48" s="4" t="inlineStr">
        <x:is>
          <x:t xml:space="preserve">Add the product status filter</x:t>
        </x:is>
      </x:c>
      <x:c r="E48" s="4" t="inlineStr">
        <x:is>
          <x:t xml:space="preserve">All/Active/Inactive works with existing filters. General product list may show inactive/zero-stock products; distribution picker later has stricter rules.</x:t>
        </x:is>
      </x:c>
      <x:c r="F48" s="4" t="inlineStr">
        <x:is>
          <x:t xml:space="preserve">FB-044</x:t>
        </x:is>
      </x:c>
      <x:c r="G48" s="4" t="str">
        <x:f>IF(H48="Complete","Complete",IF(I48="Blocked","Blocked",IF(I48="In progress","Ready",IF(F48="","Ready",IF(COUNTIFS($B$4:$B$73,F48,$H$4:$H$73,"Complete")=1,"Ready","Waiting")))))</x:f>
        <x:v>Waiting</x:v>
      </x:c>
      <x:c r="H48" s="4" t="str">
        <x:f>IF(I48="Not started","Not started",IF(I48="Blocked","Blocked",IF(I48="In progress","In progress",IF(J48&lt;&gt;"Passed","Awaiting code review",IF(OR(K48="",NOT(ISNUMBER(L48))),"Awaiting review evidence",IF(N48&lt;&gt;"Passed","Awaiting test",IF(OR(M48="",O48="",NOT(ISNUMBER(P48))),"Awaiting test evidence","Complete")))))))</x:f>
        <x:v>Not started</x:v>
      </x:c>
      <x:c r="I48" s="10" t="inlineStr">
        <x:is>
          <x:t xml:space="preserve">Not started</x:t>
        </x:is>
      </x:c>
      <x:c r="J48" s="10" t="inlineStr">
        <x:is>
          <x:t xml:space="preserve">Not reviewed</x:t>
        </x:is>
      </x:c>
      <x:c r="K48" s="10" t="n"/>
      <x:c r="L48" s="30" t="n"/>
      <x:c r="M48" s="10" t="n"/>
      <x:c r="N48" s="10" t="inlineStr">
        <x:is>
          <x:t xml:space="preserve">Not tested</x:t>
        </x:is>
      </x:c>
      <x:c r="O48" s="10" t="n"/>
      <x:c r="P48" s="30" t="n"/>
      <x:c r="Q48" s="10" t="n"/>
      <x:c r="R48" s="10" t="inlineStr">
        <x:is>
          <x:t xml:space="preserve">Before starting this item or feature: reread AGENTS.md from disk; apply its teaching and testing rules.
Next: Start this item after the previous item is complete.</x:t>
        </x:is>
      </x:c>
      <x:c r="S48" s="10" t="n"/>
    </x:row>
    <x:row r="49" ht="105" customHeight="1">
      <x:c r="A49" s="9" t="n">
        <x:v>46</x:v>
      </x:c>
      <x:c r="B49" s="9" t="inlineStr">
        <x:is>
          <x:t xml:space="preserve">FB-046</x:t>
        </x:is>
      </x:c>
      <x:c r="C49" s="9" t="inlineStr">
        <x:is>
          <x:t xml:space="preserve">Products</x:t>
        </x:is>
      </x:c>
      <x:c r="D49" s="9" t="inlineStr">
        <x:is>
          <x:t xml:space="preserve">Paginate and verify the full product list</x:t>
        </x:is>
      </x:c>
      <x:c r="E49" s="9" t="inlineStr">
        <x:is>
          <x:t xml:space="preserve">10 products per page after all search/filters. Preserve selections across pages; all roles may list/search/filter. Verify combinations and boundary/empty pages.</x:t>
        </x:is>
      </x:c>
      <x:c r="F49" s="9" t="inlineStr">
        <x:is>
          <x:t xml:space="preserve">FB-045</x:t>
        </x:is>
      </x:c>
      <x:c r="G49" s="9" t="str">
        <x:f>IF(H49="Complete","Complete",IF(I49="Blocked","Blocked",IF(I49="In progress","Ready",IF(F49="","Ready",IF(COUNTIFS($B$4:$B$73,F49,$H$4:$H$73,"Complete")=1,"Ready","Waiting")))))</x:f>
        <x:v>Waiting</x:v>
      </x:c>
      <x:c r="H49" s="9" t="str">
        <x:f>IF(I49="Not started","Not started",IF(I49="Blocked","Blocked",IF(I49="In progress","In progress",IF(J49&lt;&gt;"Passed","Awaiting code review",IF(OR(K49="",NOT(ISNUMBER(L49))),"Awaiting review evidence",IF(N49&lt;&gt;"Passed","Awaiting test",IF(OR(M49="",O49="",NOT(ISNUMBER(P49))),"Awaiting test evidence","Complete")))))))</x:f>
        <x:v>Not started</x:v>
      </x:c>
      <x:c r="I49" s="11" t="inlineStr">
        <x:is>
          <x:t xml:space="preserve">Not started</x:t>
        </x:is>
      </x:c>
      <x:c r="J49" s="11" t="inlineStr">
        <x:is>
          <x:t xml:space="preserve">Not reviewed</x:t>
        </x:is>
      </x:c>
      <x:c r="K49" s="11" t="n"/>
      <x:c r="L49" s="31" t="n"/>
      <x:c r="M49" s="11" t="n"/>
      <x:c r="N49" s="11" t="inlineStr">
        <x:is>
          <x:t xml:space="preserve">Not tested</x:t>
        </x:is>
      </x:c>
      <x:c r="O49" s="11" t="n"/>
      <x:c r="P49" s="31" t="n"/>
      <x:c r="Q49" s="11" t="n"/>
      <x:c r="R49" s="11" t="inlineStr">
        <x:is>
          <x:t xml:space="preserve">Before starting this item or feature: reread AGENTS.md from disk; apply its teaching and testing rules.
Next: Start this item after the previous item is complete.</x:t>
        </x:is>
      </x:c>
      <x:c r="S49" s="11" t="n"/>
    </x:row>
    <x:row r="50" ht="105" customHeight="1">
      <x:c r="A50" s="4" t="n">
        <x:v>47</x:v>
      </x:c>
      <x:c r="B50" s="4" t="inlineStr">
        <x:is>
          <x:t xml:space="preserve">FB-047</x:t>
        </x:is>
      </x:c>
      <x:c r="C50" s="4" t="inlineStr">
        <x:is>
          <x:t xml:space="preserve">Products</x:t>
        </x:is>
      </x:c>
      <x:c r="D50" s="4" t="inlineStr">
        <x:is>
          <x:t xml:space="preserve">Edit product details before movements</x:t>
        </x:is>
      </x:c>
      <x:c r="E50" s="4" t="inlineStr">
        <x:is>
          <x:t xml:space="preserve">Managers/Super Admin may edit catalogue fields subject to validation and duplicates; codes permanent. Explain changes with local zero-stock products. Post-movement locks are added and verified with Receive.</x:t>
        </x:is>
      </x:c>
      <x:c r="F50" s="4" t="inlineStr">
        <x:is>
          <x:t xml:space="preserve">FB-046</x:t>
        </x:is>
      </x:c>
      <x:c r="G50" s="4" t="str">
        <x:f>IF(H50="Complete","Complete",IF(I50="Blocked","Blocked",IF(I50="In progress","Ready",IF(F50="","Ready",IF(COUNTIFS($B$4:$B$73,F50,$H$4:$H$73,"Complete")=1,"Ready","Waiting")))))</x:f>
        <x:v>Waiting</x:v>
      </x:c>
      <x:c r="H50" s="4" t="str">
        <x:f>IF(I50="Not started","Not started",IF(I50="Blocked","Blocked",IF(I50="In progress","In progress",IF(J50&lt;&gt;"Passed","Awaiting code review",IF(OR(K50="",NOT(ISNUMBER(L50))),"Awaiting review evidence",IF(N50&lt;&gt;"Passed","Awaiting test",IF(OR(M50="",O50="",NOT(ISNUMBER(P50))),"Awaiting test evidence","Complete")))))))</x:f>
        <x:v>Not started</x:v>
      </x:c>
      <x:c r="I50" s="10" t="inlineStr">
        <x:is>
          <x:t xml:space="preserve">Not started</x:t>
        </x:is>
      </x:c>
      <x:c r="J50" s="10" t="inlineStr">
        <x:is>
          <x:t xml:space="preserve">Not reviewed</x:t>
        </x:is>
      </x:c>
      <x:c r="K50" s="10" t="n"/>
      <x:c r="L50" s="30" t="n"/>
      <x:c r="M50" s="10" t="n"/>
      <x:c r="N50" s="10" t="inlineStr">
        <x:is>
          <x:t xml:space="preserve">Not tested</x:t>
        </x:is>
      </x:c>
      <x:c r="O50" s="10" t="n"/>
      <x:c r="P50" s="30" t="n"/>
      <x:c r="Q50" s="10" t="n"/>
      <x:c r="R50" s="10" t="inlineStr">
        <x:is>
          <x:t xml:space="preserve">Before starting this item or feature: reread AGENTS.md from disk; apply its teaching and testing rules.
Next: Start this item after the previous item is complete.</x:t>
        </x:is>
      </x:c>
      <x:c r="S50" s="10" t="n"/>
    </x:row>
    <x:row r="51" ht="105" customHeight="1">
      <x:c r="A51" s="9" t="n">
        <x:v>48</x:v>
      </x:c>
      <x:c r="B51" s="9" t="inlineStr">
        <x:is>
          <x:t xml:space="preserve">FB-048</x:t>
        </x:is>
      </x:c>
      <x:c r="C51" s="9" t="inlineStr">
        <x:is>
          <x:t xml:space="preserve">Products</x:t>
        </x:is>
      </x:c>
      <x:c r="D51" s="9" t="inlineStr">
        <x:is>
          <x:t xml:space="preserve">Activate/deactivate products and manage tag removal</x:t>
        </x:is>
      </x:c>
      <x:c r="E51" s="9" t="inlineStr">
        <x:is>
          <x:t xml:space="preserve">Deactivate only at zero stock, retain records instead of deleting. Reactivate later. Remove tags from a product without deleting shared tag; delete shared tag only if unused by active AND inactive products.</x:t>
        </x:is>
      </x:c>
      <x:c r="F51" s="9" t="inlineStr">
        <x:is>
          <x:t xml:space="preserve">FB-047</x:t>
        </x:is>
      </x:c>
      <x:c r="G51" s="9" t="str">
        <x:f>IF(H51="Complete","Complete",IF(I51="Blocked","Blocked",IF(I51="In progress","Ready",IF(F51="","Ready",IF(COUNTIFS($B$4:$B$73,F51,$H$4:$H$73,"Complete")=1,"Ready","Waiting")))))</x:f>
        <x:v>Waiting</x:v>
      </x:c>
      <x:c r="H51" s="9" t="str">
        <x:f>IF(I51="Not started","Not started",IF(I51="Blocked","Blocked",IF(I51="In progress","In progress",IF(J51&lt;&gt;"Passed","Awaiting code review",IF(OR(K51="",NOT(ISNUMBER(L51))),"Awaiting review evidence",IF(N51&lt;&gt;"Passed","Awaiting test",IF(OR(M51="",O51="",NOT(ISNUMBER(P51))),"Awaiting test evidence","Complete")))))))</x:f>
        <x:v>Not started</x:v>
      </x:c>
      <x:c r="I51" s="11" t="inlineStr">
        <x:is>
          <x:t xml:space="preserve">Not started</x:t>
        </x:is>
      </x:c>
      <x:c r="J51" s="11" t="inlineStr">
        <x:is>
          <x:t xml:space="preserve">Not reviewed</x:t>
        </x:is>
      </x:c>
      <x:c r="K51" s="11" t="n"/>
      <x:c r="L51" s="31" t="n"/>
      <x:c r="M51" s="11" t="n"/>
      <x:c r="N51" s="11" t="inlineStr">
        <x:is>
          <x:t xml:space="preserve">Not tested</x:t>
        </x:is>
      </x:c>
      <x:c r="O51" s="11" t="n"/>
      <x:c r="P51" s="31" t="n"/>
      <x:c r="Q51" s="11" t="n"/>
      <x:c r="R51" s="11" t="inlineStr">
        <x:is>
          <x:t xml:space="preserve">Before starting this item or feature: reread AGENTS.md from disk; apply its teaching and testing rules.
Next: Verify zero-stock deactivation and reactivation first. Then teach removing a product tag and deleting only unused shared tags separately, after the relationship exists. Include inactive products in usage checks. Nonzero-stock rejection and movement locks are verified later in FB-053.</x:t>
        </x:is>
      </x:c>
      <x:c r="S51" s="11" t="n"/>
    </x:row>
    <x:row r="52" ht="105" customHeight="1">
      <x:c r="A52" s="4" t="n">
        <x:v>49</x:v>
      </x:c>
      <x:c r="B52" s="4" t="inlineStr">
        <x:is>
          <x:t xml:space="preserve">FB-067</x:t>
        </x:is>
      </x:c>
      <x:c r="C52" s="4" t="inlineStr">
        <x:is>
          <x:t xml:space="preserve">Verification</x:t>
        </x:is>
      </x:c>
      <x:c r="D52" s="4" t="inlineStr">
        <x:is>
          <x:t xml:space="preserve">Verify the completed catalogue before stock movements</x:t>
        </x:is>
      </x:c>
      <x:c r="E52" s="4" t="inlineStr">
        <x:is>
          <x:t xml:space="preserve">Review and ask the developer to test completed Department, Category, Subcategory, Tag and Product actions, codes/duplicates/required fields, compatible units/precision, responsive layouts, individual filters and pagination, and permitted/denied direct requests. Stock-dependent locks and nonzero deactivation remain FB-053; totals are FB-065/FB-066; movement-wide checks are FB-068/FB-069. Record actual evidence before starting Receive.</x:t>
        </x:is>
      </x:c>
      <x:c r="F52" s="4" t="inlineStr">
        <x:is>
          <x:t xml:space="preserve">FB-048</x:t>
        </x:is>
      </x:c>
      <x:c r="G52" s="4" t="str">
        <x:f>IF(H52="Complete","Complete",IF(I52="Blocked","Blocked",IF(I52="In progress","Ready",IF(F52="","Ready",IF(COUNTIFS($B$4:$B$73,F52,$H$4:$H$73,"Complete")=1,"Ready","Waiting")))))</x:f>
        <x:v>Waiting</x:v>
      </x:c>
      <x:c r="H52" s="4" t="str">
        <x:f>IF(I52="Not started","Not started",IF(I52="Blocked","Blocked",IF(I52="In progress","In progress",IF(J52&lt;&gt;"Passed","Awaiting code review",IF(OR(K52="",NOT(ISNUMBER(L52))),"Awaiting review evidence",IF(N52&lt;&gt;"Passed","Awaiting test",IF(OR(M52="",O52="",NOT(ISNUMBER(P52))),"Awaiting test evidence","Complete")))))))</x:f>
        <x:v>Not started</x:v>
      </x:c>
      <x:c r="I52" s="10" t="inlineStr">
        <x:is>
          <x:t xml:space="preserve">Not started</x:t>
        </x:is>
      </x:c>
      <x:c r="J52" s="10" t="inlineStr">
        <x:is>
          <x:t xml:space="preserve">Not reviewed</x:t>
        </x:is>
      </x:c>
      <x:c r="K52" s="10" t="n"/>
      <x:c r="L52" s="30" t="n"/>
      <x:c r="M52" s="10" t="n"/>
      <x:c r="N52" s="10" t="inlineStr">
        <x:is>
          <x:t xml:space="preserve">Not tested</x:t>
        </x:is>
      </x:c>
      <x:c r="O52" s="10" t="n"/>
      <x:c r="P52" s="30" t="n"/>
      <x:c r="Q52" s="10" t="n"/>
      <x:c r="R52" s="10" t="inlineStr">
        <x:is>
          <x:t xml:space="preserve">Before starting this item or feature: reread AGENTS.md from disk; apply its teaching and testing rules.
Next: Run the catalogue checkpoint before Receive, with developer-first tests. Verify each completed module and combined list filters. Explicitly record stock-dependent checks as later FB-053/FB-065/FB-066/FB-068 checkpoints, not passed checks here.</x:t>
        </x:is>
      </x:c>
      <x:c r="S52" s="10"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x:t>
        </x:is>
      </x:c>
      <x:c r="F53" s="9" t="inlineStr">
        <x:is>
          <x:t xml:space="preserve">FB-067</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 this item or feature: reread AGENTS.md from disk; apply its teaching and testing rules.
Next: Identify movement permissions and consistency rules first. Introduce receipt/movement storage and Product/recorder relationships only as needed for Receive. A local fictional one-row form may precede persistence. Teach package display and layout before multiple rows; do not enable submission without server checks.</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 this item or feature: reread AGENTS.md from disk; apply its teaching and testing rules.
Next: Start this item after the previous item is complete.</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 this item or feature: reread AGENTS.md from disk; apply its teaching and testing rules.
Next: Explain receipt, movement, Product and recorder links, validation and the transaction before enabling Save. Enforce server permissions and active status now. Verify saved balances and rollback with fictional data. FB-052 adds submission feedback; FB-053 completes post-movement locks before operational use.</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 this item or feature: reread AGENTS.md from disk; apply its teaching and testing rules.
Next: Add processing, retained errors and success feedback to the already authorized save operation. Recheck the server safeguards from FB-051; do not postpone them until this lesson. Verify a multi-product receipt, then finish required locks in FB-053.</x:t>
        </x:is>
      </x:c>
      <x:c r="S56" s="10" t="n"/>
    </x:row>
    <x:row r="57" ht="105" customHeight="1">
      <x:c r="A57" s="9" t="n">
        <x:v>54</x:v>
      </x:c>
      <x:c r="B57" s="9" t="inlineStr">
        <x:is>
          <x:t xml:space="preserve">FB-053</x:t>
        </x:is>
      </x:c>
      <x:c r="C57" s="9" t="inlineStr">
        <x:is>
          <x:t xml:space="preserve">Receive</x:t>
        </x:is>
      </x:c>
      <x:c r="D57" s="9" t="inlineStr">
        <x:is>
          <x:t xml:space="preserve">Lock product and summary units after first movement</x:t>
        </x:is>
      </x:c>
      <x:c r="E57" s="9" t="inlineStr">
        <x:is>
          <x:t xml:space="preserve">After first movement lock product counting unit, contents/value/unit and subcategory. Lock subcategory summary unit once any child moved. Names/tags remain editable; nonzero products cannot deactivate. Direct writes cannot bypass locks.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 this item or feature: reread AGENTS.md from disk; apply its teaching and testing rules.
Next: Use a real fictional Receive movement to observe why units/subcategory must now lock. Enforce each lock separately and verify direct-write rejection and nonzero deactivation. Retest earlier catalogue edit actions before calling Receive ready for operational use.</x:t>
        </x:is>
      </x:c>
      <x:c r="S57" s="11" t="n"/>
    </x:row>
    <x:row r="58" ht="105" customHeight="1">
      <x:c r="A58" s="4" t="n">
        <x:v>55</x:v>
      </x:c>
      <x:c r="B58" s="4" t="inlineStr">
        <x:is>
          <x:t xml:space="preserve">FB-054</x:t>
        </x:is>
      </x:c>
      <x:c r="C58" s="4" t="inlineStr">
        <x:is>
          <x:t xml:space="preserve">History</x:t>
        </x:is>
      </x:c>
      <x:c r="D58" s="4" t="inlineStr">
        <x:is>
          <x:t xml:space="preserve">Show product stock history to permitted roles</x:t>
        </x:is>
      </x:c>
      <x:c r="E58" s="4" t="inlineStr">
        <x:is>
          <x:t xml:space="preserve">On product details, show type, +/- quantity, timestamp, resulting balance, recorder and receipt/household/reason details. History comes automatically from movements. Managers/Super Admin only; volunteers denied even direct requests.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 this item or feature: reread AGENTS.md from disk; apply its teaching and testing rules.
Next: Build the permitted product details/history view using Receive records now available. Verify manager/Super Admin access and volunteer denial. Add adjustment reasons in FB-056 and household details in FB-063 when those movements exist, then recheck all history types in FB-068.</x:t>
        </x:is>
      </x:c>
      <x:c r="S58" s="10" t="n"/>
    </x:row>
    <x:row r="59" ht="105" customHeight="1">
      <x:c r="A59" s="9" t="n">
        <x:v>56</x:v>
      </x:c>
      <x:c r="B59" s="9" t="inlineStr">
        <x:is>
          <x:t xml:space="preserve">FB-065</x:t>
        </x:is>
      </x:c>
      <x:c r="C59" s="9" t="inlineStr">
        <x:is>
          <x:t xml:space="preserve">Totals</x:t>
        </x:is>
      </x:c>
      <x:c r="D59" s="9" t="inlineStr">
        <x:is>
          <x:t xml:space="preserve">Calculate subcategory totals accurately</x:t>
        </x:is>
      </x:c>
      <x:c r="E59" s="9" t="inlineStr">
        <x:is>
          <x:t xml:space="preserve">Multiply stock by contents, converting g to kg and ml to litres before summing; count eggs as individual items. Example 4x500g+3x1kg+2x5kg=15kg. Keep exact values until display; never replace product counts.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 this item or feature: reread AGENTS.md from disk; apply its teaching and testing rules.
Next: Use completed Receive balances to introduce one subcategory calculation. Verify the agreed rice example and unit conversion before adding display. Do not build later movement modules early; recheck totals after Adjust in FB-056 and Distribute in FB-063/FB-064.</x:t>
        </x:is>
      </x:c>
      <x:c r="S59" s="11" t="n"/>
    </x:row>
    <x:row r="60" ht="105" customHeight="1">
      <x:c r="A60" s="4" t="n">
        <x:v>57</x:v>
      </x:c>
      <x:c r="B60" s="4" t="inlineStr">
        <x:is>
          <x:t xml:space="preserve">FB-066</x:t>
        </x:is>
      </x:c>
      <x:c r="C60" s="4" t="inlineStr">
        <x:is>
          <x:t xml:space="preserve">Totals</x:t>
        </x:is>
      </x:c>
      <x:c r="D60" s="4" t="inlineStr">
        <x:is>
          <x:t xml:space="preserve">Display combined totals on subcategory management</x:t>
        </x:is>
      </x:c>
      <x:c r="E60" s="4" t="inlineStr">
        <x:is>
          <x:t xml:space="preserve">Managers/Super Admin see totals in kg/litres/items with up to 3 decimals, fewer allowed; round display only. Individual product sizes keep saved units. Volunteer cannot access management/history screens.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 this item or feature: reread AGENTS.md from disk; apply its teaching and testing rules.
Next: Display the calculated total on the existing protected Subcategory screen and teach formatting separately. Verify manager/Super Admin access and volunteer denial using received stock. Later movement lessons must verify their changes update these totals.</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 this item or feature: reread AGENTS.md from disk; apply its teaching and testing rules.
Next: After Receive, history and totals are verified, identify Adjust permissions and stock rules. Reuse existing movement storage and introduce the required reason through this concrete action. Teach one product and Add/Remove state, then layout; attach checks before enabling save.</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 this item or feature: reread AGENTS.md from disk; apply its teaching and testing rules.
Next: Start this item after the previous item is complete.</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n"/>
      <x:c r="R65" s="11" t="inlineStr">
        <x:is>
          <x:t xml:space="preserve">Before starting this item or feature: reread AGENTS.md from disk; apply its teaching and testing rules.
Next: Start this item after the previous item is complete.</x:t>
        </x:is>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n"/>
      <x:c r="R66" s="10" t="inlineStr">
        <x:is>
          <x:t xml:space="preserve">Before starting this item or feature: reread AGENTS.md from disk; apply its teaching and testing rules.
Next: Start this item after the previous item is complete.</x:t>
        </x:is>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 this item or feature: reread AGENTS.md from disk; apply its teaching and testing rules.
Next: Start this item after the previous item is complete.</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 this item or feature: reread AGENTS.md from disk; apply its teaching and testing rules.
Next: Start this item after the previous item is complete.</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 this item or feature: reread AGENTS.md from disk; apply its teaching and testing rules.
Next: Start this item after the previous item is complete.</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 this item or feature: reread AGENTS.md from disk; apply its teaching and testing rules.
Next: Start this item after the previous item is complete.</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 this item or feature: reread AGENTS.md from disk; apply its teaching and testing rules.
Next: Review and test completed Receive, Adjust and Distribute journeys together, including history and totals. Repeat affected catalogue-lock and permission checks after movement integration. This complements earlier module checks; it is not the first testing of those features.</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FB-068</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inlineStr">
        <x:is>
          <x: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72" s="10" t="inlineStr">
        <x:is>
          <x: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7e328e8a7c13421b"/>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str">
        <x:v>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x:v>
      </x:c>
      <x:c r="E23" s="28" t="str">
        <x:v>FB-004, FB-019, FB-021</x:v>
      </x:c>
      <x:c r="F23" s="28" t="inlineStr">
        <x:is>
          <x:t xml:space="preserve">Stories!B7</x:t>
        </x:is>
      </x:c>
    </x:row>
    <x:row r="24" ht="52" customHeight="1">
      <x:c r="A24" s="4" t="inlineStr">
        <x:is>
          <x:t xml:space="preserve">REQ-021</x:t>
        </x:is>
      </x:c>
      <x:c r="B24" s="4" t="inlineStr">
        <x:is>
          <x:t xml:space="preserve">1. Roles and account creation</x:t>
        </x:is>
      </x:c>
      <x:c r="C24" s="4" t="str">
        <x:v>Current scope</x:v>
      </x:c>
      <x:c r="D24" s="4" t="str">
        <x:v>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v>
      </x:c>
      <x:c r="E24" s="4" t="str">
        <x:v>FB-021</x:v>
      </x:c>
      <x:c r="F24" s="4" t="str">
        <x:v>Stories!B25</x:v>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Stories!B14</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str">
        <x:v>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x:v>
      </x:c>
      <x:c r="E32" s="4" t="inlineStr">
        <x:is>
          <x:t xml:space="preserve">FB-019, FB-020, FB-021, FB-025</x:t>
        </x:is>
      </x:c>
      <x:c r="F32" s="4" t="inlineStr">
        <x:is>
          <x:t xml:space="preserve">Stories!B12</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str">
        <x:v>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v>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str">
        <x:v>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x:v>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Stories!B16</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Stories!B16</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str">
        <x:v>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v>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Stories!B16</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Stories!B16</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Stories!B16</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Stories!B16</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x:t>
        </x:is>
      </x:c>
      <x:c r="E73" s="28" t="inlineStr">
        <x:is>
          <x:t xml:space="preserve">FB-008, FB-024</x:t>
        </x:is>
      </x:c>
      <x:c r="F73" s="28" t="inlineStr">
        <x:is>
          <x:t xml:space="preserve">Stories!B16</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Stories!B23</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Stories!B23</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inlineStr">
        <x:is>
          <x:t xml:space="preserve">Current scope</x:t>
        </x:is>
      </x:c>
      <x:c r="D100" s="4" t="inlineStr">
        <x:is>
          <x:t xml:space="preserve">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product record, including brand and package-size variants, receives its own code.</x:t>
        </x:is>
      </x:c>
      <x:c r="E100" s="4" t="inlineStr">
        <x:is>
          <x:t xml:space="preserve">FB-035</x:t>
        </x:is>
      </x:c>
      <x:c r="F100" s="4" t="inlineStr">
        <x:is>
          <x:t xml:space="preserve">Stories!B38</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Moving categories or subcategories between parents, and deleting departments, categories, or subcategories. Version one supports renaming only for maintenance of existing hierarchy records.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inlineStr">
        <x:is>
          <x:t xml:space="preserve">Tags are shared across the product catalogue: create a tag once and reuse it on multiple products. A product can have multiple tags or none.</x:t>
        </x:is>
      </x:c>
      <x:c r="E107" s="28" t="inlineStr">
        <x:is>
          <x:t xml:space="preserve">FB-031, FB-037, FB-048</x:t>
        </x:is>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Different brands and package sizes are separate product records with their own stock counts, even when they share the same subcategory.</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inlineStr">
        <x:is>
          <x:t xml:space="preserve">Product form fields: required product name, full department/category/ subcategory selection, counting unit, positive contents per package/item, and status. Status defaults to Active. Brand and tags are optional. Choose a contents unit compatible with the selected subcategory's measure (weight, volume, or individual items). Product codes are generated automatically and stock starts at zero, not entered in this form.</x:t>
        </x:is>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Prevent duplicate products when name, brand, subcategory, counting unit, and package contents all match an existing product. Different brands or package sizes remain separate products. Ignore capitalization and surrounding spaces in product names and brands. Compare equivalent contents across units (500 g equals 0.5 kg; 500 ml equals 0.5 litres). Include inactive products in duplicate checks; reactivate the existing record instead of duplicating it.</x:t>
        </x:is>
      </x:c>
      <x:c r="E112" s="4" t="inlineStr">
        <x:is>
          <x:t xml:space="preserve">FB-036</x:t>
        </x:is>
      </x:c>
      <x:c r="F112" s="4" t="inlineStr">
        <x:is>
          <x:t xml:space="preserve">Stories!B39</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First-version stock quantities are whole-number counts of packages or individual items. Each product has one counting unit, such as can, bag, or box. Package size describes the product; stock counts packages/items.</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Package contents measured in individual items must be a positive whole number (for example, 6 or 12 eggs per carton, never 6.5). Weight and volume contents may use up to three decimal places. Movement quantities remain whole packages/items regardless of how package contents are measured.</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Use fixed dropdown choices for counting units: bag, box, can, bottle, carton, jar, packet, and individual item.</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Subcategory summary unit choices remain kilograms, litres, and individual items. Product package sizes use their saved unit (kg/g or litres/ml). Automatically convert grams to kilograms and millilitres to litres when calculating subcategory totals, then multiply package contents by available whole-package counts and add the results. For example, four 500 g bags, three 1 kg bags, and two 5 kg bags total 15 kg. Product package sizes retain their saved units; conversion does not allow partial-package movements. Display combined weight/volume totals in kg or litres with at most three decimal places, allowing fewer digits (for example, 1 kg, 0.25 kg, 0.125 kg). Keep calculation values exact and round only the displayed total when needed. Individual product sizes display in their saved units. Existing unit-locking rules after stock movements still apply, including the saved package contents unit.</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Each subcategory has one summary unit, such as kilograms or individual items. Every product specifies how much one package/item contains in a compatible unit; reconcile that unit with the summary unit for totals.</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Calculate subcategory totals by multiplying each product's whole-number stock count by its package contents and summing the results. For example, rice bags contribute kilograms and egg cartons contribute eggs.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These calculated summaries do not replace individual product balances.</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inlineStr">
        <x:is>
          <x:t xml:space="preserve">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x:t>
        </x:is>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product may appear only once per Receive or Distribute entry. To change the amount, update its existing row's quantity rather than adding another row. Different products or package sizes may have separate rows.</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product. The user selects Add or Remove, enters a positive whole-number quantity, and provides a required reason. Removing stock must still respect the non-negative balance rule.</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Managers and the Super Admin can view each product's stock-movement history in version one. Show movement type, quantity added or removed, date/time, resulting balance, who recorded it, and relevant details such as the receipt, distribution household, or adjustment reason.</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Show product stock-movement history on the product details page and combined subcategory totals on the subcategory management screen, for managers and the Super Admin. Volunteers cannot view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New products start with zero stock. Add any existing stock through a Receive entry so every opening quantity has a recorded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Products use Active/Inactive status instead of deletion in version one. A product can only be deactivated when its stock is zero. Inactive products cannot receive any stock movements until reactivated, but their records and stock-movement history remain available.</x:t>
        </x:is>
      </x:c>
      <x:c r="E140" s="4" t="inlineStr">
        <x:is>
          <x:t xml:space="preserve">FB-048, FB-053</x:t>
        </x:is>
      </x:c>
      <x:c r="F140" s="4" t="inlineStr">
        <x:is>
          <x:t xml:space="preserve">Stories!B51</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After a product's first stock movement, lock its counting unit, package contents, and subcategory. Names and tags remain editable. Different package sizes require separate product records.</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Lock a subcategory's summary unit once any product beneath it has a stock movement, preserving the meaning of product contents and totals. Receiving and issuing stock still uses whole packages/items of a specific product; partial-package movements are outside current scope.</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Consistent units within a subcategory and readable summary formatting are in scope; general unit conversions and loose-weight movements remain future work.</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inlineStr">
        <x:is>
          <x:t xml:space="preserve">Include a product list showing product code, product name, category path, package contents, available stock, and status. Managers, the Super Admin, and volunteers can search by product code or product name and filter by department, category, subcategory, tag, and Active/Inactive status.</x:t>
        </x:is>
      </x:c>
      <x:c r="E145" s="28" t="inlineStr">
        <x:is>
          <x:t xml:space="preserve">FB-037–FB-046</x:t>
        </x:is>
      </x:c>
      <x:c r="F145" s="28" t="inlineStr">
        <x:is>
          <x:t xml:space="preserve">Stories!B40</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Stories!B40</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Stories!B52</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Stories!B52</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Stories!B51</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Stories!B52</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Stories!B52</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str">
        <x:v>1. Roles and account creation</x:v>
      </x:c>
      <x:c r="C169" s="28" t="str">
        <x:v>Current scope</x:v>
      </x:c>
      <x:c r="D169" s="28" t="str">
        <x:v>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v>
      </x:c>
      <x:c r="E169" s="28" t="str">
        <x:v>FB-021</x:v>
      </x:c>
      <x:c r="F169" s="28" t="str">
        <x:v>Stories!B25</x:v>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b3642f61181e46d0"/>
  </x:tableParts>
</x:worksheet>
</file>