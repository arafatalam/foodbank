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FB-029</t>
        </is>
      </c>
      <c r="C10" s="15" t="n"/>
      <c r="D10" s="18" t="inlineStr">
        <is>
          <t>Only test application behaviour yourself after the developer delegates it.</t>
        </is>
      </c>
    </row>
    <row r="11" ht="24" customHeight="1">
      <c r="A11" s="15" t="inlineStr">
        <is>
          <t>Verified progress</t>
        </is>
      </c>
      <c r="B11" s="29" t="inlineStr">
        <is>
          <t>2026-10-29 Department and Category modules verified, including confirmed Category department changes. FB-029 Subcategory next; Subcategory moves remain FUTURE. Account deferrals preserved.</t>
        </is>
      </c>
      <c r="C11" s="15" t="n"/>
    </row>
    <row r="12">
      <c r="A12" s="15" t="n"/>
      <c r="B12" s="15" t="inlineStr">
        <is>
          <t>Before starting/resuming this item or feature: reread AGENTS.md from disk; apply teaching/testing rules. FB-029 creation+list/search implemented. List source review and70 catalogue tests509 assertions passed; browser checks pending because active user activity interrupted native browser. Next verify /subcategories automatic/Enter/clear search for Department/Category/Subcategory, retained pagination and page1 reset, empty message and phone layout. Then FB-030 rename/full-module review before marking open items complete. No stock work.</t>
        </is>
      </c>
      <c r="C12" s="15" t="n"/>
      <c r="D12" s="15" t="n"/>
      <c r="E12" s="15" t="n"/>
      <c r="F12" s="15" t="n"/>
      <c r="G12" s="15" t="n"/>
      <c r="H12" s="15" t="n"/>
    </row>
    <row r="13" ht="40" customHeight="1">
      <c r="A13" s="21" t="inlineStr">
        <is>
          <t>Current item ID</t>
        </is>
      </c>
      <c r="B13" s="22" t="inlineStr">
        <is>
          <t>FB-029</t>
        </is>
      </c>
    </row>
    <row r="14" ht="100" customHeight="1">
      <c r="A14" s="21" t="inlineStr">
        <is>
          <t>Current lesson</t>
        </is>
      </c>
      <c r="B14" s="22" t="inlineStr">
        <is>
          <t>Subcategory list and three-level search implemented/tested; browser checks and rename remain pending.</t>
        </is>
      </c>
    </row>
    <row r="15" ht="100" customHeight="1">
      <c r="A15" s="21" t="inlineStr">
        <is>
          <t>Next action</t>
        </is>
      </c>
      <c r="B15" s="22" t="inlineStr">
        <is>
          <t>Before starting/resuming this item or feature: reread AGENTS.md from disk; apply teaching/testing rules. FB-029 creation+list/search implemented. List source review and70 catalogue tests509 assertions passed; browser checks pending because active user activity interrupted native browser. Next verify /subcategories automatic/Enter/clear search for Department/Category/Subcategory, retained pagination and page1 reset, empty message and phone layout. Then FB-030 rename/full-module review before marking open items complete. No stock work.</t>
        </is>
      </c>
    </row>
    <row r="16" ht="65" customHeight="1">
      <c r="A16" s="21" t="inlineStr">
        <is>
          <t>Waiting on</t>
        </is>
      </c>
      <c r="B16" s="22" t="inlineStr">
        <is>
          <t>List browser checks pending; next Subcategory rename on request.</t>
        </is>
      </c>
    </row>
    <row r="17" ht="65" customHeight="1">
      <c r="A17" s="21" t="inlineStr">
        <is>
          <t>Last reviewed revision</t>
        </is>
      </c>
      <c r="B17" s="22" t="inlineStr">
        <is>
          <t>2026-10-29 list/search source review passed; snapshot evidence in Stories Q32. Full module review pending.</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21</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22</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23</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24</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25</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26</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27</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t="n">
        <v>46324</v>
      </c>
      <c r="M30" s="10" t="inlineStr">
        <is>
          <t>Developer</t>
        </is>
      </c>
      <c r="N30" s="10" t="inlineStr">
        <is>
          <t>Passed</t>
        </is>
      </c>
      <c r="O30" s="10" t="inlineStr">
        <is>
          <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t="n">
        <v>46324</v>
      </c>
      <c r="Q30" s="10" t="inlineStr">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s="10" t="inlineStr">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28</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Ready for review</t>
        </is>
      </c>
      <c r="J31" s="11" t="inlineStr">
        <is>
          <t>Passed</t>
        </is>
      </c>
      <c r="K31" s="11" t="inlineStr">
        <is>
          <t>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L31" s="31" t="n">
        <v>46324</v>
      </c>
      <c r="M31" s="11" t="inlineStr">
        <is>
          <t>Developer (create/list); Assistant (delegated edit tests and browser)</t>
        </is>
      </c>
      <c r="N31" s="11" t="inlineStr">
        <is>
          <t>Passed</t>
        </is>
      </c>
      <c r="O31" s="11" t="inlineStr">
        <is>
          <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P31" s="31" t="n">
        <v>46324</v>
      </c>
      <c r="Q31" s="11" t="inlineStr">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R31" s="11" t="inlineStr">
        <is>
          <t>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S31" s="11" t="n"/>
    </row>
    <row r="32" ht="105" customHeight="1">
      <c r="A32" s="4" t="n">
        <v>29</v>
      </c>
      <c r="B32" s="4" t="inlineStr">
        <is>
          <t>FB-029</t>
        </is>
      </c>
      <c r="C32" s="4" t="inlineStr">
        <is>
          <t>Subcategories</t>
        </is>
      </c>
      <c r="D32" s="4" t="inlineStr">
        <is>
          <t>Build Subcategory storage, complete creation, then list</t>
        </is>
      </c>
      <c r="E32" s="4" t="inlineStr">
        <is>
          <t>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In progress</t>
        </is>
      </c>
      <c r="J32" s="10" t="inlineStr">
        <is>
          <t>Not reviewed</t>
        </is>
      </c>
      <c r="K32" s="10" t="inlineStr">
        <is>
          <t>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t>
        </is>
      </c>
      <c r="L32" s="30" t="n"/>
      <c r="M32" s="10" t="n"/>
      <c r="N32" s="10" t="inlineStr">
        <is>
          <t>Not tested</t>
        </is>
      </c>
      <c r="O32" s="10" t="inlineStr">
        <is>
          <t xml:space="preserve">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t>
        </is>
      </c>
      <c r="P32" s="30" t="n"/>
      <c r="Q32" s="10" t="inlineStr">
        <is>
          <t>2026-10-29 Subcategory creation implementation and applied migration were reverted at user request; original scaffolds restored and migration Pending. Approved redesign now removes summary-unit field from catalogue. No new application implementation authorized by this planning discussion. Earlier implementation tests do not verify the revised design.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
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user explicitly authorized Subcategory list and search at Department/Category/Subcategory levels, all necessary tests. Source review PASS for list/search scope: app/Actions/Subcategories/ListSubcategories.php, app/Http/Requests/Subcategories/IndexSubcategoriesRequest.php, app/Http/Controllers/SubcategoryController.php, app/Policies/SubcategoryPolicy.php, routes/web.php, resources/js/pages/subcategories/Index.vue, tests/Feature/SubcategoryListTest.php. Action nested eager-loads Category/Department and groups three OR partial-name predicates before orderBy(name,id),paginate(10),appends(validated search); request validates nullable search max100 and positive bounded page; protected auth GET /subcategories categories-style viewAny permits Manager/Super Admin; controller delegates filters/action and Inertia props. Vue copies Category search timer/watch/Enter/cancel-on-unmount/preserveState pattern, Department/Category/Subcategory columns, keyed rows, empty state, horizontal table overflow and wrapping pagination. No stock or edit scope. Snapshots: app/Actions/Subcategories/ListSubcategories.php a689a980446d; app/Http/Requests/Subcategories/IndexSubcategoriesRequest.php e904034895cc; app/Http/Controllers/SubcategoryController.php b2a357d8f9b8; app/Policies/SubcategoryPolicy.php b2bec21d2043; routes/web.php b02d4202838a; resources/js/pages/subcategories/Index.vue ddb647cc3e27; tests/Feature/SubcategoryListTest.php 24379e2e07ba</t>
        </is>
      </c>
      <c r="R32" s="10" t="inlineStr">
        <is>
          <t>Before starting/resuming this item or feature: reread AGENTS.md from disk; apply teaching/testing rules. FB-029 creation+list/search implemented. List source review and70 catalogue tests509 assertions passed; browser checks pending because active user activity interrupted native browser. Next verify /subcategories automatic/Enter/clear search for Department/Category/Subcategory, retained pagination and page1 reset, empty message and phone layout. Then FB-030 rename/full-module review before marking open items complete. No stock work.</t>
        </is>
      </c>
      <c r="S32" s="10" t="n"/>
    </row>
    <row r="33" ht="105" customHeight="1">
      <c r="A33" s="9" t="n">
        <v>30</v>
      </c>
      <c r="B33" s="9" t="inlineStr">
        <is>
          <t>FB-030</t>
        </is>
      </c>
      <c r="C33" s="9" t="inlineStr">
        <is>
          <t>Subcategories</t>
        </is>
      </c>
      <c r="D33" s="9" t="inlineStr">
        <is>
          <t>Rename subcategories and verify catalogue permissions</t>
        </is>
      </c>
      <c r="E33" s="9" t="inlineStr">
        <is>
          <t>Rename preserves links/current names; no moves/deletion. Managers/Super Admin. Verify list/create/rename and Category rename preserving Subcategory links. No summary-unit editing in catalogue.</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3" s="11" t="n"/>
    </row>
    <row r="34" ht="105" customHeight="1">
      <c r="A34" s="4" t="n">
        <v>31</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32</v>
      </c>
      <c r="B35" s="9" t="inlineStr">
        <is>
          <t>FB-032</t>
        </is>
      </c>
      <c r="C35" s="9" t="inlineStr">
        <is>
          <t>Products</t>
        </is>
      </c>
      <c r="D35" s="9" t="inlineStr">
        <is>
          <t>Introduce Product storage and its hierarchy form</t>
        </is>
      </c>
      <c r="E35" s="9" t="inlineStr">
        <is>
          <t>Product belongs to Subcategory. Required name/hierarchy/status; optional brand/tags; automatic code. No sizes, packaging, counting/contents units, balances or quantity fields. Introduce tag persistence at FB-037.</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5" s="11" t="n"/>
    </row>
    <row r="36" ht="105" customHeight="1">
      <c r="A36" s="4" t="n">
        <v>33</v>
      </c>
      <c r="B36" s="4" t="inlineStr">
        <is>
          <t>FB-033</t>
        </is>
      </c>
      <c r="C36" s="4" t="inlineStr">
        <is>
          <t>Products</t>
        </is>
      </c>
      <c r="D36" s="4" t="inlineStr">
        <is>
          <t>Lay out the product form and bind its inputs</t>
        </is>
      </c>
      <c r="E36" s="4" t="inlineStr">
        <is>
          <t>Teach responsive layout and temporary state for catalogue identity fields only. No package preview or stock values.</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6" s="10" t="n"/>
    </row>
    <row r="37" ht="105" customHeight="1">
      <c r="A37" s="4" t="n">
        <v>34</v>
      </c>
      <c r="B37" s="4" t="inlineStr">
        <is>
          <t>FB-035</t>
        </is>
      </c>
      <c r="C37" s="4" t="inlineStr">
        <is>
          <t>Products</t>
        </is>
      </c>
      <c r="D37" s="4" t="inlineStr">
        <is>
          <t>Generate permanent product codes</t>
        </is>
      </c>
      <c r="E37" s="4" t="inlineStr">
        <is>
          <t>Unique automatic PRD-000001 onward, at least six digits and growth beyond999999, never edited/reused or derived from categories. Codes identify catalogue products independently of package sizes.</t>
        </is>
      </c>
      <c r="F37" s="4" t="inlineStr">
        <is>
          <t>FB-033</t>
        </is>
      </c>
      <c r="G37" s="4">
        <f>IF(H37="Complete","Complete",IF(I37="Blocked","Blocked",IF(I37="In progress","Ready",IF(F37="","Ready",IF(COUNTIFS($B$4:$B$73,F37,$H$4:$H$73,"Complete")=1,"Ready","Waiting")))))</f>
        <v/>
      </c>
      <c r="H37" s="4">
        <f>IF(I37="Not started","Not started",IF(I37="Blocked","Blocked",IF(I37="In progress","In progress",IF(J37&lt;&gt;"Passed","Awaiting code review",IF(OR(K37="",NOT(ISNUMBER(L37))),"Awaiting review evidence",IF(N37&lt;&gt;"Passed","Awaiting test",IF(OR(M37="",O37="",NOT(ISNUMBER(P37))),"Awaiting test evidence","Complete")))))))</f>
        <v/>
      </c>
      <c r="I37" s="10" t="inlineStr">
        <is>
          <t>Not started</t>
        </is>
      </c>
      <c r="J37" s="10" t="inlineStr">
        <is>
          <t>Not reviewed</t>
        </is>
      </c>
      <c r="K37" s="10" t="n"/>
      <c r="L37" s="30" t="n"/>
      <c r="M37" s="10" t="n"/>
      <c r="N37" s="10" t="inlineStr">
        <is>
          <t>Not tested</t>
        </is>
      </c>
      <c r="O37" s="10" t="n"/>
      <c r="P37" s="30" t="n"/>
      <c r="Q37" s="10" t="n"/>
      <c r="R37"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7" s="10" t="n"/>
    </row>
    <row r="38" ht="105" customHeight="1">
      <c r="A38" s="9" t="n">
        <v>35</v>
      </c>
      <c r="B38" s="9" t="inlineStr">
        <is>
          <t>FB-036</t>
        </is>
      </c>
      <c r="C38" s="9" t="inlineStr">
        <is>
          <t>Products</t>
        </is>
      </c>
      <c r="D38" s="9" t="inlineStr">
        <is>
          <t>Prevent duplicate catalogue products</t>
        </is>
      </c>
      <c r="E38" s="9" t="inlineStr">
        <is>
          <t>Compare name/brand/Subcategory, ignore case/outer spaces and include inactive products. No package contents, counting unit or size in catalogue duplicate identity.</t>
        </is>
      </c>
      <c r="F38" s="9" t="inlineStr">
        <is>
          <t>FB-035</t>
        </is>
      </c>
      <c r="G38" s="9">
        <f>IF(H38="Complete","Complete",IF(I38="Blocked","Blocked",IF(I38="In progress","Ready",IF(F38="","Ready",IF(COUNTIFS($B$4:$B$73,F38,$H$4:$H$73,"Complete")=1,"Ready","Waiting")))))</f>
        <v/>
      </c>
      <c r="H38" s="9">
        <f>IF(I38="Not started","Not started",IF(I38="Blocked","Blocked",IF(I38="In progress","In progress",IF(J38&lt;&gt;"Passed","Awaiting code review",IF(OR(K38="",NOT(ISNUMBER(L38))),"Awaiting review evidence",IF(N38&lt;&gt;"Passed","Awaiting test",IF(OR(M38="",O38="",NOT(ISNUMBER(P38))),"Awaiting test evidence","Complete")))))))</f>
        <v/>
      </c>
      <c r="I38" s="11" t="inlineStr">
        <is>
          <t>Not started</t>
        </is>
      </c>
      <c r="J38" s="11" t="inlineStr">
        <is>
          <t>Not reviewed</t>
        </is>
      </c>
      <c r="K38" s="11" t="n"/>
      <c r="L38" s="31" t="n"/>
      <c r="M38" s="11" t="n"/>
      <c r="N38" s="11" t="inlineStr">
        <is>
          <t>Not tested</t>
        </is>
      </c>
      <c r="O38" s="11" t="n"/>
      <c r="P38" s="31" t="n"/>
      <c r="Q38" s="11" t="n"/>
      <c r="R38"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8" s="11" t="n"/>
    </row>
    <row r="39" ht="105" customHeight="1">
      <c r="A39" s="4" t="n">
        <v>36</v>
      </c>
      <c r="B39" s="4" t="inlineStr">
        <is>
          <t>FB-037</t>
        </is>
      </c>
      <c r="C39" s="4" t="inlineStr">
        <is>
          <t>Products</t>
        </is>
      </c>
      <c r="D39" s="4" t="inlineStr">
        <is>
          <t>Save products and attach optional tags</t>
        </is>
      </c>
      <c r="E39" s="4" t="inlineStr">
        <is>
          <t>Managers/Super Admin create; Volunteers denied display/write. Save catalogue identity/classification/status only; no stock quantity/packaging. Optional shared tags; errors/retained input/processing and persisted fields.</t>
        </is>
      </c>
      <c r="F39" s="4" t="inlineStr">
        <is>
          <t>FB-036</t>
        </is>
      </c>
      <c r="G39" s="4">
        <f>IF(H39="Complete","Complete",IF(I39="Blocked","Blocked",IF(I39="In progress","Ready",IF(F39="","Ready",IF(COUNTIFS($B$4:$B$73,F39,$H$4:$H$73,"Complete")=1,"Ready","Waiting")))))</f>
        <v/>
      </c>
      <c r="H39" s="4">
        <f>IF(I39="Not started","Not started",IF(I39="Blocked","Blocked",IF(I39="In progress","In progress",IF(J39&lt;&gt;"Passed","Awaiting code review",IF(OR(K39="",NOT(ISNUMBER(L39))),"Awaiting review evidence",IF(N39&lt;&gt;"Passed","Awaiting test",IF(OR(M39="",O39="",NOT(ISNUMBER(P39))),"Awaiting test evidence","Complete")))))))</f>
        <v/>
      </c>
      <c r="I39" s="10" t="inlineStr">
        <is>
          <t>Not started</t>
        </is>
      </c>
      <c r="J39" s="10" t="inlineStr">
        <is>
          <t>Not reviewed</t>
        </is>
      </c>
      <c r="K39" s="10" t="n"/>
      <c r="L39" s="30" t="n"/>
      <c r="M39" s="10" t="n"/>
      <c r="N39" s="10" t="inlineStr">
        <is>
          <t>Not tested</t>
        </is>
      </c>
      <c r="O39" s="10" t="n"/>
      <c r="P39" s="30" t="n"/>
      <c r="Q39" s="10" t="n"/>
      <c r="R3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9" s="10" t="n"/>
    </row>
    <row r="40" ht="105" customHeight="1">
      <c r="A40" s="9" t="n">
        <v>37</v>
      </c>
      <c r="B40" s="9" t="inlineStr">
        <is>
          <t>FB-038</t>
        </is>
      </c>
      <c r="C40" s="9" t="inlineStr">
        <is>
          <t>Products</t>
        </is>
      </c>
      <c r="D40" s="9" t="inlineStr">
        <is>
          <t>Display the unfiltered catalogue product list</t>
        </is>
      </c>
      <c r="E40" s="9" t="inlineStr">
        <is>
          <t>All roles see product code/name/category path/brand/status. No size, measurement units, available quantity or totals. Verify server permissions.</t>
        </is>
      </c>
      <c r="F40" s="9" t="inlineStr">
        <is>
          <t>FB-037</t>
        </is>
      </c>
      <c r="G40" s="9">
        <f>IF(H40="Complete","Complete",IF(I40="Blocked","Blocked",IF(I40="In progress","Ready",IF(F40="","Ready",IF(COUNTIFS($B$4:$B$73,F40,$H$4:$H$73,"Complete")=1,"Ready","Waiting")))))</f>
        <v/>
      </c>
      <c r="H40" s="9">
        <f>IF(I40="Not started","Not started",IF(I40="Blocked","Blocked",IF(I40="In progress","In progress",IF(J40&lt;&gt;"Passed","Awaiting code review",IF(OR(K40="",NOT(ISNUMBER(L40))),"Awaiting review evidence",IF(N40&lt;&gt;"Passed","Awaiting test",IF(OR(M40="",O40="",NOT(ISNUMBER(P40))),"Awaiting test evidence","Complete")))))))</f>
        <v/>
      </c>
      <c r="I40" s="11" t="inlineStr">
        <is>
          <t>Not started</t>
        </is>
      </c>
      <c r="J40" s="11" t="inlineStr">
        <is>
          <t>Not reviewed</t>
        </is>
      </c>
      <c r="K40" s="11" t="n"/>
      <c r="L40" s="31" t="n"/>
      <c r="M40" s="11" t="n"/>
      <c r="N40" s="11" t="inlineStr">
        <is>
          <t>Not tested</t>
        </is>
      </c>
      <c r="O40" s="11" t="n"/>
      <c r="P40" s="31" t="n"/>
      <c r="Q40" s="11" t="n"/>
      <c r="R4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0" s="11" t="n"/>
    </row>
    <row r="41" ht="105" customHeight="1">
      <c r="A41" s="4" t="n">
        <v>38</v>
      </c>
      <c r="B41" s="4" t="inlineStr">
        <is>
          <t>FB-039</t>
        </is>
      </c>
      <c r="C41" s="4" t="inlineStr">
        <is>
          <t>Products</t>
        </is>
      </c>
      <c r="D41" s="4" t="inlineStr">
        <is>
          <t>Arrange catalogue rows and filter toolbar</t>
        </is>
      </c>
      <c r="E41" s="4" t="inlineStr">
        <is>
          <t>Teach responsive widths, wrapping/table overflow/stacked toolbar for product identity/classification. No stock/size columns.</t>
        </is>
      </c>
      <c r="F41" s="4" t="inlineStr">
        <is>
          <t>FB-038</t>
        </is>
      </c>
      <c r="G41" s="4">
        <f>IF(H41="Complete","Complete",IF(I41="Blocked","Blocked",IF(I41="In progress","Ready",IF(F41="","Ready",IF(COUNTIFS($B$4:$B$73,F41,$H$4:$H$73,"Complete")=1,"Ready","Waiting")))))</f>
        <v/>
      </c>
      <c r="H41" s="4">
        <f>IF(I41="Not started","Not started",IF(I41="Blocked","Blocked",IF(I41="In progress","In progress",IF(J41&lt;&gt;"Passed","Awaiting code review",IF(OR(K41="",NOT(ISNUMBER(L41))),"Awaiting review evidence",IF(N41&lt;&gt;"Passed","Awaiting test",IF(OR(M41="",O41="",NOT(ISNUMBER(P41))),"Awaiting test evidence","Complete")))))))</f>
        <v/>
      </c>
      <c r="I41" s="10" t="inlineStr">
        <is>
          <t>Not started</t>
        </is>
      </c>
      <c r="J41" s="10" t="inlineStr">
        <is>
          <t>Not reviewed</t>
        </is>
      </c>
      <c r="K41" s="10" t="n"/>
      <c r="L41" s="30" t="n"/>
      <c r="M41" s="10" t="n"/>
      <c r="N41" s="10" t="inlineStr">
        <is>
          <t>Not tested</t>
        </is>
      </c>
      <c r="O41" s="10" t="n"/>
      <c r="P41" s="30" t="n"/>
      <c r="Q41" s="10" t="n"/>
      <c r="R4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1" s="10" t="n"/>
    </row>
    <row r="42" ht="105" customHeight="1">
      <c r="A42" s="9" t="n">
        <v>39</v>
      </c>
      <c r="B42" s="9" t="inlineStr">
        <is>
          <t>FB-040</t>
        </is>
      </c>
      <c r="C42" s="9" t="inlineStr">
        <is>
          <t>Products</t>
        </is>
      </c>
      <c r="D42" s="9" t="inlineStr">
        <is>
          <t>Add search by product code or name</t>
        </is>
      </c>
      <c r="E42" s="9" t="inlineStr">
        <is>
          <t>Search the full catalogue before pagination. Verify both code and name, clear search and no results.</t>
        </is>
      </c>
      <c r="F42" s="9" t="inlineStr">
        <is>
          <t>FB-039</t>
        </is>
      </c>
      <c r="G42" s="9">
        <f>IF(H42="Complete","Complete",IF(I42="Blocked","Blocked",IF(I42="In progress","Ready",IF(F42="","Ready",IF(COUNTIFS($B$4:$B$73,F42,$H$4:$H$73,"Complete")=1,"Ready","Waiting")))))</f>
        <v/>
      </c>
      <c r="H42" s="9">
        <f>IF(I42="Not started","Not started",IF(I42="Blocked","Blocked",IF(I42="In progress","In progress",IF(J42&lt;&gt;"Passed","Awaiting code review",IF(OR(K42="",NOT(ISNUMBER(L42))),"Awaiting review evidence",IF(N42&lt;&gt;"Passed","Awaiting test",IF(OR(M42="",O42="",NOT(ISNUMBER(P42))),"Awaiting test evidence","Complete")))))))</f>
        <v/>
      </c>
      <c r="I42" s="11" t="inlineStr">
        <is>
          <t>Not started</t>
        </is>
      </c>
      <c r="J42" s="11" t="inlineStr">
        <is>
          <t>Not reviewed</t>
        </is>
      </c>
      <c r="K42" s="11" t="n"/>
      <c r="L42" s="31" t="n"/>
      <c r="M42" s="11" t="n"/>
      <c r="N42" s="11" t="inlineStr">
        <is>
          <t>Not tested</t>
        </is>
      </c>
      <c r="O42" s="11" t="n"/>
      <c r="P42" s="31" t="n"/>
      <c r="Q42" s="11" t="n"/>
      <c r="R42" s="11" t="inlineStr">
        <is>
          <t>Before starting this item or feature: reread AGENTS.md from disk; apply its teaching and testing rules.
Next: Start this item after the previous item is complete.</t>
        </is>
      </c>
      <c r="S42" s="11" t="n"/>
    </row>
    <row r="43" ht="105" customHeight="1">
      <c r="A43" s="4" t="n">
        <v>40</v>
      </c>
      <c r="B43" s="4" t="inlineStr">
        <is>
          <t>FB-041</t>
        </is>
      </c>
      <c r="C43" s="4" t="inlineStr">
        <is>
          <t>Products</t>
        </is>
      </c>
      <c r="D43" s="4" t="inlineStr">
        <is>
          <t>Add the department filter</t>
        </is>
      </c>
      <c r="E43" s="4" t="inlineStr">
        <is>
          <t>Filter by department alone and with search. Explain selected state and request values; do not introduce remaining filters yet.</t>
        </is>
      </c>
      <c r="F43" s="4" t="inlineStr">
        <is>
          <t>FB-040</t>
        </is>
      </c>
      <c r="G43" s="4">
        <f>IF(H43="Complete","Complete",IF(I43="Blocked","Blocked",IF(I43="In progress","Ready",IF(F43="","Ready",IF(COUNTIFS($B$4:$B$73,F43,$H$4:$H$73,"Complete")=1,"Ready","Waiting")))))</f>
        <v/>
      </c>
      <c r="H43" s="4">
        <f>IF(I43="Not started","Not started",IF(I43="Blocked","Blocked",IF(I43="In progress","In progress",IF(J43&lt;&gt;"Passed","Awaiting code review",IF(OR(K43="",NOT(ISNUMBER(L43))),"Awaiting review evidence",IF(N43&lt;&gt;"Passed","Awaiting test",IF(OR(M43="",O43="",NOT(ISNUMBER(P43))),"Awaiting test evidence","Complete")))))))</f>
        <v/>
      </c>
      <c r="I43" s="10" t="inlineStr">
        <is>
          <t>Not started</t>
        </is>
      </c>
      <c r="J43" s="10" t="inlineStr">
        <is>
          <t>Not reviewed</t>
        </is>
      </c>
      <c r="K43" s="10" t="n"/>
      <c r="L43" s="30" t="n"/>
      <c r="M43" s="10" t="n"/>
      <c r="N43" s="10" t="inlineStr">
        <is>
          <t>Not tested</t>
        </is>
      </c>
      <c r="O43" s="10" t="n"/>
      <c r="P43" s="30" t="n"/>
      <c r="Q43" s="10" t="n"/>
      <c r="R43" s="10" t="inlineStr">
        <is>
          <t>Before starting this item or feature: reread AGENTS.md from disk; apply its teaching and testing rules.
Next: Start this item after the previous item is complete.</t>
        </is>
      </c>
      <c r="S43" s="10" t="n"/>
    </row>
    <row r="44" ht="105" customHeight="1">
      <c r="A44" s="9" t="n">
        <v>41</v>
      </c>
      <c r="B44" s="9" t="inlineStr">
        <is>
          <t>FB-042</t>
        </is>
      </c>
      <c r="C44" s="9" t="inlineStr">
        <is>
          <t>Products</t>
        </is>
      </c>
      <c r="D44" s="9" t="inlineStr">
        <is>
          <t>Add the category filter</t>
        </is>
      </c>
      <c r="E44" s="9" t="inlineStr">
        <is>
          <t>Filter by category and combine with department/search; changing parent must not leave incompatible selections.</t>
        </is>
      </c>
      <c r="F44" s="9" t="inlineStr">
        <is>
          <t>FB-041</t>
        </is>
      </c>
      <c r="G44" s="9">
        <f>IF(H44="Complete","Complete",IF(I44="Blocked","Blocked",IF(I44="In progress","Ready",IF(F44="","Ready",IF(COUNTIFS($B$4:$B$73,F44,$H$4:$H$73,"Complete")=1,"Ready","Waiting")))))</f>
        <v/>
      </c>
      <c r="H44" s="9">
        <f>IF(I44="Not started","Not started",IF(I44="Blocked","Blocked",IF(I44="In progress","In progress",IF(J44&lt;&gt;"Passed","Awaiting code review",IF(OR(K44="",NOT(ISNUMBER(L44))),"Awaiting review evidence",IF(N44&lt;&gt;"Passed","Awaiting test",IF(OR(M44="",O44="",NOT(ISNUMBER(P44))),"Awaiting test evidence","Complete")))))))</f>
        <v/>
      </c>
      <c r="I44" s="11" t="inlineStr">
        <is>
          <t>Not started</t>
        </is>
      </c>
      <c r="J44" s="11" t="inlineStr">
        <is>
          <t>Not reviewed</t>
        </is>
      </c>
      <c r="K44" s="11" t="n"/>
      <c r="L44" s="31" t="n"/>
      <c r="M44" s="11" t="n"/>
      <c r="N44" s="11" t="inlineStr">
        <is>
          <t>Not tested</t>
        </is>
      </c>
      <c r="O44" s="11" t="n"/>
      <c r="P44" s="31" t="n"/>
      <c r="Q44" s="11" t="n"/>
      <c r="R44" s="11" t="inlineStr">
        <is>
          <t>Before starting this item or feature: reread AGENTS.md from disk; apply its teaching and testing rules.
Next: Start this item after the previous item is complete.</t>
        </is>
      </c>
      <c r="S44" s="11" t="n"/>
    </row>
    <row r="45" ht="105" customHeight="1">
      <c r="A45" s="4" t="n">
        <v>42</v>
      </c>
      <c r="B45" s="4" t="inlineStr">
        <is>
          <t>FB-043</t>
        </is>
      </c>
      <c r="C45" s="4" t="inlineStr">
        <is>
          <t>Products</t>
        </is>
      </c>
      <c r="D45" s="4" t="inlineStr">
        <is>
          <t>Add the subcategory filter</t>
        </is>
      </c>
      <c r="E45" s="4" t="inlineStr">
        <is>
          <t>Filter by subcategory alongside existing selections; verify full path and no skipped/contradictory parent selection.</t>
        </is>
      </c>
      <c r="F45" s="4" t="inlineStr">
        <is>
          <t>FB-042</t>
        </is>
      </c>
      <c r="G45" s="4">
        <f>IF(H45="Complete","Complete",IF(I45="Blocked","Blocked",IF(I45="In progress","Ready",IF(F45="","Ready",IF(COUNTIFS($B$4:$B$73,F45,$H$4:$H$73,"Complete")=1,"Ready","Waiting")))))</f>
        <v/>
      </c>
      <c r="H45" s="4">
        <f>IF(I45="Not started","Not started",IF(I45="Blocked","Blocked",IF(I45="In progress","In progress",IF(J45&lt;&gt;"Passed","Awaiting code review",IF(OR(K45="",NOT(ISNUMBER(L45))),"Awaiting review evidence",IF(N45&lt;&gt;"Passed","Awaiting test",IF(OR(M45="",O45="",NOT(ISNUMBER(P45))),"Awaiting test evidence","Complete")))))))</f>
        <v/>
      </c>
      <c r="I45" s="10" t="inlineStr">
        <is>
          <t>Not started</t>
        </is>
      </c>
      <c r="J45" s="10" t="inlineStr">
        <is>
          <t>Not reviewed</t>
        </is>
      </c>
      <c r="K45" s="10" t="n"/>
      <c r="L45" s="30" t="n"/>
      <c r="M45" s="10" t="n"/>
      <c r="N45" s="10" t="inlineStr">
        <is>
          <t>Not tested</t>
        </is>
      </c>
      <c r="O45" s="10" t="n"/>
      <c r="P45" s="30" t="n"/>
      <c r="Q45" s="10" t="n"/>
      <c r="R45" s="10" t="inlineStr">
        <is>
          <t>Before starting this item or feature: reread AGENTS.md from disk; apply its teaching and testing rules.
Next: Start this item after the previous item is complete.</t>
        </is>
      </c>
      <c r="S45" s="10" t="n"/>
    </row>
    <row r="46" ht="105" customHeight="1">
      <c r="A46" s="9" t="n">
        <v>43</v>
      </c>
      <c r="B46" s="9" t="inlineStr">
        <is>
          <t>FB-044</t>
        </is>
      </c>
      <c r="C46" s="9" t="inlineStr">
        <is>
          <t>Products</t>
        </is>
      </c>
      <c r="D46" s="9" t="inlineStr">
        <is>
          <t>Add the tag filter</t>
        </is>
      </c>
      <c r="E46" s="9" t="inlineStr">
        <is>
          <t>Show products with the selected shared tag; combine with prior filters and search. Untagged products remain visible when tag filter is cleared.</t>
        </is>
      </c>
      <c r="F46" s="9" t="inlineStr">
        <is>
          <t>FB-043</t>
        </is>
      </c>
      <c r="G46" s="9">
        <f>IF(H46="Complete","Complete",IF(I46="Blocked","Blocked",IF(I46="In progress","Ready",IF(F46="","Ready",IF(COUNTIFS($B$4:$B$73,F46,$H$4:$H$73,"Complete")=1,"Ready","Waiting")))))</f>
        <v/>
      </c>
      <c r="H46" s="9">
        <f>IF(I46="Not started","Not started",IF(I46="Blocked","Blocked",IF(I46="In progress","In progress",IF(J46&lt;&gt;"Passed","Awaiting code review",IF(OR(K46="",NOT(ISNUMBER(L46))),"Awaiting review evidence",IF(N46&lt;&gt;"Passed","Awaiting test",IF(OR(M46="",O46="",NOT(ISNUMBER(P46))),"Awaiting test evidence","Complete")))))))</f>
        <v/>
      </c>
      <c r="I46" s="11" t="inlineStr">
        <is>
          <t>Not started</t>
        </is>
      </c>
      <c r="J46" s="11" t="inlineStr">
        <is>
          <t>Not reviewed</t>
        </is>
      </c>
      <c r="K46" s="11" t="n"/>
      <c r="L46" s="31" t="n"/>
      <c r="M46" s="11" t="n"/>
      <c r="N46" s="11" t="inlineStr">
        <is>
          <t>Not tested</t>
        </is>
      </c>
      <c r="O46" s="11" t="n"/>
      <c r="P46" s="31" t="n"/>
      <c r="Q46" s="11" t="n"/>
      <c r="R46" s="11" t="inlineStr">
        <is>
          <t>Before starting this item or feature: reread AGENTS.md from disk; apply its teaching and testing rules.
Next: Start this item after the previous item is complete.</t>
        </is>
      </c>
      <c r="S46" s="11" t="n"/>
    </row>
    <row r="47" ht="105" customHeight="1">
      <c r="A47" s="4" t="n">
        <v>44</v>
      </c>
      <c r="B47" s="4" t="inlineStr">
        <is>
          <t>FB-045</t>
        </is>
      </c>
      <c r="C47" s="4" t="inlineStr">
        <is>
          <t>Products</t>
        </is>
      </c>
      <c r="D47" s="4" t="inlineStr">
        <is>
          <t>Add the product status filter</t>
        </is>
      </c>
      <c r="E47" s="4" t="inlineStr">
        <is>
          <t>All/Active/Inactive works with existing filters. General product list may show inactive/zero-stock products; distribution picker later has stricter rules.</t>
        </is>
      </c>
      <c r="F47" s="4" t="inlineStr">
        <is>
          <t>FB-044</t>
        </is>
      </c>
      <c r="G47" s="4">
        <f>IF(H47="Complete","Complete",IF(I47="Blocked","Blocked",IF(I47="In progress","Ready",IF(F47="","Ready",IF(COUNTIFS($B$4:$B$73,F47,$H$4:$H$73,"Complete")=1,"Ready","Waiting")))))</f>
        <v/>
      </c>
      <c r="H47" s="4">
        <f>IF(I47="Not started","Not started",IF(I47="Blocked","Blocked",IF(I47="In progress","In progress",IF(J47&lt;&gt;"Passed","Awaiting code review",IF(OR(K47="",NOT(ISNUMBER(L47))),"Awaiting review evidence",IF(N47&lt;&gt;"Passed","Awaiting test",IF(OR(M47="",O47="",NOT(ISNUMBER(P47))),"Awaiting test evidence","Complete")))))))</f>
        <v/>
      </c>
      <c r="I47" s="10" t="inlineStr">
        <is>
          <t>Not started</t>
        </is>
      </c>
      <c r="J47" s="10" t="inlineStr">
        <is>
          <t>Not reviewed</t>
        </is>
      </c>
      <c r="K47" s="10" t="n"/>
      <c r="L47" s="30" t="n"/>
      <c r="M47" s="10" t="n"/>
      <c r="N47" s="10" t="inlineStr">
        <is>
          <t>Not tested</t>
        </is>
      </c>
      <c r="O47" s="10" t="n"/>
      <c r="P47" s="30" t="n"/>
      <c r="Q47" s="10" t="n"/>
      <c r="R47" s="10" t="inlineStr">
        <is>
          <t>Before starting this item or feature: reread AGENTS.md from disk; apply its teaching and testing rules.
Next: Start this item after the previous item is complete.</t>
        </is>
      </c>
      <c r="S47" s="10" t="n"/>
    </row>
    <row r="48" ht="105" customHeight="1">
      <c r="A48" s="9" t="n">
        <v>45</v>
      </c>
      <c r="B48" s="9" t="inlineStr">
        <is>
          <t>FB-046</t>
        </is>
      </c>
      <c r="C48" s="9" t="inlineStr">
        <is>
          <t>Products</t>
        </is>
      </c>
      <c r="D48" s="9" t="inlineStr">
        <is>
          <t>Paginate and verify the full product list</t>
        </is>
      </c>
      <c r="E48" s="9" t="inlineStr">
        <is>
          <t>10 products per page after all search/filters. Preserve selections across pages; all roles may list/search/filter. Verify combinations and boundary/empty pages.</t>
        </is>
      </c>
      <c r="F48" s="9" t="inlineStr">
        <is>
          <t>FB-045</t>
        </is>
      </c>
      <c r="G48" s="9">
        <f>IF(H48="Complete","Complete",IF(I48="Blocked","Blocked",IF(I48="In progress","Ready",IF(F48="","Ready",IF(COUNTIFS($B$4:$B$73,F48,$H$4:$H$73,"Complete")=1,"Ready","Waiting")))))</f>
        <v/>
      </c>
      <c r="H48" s="9">
        <f>IF(I48="Not started","Not started",IF(I48="Blocked","Blocked",IF(I48="In progress","In progress",IF(J48&lt;&gt;"Passed","Awaiting code review",IF(OR(K48="",NOT(ISNUMBER(L48))),"Awaiting review evidence",IF(N48&lt;&gt;"Passed","Awaiting test",IF(OR(M48="",O48="",NOT(ISNUMBER(P48))),"Awaiting test evidence","Complete")))))))</f>
        <v/>
      </c>
      <c r="I48" s="11" t="inlineStr">
        <is>
          <t>Not started</t>
        </is>
      </c>
      <c r="J48" s="11" t="inlineStr">
        <is>
          <t>Not reviewed</t>
        </is>
      </c>
      <c r="K48" s="11" t="n"/>
      <c r="L48" s="31" t="n"/>
      <c r="M48" s="11" t="n"/>
      <c r="N48" s="11" t="inlineStr">
        <is>
          <t>Not tested</t>
        </is>
      </c>
      <c r="O48" s="11" t="n"/>
      <c r="P48" s="31" t="n"/>
      <c r="Q48" s="11" t="n"/>
      <c r="R48" s="11" t="inlineStr">
        <is>
          <t>Before starting this item or feature: reread AGENTS.md from disk; apply its teaching and testing rules.
Next: Start this item after the previous item is complete.</t>
        </is>
      </c>
      <c r="S48" s="11" t="n"/>
    </row>
    <row r="49" ht="105" customHeight="1">
      <c r="A49" s="4" t="n">
        <v>46</v>
      </c>
      <c r="B49" s="4" t="inlineStr">
        <is>
          <t>FB-047</t>
        </is>
      </c>
      <c r="C49" s="4" t="inlineStr">
        <is>
          <t>Products</t>
        </is>
      </c>
      <c r="D49" s="4" t="inlineStr">
        <is>
          <t>Edit catalogue product details</t>
        </is>
      </c>
      <c r="E49" s="4" t="inlineStr">
        <is>
          <t>Managers/Super Admin edit catalogue fields with duplicate checks and permanent code. No packaging/stock fields. Stock-related classification constraints must be decided at stock design checkpoint.</t>
        </is>
      </c>
      <c r="F49" s="4" t="inlineStr">
        <is>
          <t>FB-046</t>
        </is>
      </c>
      <c r="G49" s="4">
        <f>IF(H49="Complete","Complete",IF(I49="Blocked","Blocked",IF(I49="In progress","Ready",IF(F49="","Ready",IF(COUNTIFS($B$4:$B$73,F49,$H$4:$H$73,"Complete")=1,"Ready","Waiting")))))</f>
        <v/>
      </c>
      <c r="H49" s="4">
        <f>IF(I49="Not started","Not started",IF(I49="Blocked","Blocked",IF(I49="In progress","In progress",IF(J49&lt;&gt;"Passed","Awaiting code review",IF(OR(K49="",NOT(ISNUMBER(L49))),"Awaiting review evidence",IF(N49&lt;&gt;"Passed","Awaiting test",IF(OR(M49="",O49="",NOT(ISNUMBER(P49))),"Awaiting test evidence","Complete")))))))</f>
        <v/>
      </c>
      <c r="I49" s="10" t="inlineStr">
        <is>
          <t>Not started</t>
        </is>
      </c>
      <c r="J49" s="10" t="inlineStr">
        <is>
          <t>Not reviewed</t>
        </is>
      </c>
      <c r="K49" s="10" t="n"/>
      <c r="L49" s="30" t="n"/>
      <c r="M49" s="10" t="n"/>
      <c r="N49" s="10" t="inlineStr">
        <is>
          <t>Not tested</t>
        </is>
      </c>
      <c r="O49" s="10" t="n"/>
      <c r="P49" s="30" t="n"/>
      <c r="Q49" s="10" t="n"/>
      <c r="R4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9" s="10" t="n"/>
    </row>
    <row r="50" ht="105" customHeight="1">
      <c r="A50" s="9" t="n">
        <v>47</v>
      </c>
      <c r="B50" s="9" t="inlineStr">
        <is>
          <t>FB-048</t>
        </is>
      </c>
      <c r="C50" s="9" t="inlineStr">
        <is>
          <t>Products</t>
        </is>
      </c>
      <c r="D50" s="9" t="inlineStr">
        <is>
          <t>Activate/deactivate products and manage tag removal</t>
        </is>
      </c>
      <c r="E50" s="9" t="inlineStr">
        <is>
          <t>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t>
        </is>
      </c>
      <c r="F50" s="9" t="inlineStr">
        <is>
          <t>FB-047</t>
        </is>
      </c>
      <c r="G50" s="9">
        <f>IF(H50="Complete","Complete",IF(I50="Blocked","Blocked",IF(I50="In progress","Ready",IF(F50="","Ready",IF(COUNTIFS($B$4:$B$73,F50,$H$4:$H$73,"Complete")=1,"Ready","Waiting")))))</f>
        <v/>
      </c>
      <c r="H50" s="9">
        <f>IF(I50="Not started","Not started",IF(I50="Blocked","Blocked",IF(I50="In progress","In progress",IF(J50&lt;&gt;"Passed","Awaiting code review",IF(OR(K50="",NOT(ISNUMBER(L50))),"Awaiting review evidence",IF(N50&lt;&gt;"Passed","Awaiting test",IF(OR(M50="",O50="",NOT(ISNUMBER(P50))),"Awaiting test evidence","Complete")))))))</f>
        <v/>
      </c>
      <c r="I50" s="11" t="inlineStr">
        <is>
          <t>Not started</t>
        </is>
      </c>
      <c r="J50" s="11" t="inlineStr">
        <is>
          <t>Not reviewed</t>
        </is>
      </c>
      <c r="K50" s="11" t="n"/>
      <c r="L50" s="31" t="n"/>
      <c r="M50" s="11" t="n"/>
      <c r="N50" s="11" t="inlineStr">
        <is>
          <t>Not tested</t>
        </is>
      </c>
      <c r="O50" s="11" t="n"/>
      <c r="P50" s="31" t="n"/>
      <c r="Q50" s="11" t="n"/>
      <c r="R5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0" s="11" t="n"/>
    </row>
    <row r="51" ht="105" customHeight="1">
      <c r="A51" s="4" t="n">
        <v>48</v>
      </c>
      <c r="B51" s="4" t="inlineStr">
        <is>
          <t>FB-067</t>
        </is>
      </c>
      <c r="C51" s="4" t="inlineStr">
        <is>
          <t>Verification</t>
        </is>
      </c>
      <c r="D51" s="4" t="inlineStr">
        <is>
          <t>Verify completed Product Catalogue before Stock Management</t>
        </is>
      </c>
      <c r="E51" s="4" t="inlineStr">
        <is>
          <t>Review/test hierarchy/tags/product identity, codes, duplicate/required fields, filters/pagination, responsive views and permissions. Explicitly verify no sizes/units/quantities/history/totals appear in catalogue. Stock integration/deactivation checks at FB-053; packaging setup now FB-034 before Receive.</t>
        </is>
      </c>
      <c r="F51" s="4" t="inlineStr">
        <is>
          <t>FB-048</t>
        </is>
      </c>
      <c r="G51" s="4">
        <f>IF(H51="Complete","Complete",IF(I51="Blocked","Blocked",IF(I51="In progress","Ready",IF(F51="","Ready",IF(COUNTIFS($B$4:$B$73,F51,$H$4:$H$73,"Complete")=1,"Ready","Waiting")))))</f>
        <v/>
      </c>
      <c r="H51" s="4">
        <f>IF(I51="Not started","Not started",IF(I51="Blocked","Blocked",IF(I51="In progress","In progress",IF(J51&lt;&gt;"Passed","Awaiting code review",IF(OR(K51="",NOT(ISNUMBER(L51))),"Awaiting review evidence",IF(N51&lt;&gt;"Passed","Awaiting test",IF(OR(M51="",O51="",NOT(ISNUMBER(P51))),"Awaiting test evidence","Complete")))))))</f>
        <v/>
      </c>
      <c r="I51" s="10" t="inlineStr">
        <is>
          <t>Not started</t>
        </is>
      </c>
      <c r="J51" s="10" t="inlineStr">
        <is>
          <t>Not reviewed</t>
        </is>
      </c>
      <c r="K51" s="10" t="n"/>
      <c r="L51" s="30" t="n"/>
      <c r="M51" s="10" t="n"/>
      <c r="N51" s="10" t="inlineStr">
        <is>
          <t>Not tested</t>
        </is>
      </c>
      <c r="O51" s="10" t="n"/>
      <c r="P51" s="30" t="n"/>
      <c r="Q51" s="10" t="n"/>
      <c r="R5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1" s="10" t="n"/>
    </row>
    <row r="52" ht="105" customHeight="1">
      <c r="A52" s="9" t="n">
        <v>49</v>
      </c>
      <c r="B52" s="9" t="inlineStr">
        <is>
          <t>FB-034</t>
        </is>
      </c>
      <c r="C52" s="9" t="inlineStr">
        <is>
          <t>Stock Management</t>
        </is>
      </c>
      <c r="D52" s="9" t="inlineStr">
        <is>
          <t>Build reusable package sizes and product stock items</t>
        </is>
      </c>
      <c r="E52" s="9"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t>
        </is>
      </c>
      <c r="F52" s="9" t="inlineStr">
        <is>
          <t>FB-067</t>
        </is>
      </c>
      <c r="G52" s="9">
        <f>IF(H52="Complete","Complete",IF(I52="Blocked","Blocked",IF(I52="In progress","Ready",IF(F52="","Ready",IF(COUNTIFS($B$4:$B$73,F52,$H$4:$H$73,"Complete")=1,"Ready","Waiting")))))</f>
        <v/>
      </c>
      <c r="H52" s="9">
        <f>IF(I52="Not started","Not started",IF(I52="Blocked","Blocked",IF(I52="In progress","In progress",IF(J52&lt;&gt;"Passed","Awaiting code review",IF(OR(K52="",NOT(ISNUMBER(L52))),"Awaiting review evidence",IF(N52&lt;&gt;"Passed","Awaiting test",IF(OR(M52="",O52="",NOT(ISNUMBER(P52))),"Awaiting test evidence","Complete")))))))</f>
        <v/>
      </c>
      <c r="I52" s="11" t="inlineStr">
        <is>
          <t>Not started</t>
        </is>
      </c>
      <c r="J52" s="11" t="inlineStr">
        <is>
          <t>Not reviewed</t>
        </is>
      </c>
      <c r="K52" s="11" t="n"/>
      <c r="L52" s="31" t="n"/>
      <c r="M52" s="11" t="n"/>
      <c r="N52" s="11" t="inlineStr">
        <is>
          <t>Not tested</t>
        </is>
      </c>
      <c r="O52" s="11" t="n"/>
      <c r="P52" s="31" t="n"/>
      <c r="Q52" s="11" t="inlineStr">
        <is>
          <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R52" s="11" t="inlineStr">
        <is>
          <t>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t>
        </is>
      </c>
      <c r="S52" s="11" t="n"/>
    </row>
    <row r="53" ht="105" customHeight="1">
      <c r="A53" s="9" t="n">
        <v>50</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3" s="9" t="inlineStr">
        <is>
          <t>FB-034</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3" s="11" t="n"/>
    </row>
    <row r="54" ht="105" customHeight="1">
      <c r="A54" s="4" t="n">
        <v>51</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4" s="10" t="n"/>
    </row>
    <row r="55" ht="105" customHeight="1">
      <c r="A55" s="9" t="n">
        <v>52</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5" s="11" t="n"/>
    </row>
    <row r="56" ht="105" customHeight="1">
      <c r="A56" s="4" t="n">
        <v>53</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6" s="10" t="n"/>
    </row>
    <row r="57" ht="105" customHeight="1">
      <c r="A57" s="9" t="n">
        <v>54</v>
      </c>
      <c r="B57" s="9" t="inlineStr">
        <is>
          <t>FB-053</t>
        </is>
      </c>
      <c r="C57" s="9" t="inlineStr">
        <is>
          <t>Receive</t>
        </is>
      </c>
      <c r="D57" s="9" t="inlineStr">
        <is>
          <t>Verify stock measurement locks and catalogue deactivation guard</t>
        </is>
      </c>
      <c r="E57" s="9" t="inlineStr">
        <is>
          <t>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7" s="11" t="n"/>
    </row>
    <row r="58" ht="105" customHeight="1">
      <c r="A58" s="4" t="n">
        <v>55</v>
      </c>
      <c r="B58" s="4" t="inlineStr">
        <is>
          <t>FB-054</t>
        </is>
      </c>
      <c r="C58" s="4" t="inlineStr">
        <is>
          <t>History</t>
        </is>
      </c>
      <c r="D58" s="4" t="inlineStr">
        <is>
          <t>Show stock movement history within Stock Management</t>
        </is>
      </c>
      <c r="E58" s="4" t="inlineStr">
        <is>
          <t>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8" s="10" t="n"/>
    </row>
    <row r="59" ht="105" customHeight="1">
      <c r="A59" s="9" t="n">
        <v>56</v>
      </c>
      <c r="B59" s="9" t="inlineStr">
        <is>
          <t>FB-065</t>
        </is>
      </c>
      <c r="C59" s="9" t="inlineStr">
        <is>
          <t>Totals</t>
        </is>
      </c>
      <c r="D59" s="9" t="inlineStr">
        <is>
          <t>Calculate stock summaries within Stock Management</t>
        </is>
      </c>
      <c r="E59" s="9" t="inlineStr">
        <is>
          <t>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9" s="11" t="n"/>
    </row>
    <row r="60" ht="105" customHeight="1">
      <c r="A60" s="4" t="n">
        <v>57</v>
      </c>
      <c r="B60" s="4" t="inlineStr">
        <is>
          <t>FB-066</t>
        </is>
      </c>
      <c r="C60" s="4" t="inlineStr">
        <is>
          <t>Totals</t>
        </is>
      </c>
      <c r="D60" s="4" t="inlineStr">
        <is>
          <t>Display combined totals within Stock Management</t>
        </is>
      </c>
      <c r="E60" s="4" t="inlineStr">
        <is>
          <t>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0" s="10" t="n"/>
    </row>
    <row r="61" ht="105" customHeight="1">
      <c r="A61" s="9" t="n">
        <v>58</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1" s="11" t="n"/>
    </row>
    <row r="62" ht="105" customHeight="1">
      <c r="A62" s="4" t="n">
        <v>59</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2" s="10" t="n"/>
    </row>
    <row r="63" ht="105" customHeight="1">
      <c r="A63" s="9" t="n">
        <v>60</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61</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62</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5" s="11" t="n"/>
    </row>
    <row r="66" ht="105" customHeight="1">
      <c r="A66" s="4" t="n">
        <v>63</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6" s="10" t="n"/>
    </row>
    <row r="67" ht="105" customHeight="1">
      <c r="A67" s="9" t="n">
        <v>64</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7" s="11" t="n"/>
    </row>
    <row r="68" ht="105" customHeight="1">
      <c r="A68" s="4" t="n">
        <v>65</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8" s="10" t="n"/>
    </row>
    <row r="69" ht="105" customHeight="1">
      <c r="A69" s="9" t="n">
        <v>66</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9" s="11" t="n"/>
    </row>
    <row r="70" ht="105" customHeight="1">
      <c r="A70" s="4" t="n">
        <v>67</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0" s="10" t="n"/>
    </row>
    <row r="71" ht="105" customHeight="1">
      <c r="A71" s="9" t="n">
        <v>68</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90"/>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Stories!B7</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Stories!B13</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Stories!B9</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Stories!B9</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Stories!B9</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Stories!B9</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Stories!B9</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Stories!B9</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Stories!B24</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Stories!B24</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Stories!B24</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catalogue product record, including brand variants, receives its own code. Under the approved module separation, package sizes are reusable Stock Management definitions linked through stock_items; different package sizes of the same catalogue product share that product code. Neither a stock_items ID nor a package_sizes ID replaces the permanent catalogue product code.</t>
        </is>
      </c>
      <c r="E100" s="4" t="inlineStr">
        <is>
          <t>FB-035</t>
        </is>
      </c>
      <c r="F100" s="4" t="inlineStr">
        <is>
          <t>Stories!B37</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subcategories between parents, and deleting departments, categories, or subcategories. Category moves between departments are approved current scope as of 2026-10-29; see the Category edit requirement.</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2026-10-29 approved module separation: Product Catalogue form fields: required product name, full Department/Category/Subcategory selection and status (default Active); optional brand and tags. Product code generated automatically. No package size, counting/contents/summary unit, stock quantity, balance or calculated stock total in catalogue storage/forms/screens. Packaging and stock records belong to Stock Management.</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t>
        </is>
      </c>
      <c r="E112" s="4" t="inlineStr">
        <is>
          <t>FB-036</t>
        </is>
      </c>
      <c r="F112" s="4" t="inlineStr">
        <is>
          <t>Stories!B38</t>
        </is>
      </c>
    </row>
    <row r="113" ht="61" customHeight="1">
      <c r="A113" s="28" t="inlineStr">
        <is>
          <t>REQ-110</t>
        </is>
      </c>
      <c r="B113" s="28" t="inlineStr">
        <is>
          <t>Inventory management — first version, planning complete</t>
        </is>
      </c>
      <c r="C113" s="28" t="inlineStr">
        <is>
          <t>Current scope</t>
        </is>
      </c>
      <c r="D113" s="28" t="inlineStr">
        <is>
          <t>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2026-10-29 approved module separation: Within Stock Management, package contents measured in individual items are positive whole numbers; weight/volume contents allow up to three decimal places. Movements remain whole packages/items. These fields do not belong to Product Catalogue.</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2026-10-29 approved module separation: Stock Management counting-unit choices: bag, box, can, bottle, carton, jar, packet and individual item. No counting-unit field in catalogue.</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2026-10-29 approved module separation: In Stock Management, multiply each stock package count by its contents and sum compatible measurements; for example rice bags contribute kilograms and cartons contribute eggs. These totals are absent from catalogue screens.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2026-10-29 approved module separation: Stock summaries do not replace individual stock package balances. All balances/totals are owned and displayed by Stock Management only.</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stock_item may appear once per Receive or Distribute entry. Update its existing quantity instead of duplicate rows. The same catalogue product can appear on separate rows with different package_sizes. Quantities/packages belong exclusively to Stock Management.</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stock_item (a product/package-size combination), Add or Remove, positive whole-number quantity and mandatory reason. Prevent negative balance. All packaging/quantities stay in Stock Management.</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2026-10-29 approved module separation: Within Stock Management, Managers/Super Admin can view movement history with movement type, quantity added/removed, save time, resulting balance, recorder and receipt/household/reason details. No stock history on catalogue product details.</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2026-10-29 approved module separation: Creating a catalogue product creates no stock quantity. Stock Management starts its stock records at zero and records opening stock through Receive so each quantity has an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t>
        </is>
      </c>
      <c r="E140" s="4" t="inlineStr">
        <is>
          <t>FB-048, FB-053</t>
        </is>
      </c>
      <c r="F140" s="4" t="inlineStr">
        <is>
          <t>Stories!B50</t>
        </is>
      </c>
    </row>
    <row r="141" ht="52" customHeight="1">
      <c r="A141" s="28" t="inlineStr">
        <is>
          <t>REQ-138</t>
        </is>
      </c>
      <c r="B141" s="28" t="inlineStr">
        <is>
          <t>Inventory management — first version, planning complete</t>
        </is>
      </c>
      <c r="C141" s="28" t="inlineStr">
        <is>
          <t>Current scope</t>
        </is>
      </c>
      <c r="D141" s="28" t="inlineStr">
        <is>
          <t>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2026-10-29 approved module separation: Consistent stock measurement and readable summary formatting belong exclusively to Stock Management. General unit conversion/loose-weight movements remain future scope.</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2026-10-29 approved module separation: Catalogue list shows product code, product name, category path, optional brand/tags and status; NO sizes, units, quantities, available stock or totals. Retain all-role search by code/name and filters for Department, Category, Subcategory, tag and status. Stock Management supplies its separate quantity/size views.</t>
        </is>
      </c>
      <c r="E145" s="28" t="inlineStr">
        <is>
          <t>FB-037–FB-046</t>
        </is>
      </c>
      <c r="F145" s="28" t="inlineStr">
        <is>
          <t>Stories!B39</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Stories!B39</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Stories!B51</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Stories!B51</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Stories!B50</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Stories!B51</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Stories!B51</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row r="185">
      <c r="A185" t="inlineStr">
        <is>
          <t>REQ-182</t>
        </is>
      </c>
      <c r="B185" t="inlineStr">
        <is>
          <t>Inventory management — first version</t>
        </is>
      </c>
      <c r="C185" t="inlineStr">
        <is>
          <t>Current scope</t>
        </is>
      </c>
      <c r="D185" t="inlineStr">
        <is>
          <t>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t>
        </is>
      </c>
      <c r="E185" t="inlineStr">
        <is>
          <t>FB-028</t>
        </is>
      </c>
      <c r="F185" t="inlineStr">
        <is>
          <t>Stories!B31</t>
        </is>
      </c>
    </row>
    <row r="186">
      <c r="A186" t="inlineStr">
        <is>
          <t>REQ-183</t>
        </is>
      </c>
      <c r="B186" t="inlineStr">
        <is>
          <t>Inventory management — first version</t>
        </is>
      </c>
      <c r="C186" t="inlineStr">
        <is>
          <t>Current scope</t>
        </is>
      </c>
      <c r="D186" t="inlineStr">
        <is>
          <t>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moves/deletions remain FUTURE.</t>
        </is>
      </c>
      <c r="E186" t="inlineStr">
        <is>
          <t>FB-028</t>
        </is>
      </c>
      <c r="F186" t="inlineStr">
        <is>
          <t>Stories!B31</t>
        </is>
      </c>
    </row>
    <row r="187">
      <c r="A187" t="inlineStr">
        <is>
          <t>REQ-184</t>
        </is>
      </c>
      <c r="B187" t="inlineStr">
        <is>
          <t>Module separation</t>
        </is>
      </c>
      <c r="C187" t="inlineStr">
        <is>
          <t>Current scope</t>
        </is>
      </c>
      <c r="D187" t="inlineStr">
        <is>
          <t>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t>
        </is>
      </c>
      <c r="E187" t="inlineStr">
        <is>
          <t>FB-029–FB-068</t>
        </is>
      </c>
      <c r="F187" t="inlineStr">
        <is>
          <t>Stories!B32</t>
        </is>
      </c>
    </row>
    <row r="188">
      <c r="A188" t="inlineStr">
        <is>
          <t>REQ-185</t>
        </is>
      </c>
      <c r="B188" t="inlineStr">
        <is>
          <t>Stock Management — shared package definitions</t>
        </is>
      </c>
      <c r="C188" t="inlineStr">
        <is>
          <t>Current scope</t>
        </is>
      </c>
      <c r="D188"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E188" t="inlineStr">
        <is>
          <t>FB-034, FB-049–FB-056, FB-059–FB-068</t>
        </is>
      </c>
      <c r="F188" t="inlineStr">
        <is>
          <t>Stories!B52</t>
        </is>
      </c>
    </row>
    <row r="189">
      <c r="A189" t="inlineStr">
        <is>
          <t>REQ-186</t>
        </is>
      </c>
      <c r="B189" t="inlineStr">
        <is>
          <t>Product Catalogue — Subcategory creation</t>
        </is>
      </c>
      <c r="C189" t="inlineStr">
        <is>
          <t>Current scope</t>
        </is>
      </c>
      <c r="D189" t="inlineStr">
        <is>
          <t>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t>
        </is>
      </c>
      <c r="E189" t="inlineStr">
        <is>
          <t>FB-029</t>
        </is>
      </c>
      <c r="F189" t="inlineStr">
        <is>
          <t>Stories!B32</t>
        </is>
      </c>
    </row>
    <row r="190">
      <c r="A190" t="inlineStr">
        <is>
          <t>REQ-187</t>
        </is>
      </c>
      <c r="B190" t="inlineStr">
        <is>
          <t>Product Catalogue — Subcategory list</t>
        </is>
      </c>
      <c r="C190" t="inlineStr">
        <is>
          <t>Current scope</t>
        </is>
      </c>
      <c r="D190" t="inlineStr">
        <is>
          <t>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t>
        </is>
      </c>
      <c r="E190" t="inlineStr">
        <is>
          <t>FB-029</t>
        </is>
      </c>
      <c r="F190" t="inlineStr">
        <is>
          <t>Stories!B32</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2026-10-29T22:27:28Z</dcterms:modified>
</cp:coreProperties>
</file>