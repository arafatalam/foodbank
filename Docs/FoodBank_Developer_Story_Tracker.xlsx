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91a428b64b84ea9" /></Relationships>
</file>

<file path=xl/workbook.xml><?xml version="1.0" encoding="utf-8"?>
<x:workbook xmlns:x="http://schemas.openxmlformats.org/spreadsheetml/2006/main">
  <x:sheets>
    <x:sheet xmlns:r="http://schemas.openxmlformats.org/officeDocument/2006/relationships" name="Start Here" sheetId="1" r:id="R736468c541374ea0"/>
    <x:sheet xmlns:r="http://schemas.openxmlformats.org/officeDocument/2006/relationships" name="Stories" sheetId="2" r:id="R7806b91ff2fa40be"/>
    <x:sheet xmlns:r="http://schemas.openxmlformats.org/officeDocument/2006/relationships" name="Requirements" sheetId="3" r:id="Rd966852c4b0e458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534c3f1dc384d92" /><Relationship Type="http://schemas.openxmlformats.org/officeDocument/2006/relationships/theme" Target="/xl/theme/theme1.xml" Id="R4d2e7dd1da114514" /><Relationship Type="http://schemas.openxmlformats.org/officeDocument/2006/relationships/sharedStrings" Target="/xl/sharedStrings.xml" Id="Rdf128992a4bf484e" /><Relationship Type="http://schemas.openxmlformats.org/officeDocument/2006/relationships/worksheet" Target="/xl/worksheets/sheet1.xml" Id="R736468c541374ea0" /><Relationship Type="http://schemas.openxmlformats.org/officeDocument/2006/relationships/worksheet" Target="/xl/worksheets/sheet2.xml" Id="R7806b91ff2fa40be" /><Relationship Type="http://schemas.openxmlformats.org/officeDocument/2006/relationships/worksheet" Target="/xl/worksheets/sheet3.xml" Id="Rd966852c4b0e4580"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d9b8b46002643f8" /></Relationships>
</file>

<file path=xl/worksheets/_rels/sheet3.xml.rels>&#65279;<?xml version="1.0" encoding="utf-8"?><Relationships xmlns="http://schemas.openxmlformats.org/package/2006/relationships"><Relationship Type="http://schemas.openxmlformats.org/officeDocument/2006/relationships/table" Target="/xl/tables/table2.xml" Id="R040b1ade40b8441f" /></Relationships>
</file>

<file path=xl/worksheets/sheet1.xml><?xml version="1.0" encoding="utf-8"?>
<ns0:worksheet xmlns:ns0="http://schemas.openxmlformats.org/spreadsheetml/2006/main">
  <ns0:sheetPr>
    <ns0:tabColor rgb="FF17324D"/>
  </ns0:sheetPr>
  <ns0:sheetViews>
    <ns0:sheetView showGridLines="0" workbookViewId="0"/>
  </ns0:sheetViews>
  <ns0:sheetFormatPr baseColWidth="8" defaultRowHeight="15"/>
  <ns0:cols>
    <ns0:col min="1" max="1" width="27" customWidth="1"/>
    <ns0:col min="2" max="2" width="20" customWidth="1"/>
    <ns0:col min="3" max="3" width="3" customWidth="1"/>
    <ns0:col min="4" max="4" width="18" customWidth="1"/>
    <ns0:col min="5" max="5" width="18" customWidth="1"/>
    <ns0:col min="6" max="6" width="18" customWidth="1"/>
    <ns0:col min="7" max="7" width="18" customWidth="1"/>
    <ns0:col min="8" max="8" width="18" customWidth="1"/>
  </ns0:cols>
  <ns0:sheetData>
    <ns0:row r="1">
      <ns0:c r="A1" s="15" t="n"/>
      <ns0:c r="B1" s="15" t="n"/>
      <ns0:c r="C1" s="15" t="n"/>
      <ns0:c r="D1" s="15" t="n"/>
      <ns0:c r="E1" s="15" t="n"/>
      <ns0:c r="F1" s="15" t="n"/>
      <ns0:c r="G1" s="15" t="n"/>
      <ns0:c r="H1" s="15" t="n"/>
    </ns0:row>
    <ns0:row r="2" ht="32" customHeight="1">
      <ns0:c r="A2" s="16" t="inlineStr">
        <ns0:is>
          <ns0:t xml:space="preserve">FoodBank developer story tracker</ns0:t>
        </ns0:is>
      </ns0:c>
    </ns0:row>
    <ns0:row r="3">
      <ns0:c r="A3" s="15" t="n"/>
      <ns0:c r="B3" s="15" t="n"/>
      <ns0:c r="C3" s="15" t="n"/>
      <ns0:c r="D3" s="15" t="n"/>
      <ns0:c r="E3" s="15" t="n"/>
      <ns0:c r="F3" s="15" t="n"/>
      <ns0:c r="G3" s="15" t="n"/>
      <ns0:c r="H3" s="15" t="n"/>
    </ns0:row>
    <ns0:row r="4" ht="26" customHeight="1">
      <ns0:c r="A4" s="20" t="inlineStr">
        <ns0:is>
          <ns0:t xml:space="preserve">Progress</ns0:t>
        </ns0:is>
      </ns0:c>
      <ns0:c r="B4" s="20" t="inlineStr">
        <ns0:is>
          <ns0:t xml:space="preserve">Items</ns0:t>
        </ns0:is>
      </ns0:c>
      <ns0:c r="C4" s="15" t="n"/>
      <ns0:c r="D4" s="18" t="inlineStr">
        <ns0:is>
          <ns0:t xml:space="preserve">Owner: assistant maintains this workbook; developer writes application code.</ns0:t>
        </ns0:is>
      </ns0:c>
    </ns0:row>
    <ns0:row r="5" ht="24" customHeight="1">
      <ns0:c r="A5" s="15" t="inlineStr">
        <ns0:is>
          <ns0:t xml:space="preserve">Total learning items</ns0:t>
        </ns0:is>
      </ns0:c>
      <ns0:c r="B5" s="15" t="n">
        <ns0:v>70</ns0:v>
      </ns0:c>
      <ns0:c r="C5" s="15" t="n"/>
    </ns0:row>
    <ns0:row r="6" ht="24" customHeight="1">
      <ns0:c r="A6" s="15" t="inlineStr">
        <ns0:is>
          <ns0:t xml:space="preserve">Complete</ns0:t>
        </ns0:is>
      </ns0:c>
      <ns0:c r="B6" s="15" t="n">
        <ns0:f>COUNTIF(Stories!H4:H73,"Complete")</ns0:f>
        <ns0:v>14</ns0:v>
      </ns0:c>
      <ns0:c r="C6" s="15" t="n"/>
      <ns0:c r="D6" s="18" t="inlineStr">
        <ns0:is>
          <ns0:t xml:space="preserve">Complete requires code review AND a passed behaviour test, with evidence and dates.</ns0:t>
        </ns0:is>
      </ns0:c>
    </ns0:row>
    <ns0:row r="7" ht="24" customHeight="1">
      <ns0:c r="A7" s="15" t="inlineStr">
        <ns0:is>
          <ns0:t xml:space="preserve">In progress</ns0:t>
        </ns0:is>
      </ns0:c>
      <ns0:c r="B7" s="15" t="n">
        <ns0:f>COUNTIF(Stories!H4:H73,"In progress")</ns0:f>
        <ns0:v>19</ns0:v>
      </ns0:c>
      <ns0:c r="C7" s="15" t="n"/>
    </ns0:row>
    <ns0:row r="8" ht="24" customHeight="1">
      <ns0:c r="A8" s="15" t="inlineStr">
        <ns0:is>
          <ns0:t xml:space="preserve">Awaiting review/test</ns0:t>
        </ns0:is>
      </ns0:c>
      <ns0:c r="B8" s="15" t="n">
        <ns0:f>COUNTIF(Stories!H4:H73,"Awaiting*")</ns0:f>
        <ns0:v>0</ns0:v>
      </ns0:c>
      <ns0:c r="C8" s="15" t="n"/>
      <ns0:c r="D8" s="18" t="inlineStr">
        <ns0:is>
          <ns0:t xml:space="preserve">Ask the developer to test first. “Done” after the test request confirms it worked.</ns0:t>
        </ns0:is>
      </ns0:c>
    </ns0:row>
    <ns0:row r="9" ht="24" customHeight="1">
      <ns0:c r="A9" s="15" t="inlineStr">
        <ns0:is>
          <ns0:t xml:space="preserve">Blocked</ns0:t>
        </ns0:is>
      </ns0:c>
      <ns0:c r="B9" s="15" t="n">
        <ns0:f>COUNTIF(Stories!H4:H73,"Blocked")</ns0:f>
        <ns0:v>0</ns0:v>
      </ns0:c>
      <ns0:c r="C9" s="15" t="n"/>
    </ns0:row>
    <ns0:row r="10" ht="24" customHeight="1">
      <ns0:c r="A10" s="15" t="inlineStr">
        <ns0:is>
          <ns0:t xml:space="preserve">Ready to start</ns0:t>
        </ns0:is>
      </ns0:c>
      <ns0:c r="B10" s="15" t="str">
        <ns0:v>FB-038</ns0:v>
      </ns0:c>
      <ns0:c r="C10" s="15" t="n"/>
      <ns0:c r="D10" s="18" t="inlineStr">
        <ns0:is>
          <ns0:t xml:space="preserve">Only test application behaviour yourself after the developer delegates it.</ns0:t>
        </ns0:is>
      </ns0:c>
    </ns0:row>
    <ns0:row r="11" ht="24" customHeight="1">
      <ns0:c r="A11" s="15" t="inlineStr">
        <ns0:is>
          <ns0:t xml:space="preserve">Verified progress</ns0:t>
        </ns0:is>
      </ns0:c>
      <ns0:c r="B11" s="29" t="str">
        <ns0:v>2026-10-30 hierarchy/Tags modules and Product creation verified. Product form saves catalogue fields and shared tags in both directions, with permissions/duplicate safeguards. Product list not started; account deferrals and baseline test failures preserved.</ns0:v>
      </ns0:c>
      <ns0:c r="C11" s="15" t="n"/>
    </ns0:row>
    <ns0:row r="12">
      <ns0:c r="A12" s="15" t="n"/>
      <ns0:c r="B12" s="15" t="inlineStr">
        <ns0:is>
          <ns0:t>Before starting/resuming this item or feature: reread AGENTS.md from disk; apply teaching/testing rules. CreateProduct helper refactor reviewed and developer-tested PASS. Resume FB-038 Product list preview: paginated unfiltered name/path/brand/tags/status with all-role viewAny permission. Show changes before applying. Search/filters remain later FB-040/044; no product code or stock fields.</ns0:t>
        </ns0:is>
      </ns0:c>
      <ns0:c r="C12" s="15" t="n"/>
      <ns0:c r="D12" s="15" t="n"/>
      <ns0:c r="E12" s="15" t="n"/>
      <ns0:c r="F12" s="15" t="n"/>
      <ns0:c r="G12" s="15" t="n"/>
      <ns0:c r="H12" s="15" t="n"/>
    </ns0:row>
    <ns0:row r="13" ht="40" customHeight="1">
      <ns0:c r="A13" s="21" t="inlineStr">
        <ns0:is>
          <ns0:t xml:space="preserve">Current item ID</ns0:t>
        </ns0:is>
      </ns0:c>
      <ns0:c r="B13" s="22" t="str">
        <ns0:v>FB-038</ns0:v>
      </ns0:c>
    </ns0:row>
    <ns0:row r="14" ht="100" customHeight="1">
      <ns0:c r="A14" s="21" t="inlineStr">
        <ns0:is>
          <ns0:t xml:space="preserve">Current lesson</ns0:t>
        </ns0:is>
      </ns0:c>
      <ns0:c r="B14" s="22" t="inlineStr">
        <ns0:is>
          <ns0:t>2026-10-30 developer-reported PASS: replied done all tests passed after explicit php artisan test tests/Feature/ProductCreateTest.php request for CreateProduct helper refactor. Refactor source review, scoped Pint and PHPStan already passed. Refactor verification complete; no assistant-executed application tests claimed. Suggested commit: Refactor product creation into focused helper methods. FB-038 Product list remains not started.</ns0:t>
        </ns0:is>
      </ns0:c>
    </ns0:row>
    <ns0:row r="15" ht="100" customHeight="1">
      <ns0:c r="A15" s="21" t="inlineStr">
        <ns0:is>
          <ns0:t xml:space="preserve">Next action</ns0:t>
        </ns0:is>
      </ns0:c>
      <ns0:c r="B15" s="22" t="inlineStr">
        <ns0:is>
          <ns0:t>Before starting/resuming this item or feature: reread AGENTS.md from disk; apply teaching/testing rules. CreateProduct helper refactor reviewed and developer-tested PASS. Resume FB-038 Product list preview: paginated unfiltered name/path/brand/tags/status with all-role viewAny permission. Show changes before applying. Search/filters remain later FB-040/044; no product code or stock fields.</ns0:t>
        </ns0:is>
      </ns0:c>
    </ns0:row>
    <ns0:row r="16" ht="65" customHeight="1">
      <ns0:c r="A16" s="21" t="inlineStr">
        <ns0:is>
          <ns0:t xml:space="preserve">Waiting on</ns0:t>
        </ns0:is>
      </ns0:c>
      <ns0:c r="B16" s="22" t="inlineStr">
        <ns0:is>
          <ns0:t>Product list preview/first small lesson; refactor verification complete.</ns0:t>
        </ns0:is>
      </ns0:c>
    </ns0:row>
    <ns0:row r="17" ht="65" customHeight="1">
      <ns0:c r="A17" s="21" t="inlineStr">
        <ns0:is>
          <ns0:t xml:space="preserve">Last reviewed revision</ns0:t>
        </ns0:is>
      </ns0:c>
      <ns0:c r="B17" s="22" t="str">
        <ns0:v>HEAD 3c9d80b6e737c9c750d0eaadc5e9bec3b2f71123 plus current uncommitted Product creation implementation, reviewed2026-10-30</ns0:v>
      </ns0:c>
    </ns0:row>
    <ns0:row r="18" ht="40" customHeight="1">
      <ns0:c r="A18" s="21" t="inlineStr">
        <ns0:is>
          <ns0:t xml:space="preserve">Current item status</ns0:t>
        </ns0:is>
      </ns0:c>
      <ns0:c r="B18" s="18" t="str">
        <ns0:v>Not started</ns0:v>
      </ns0:c>
    </ns0:row>
    <ns0:row r="19">
      <ns0:c r="A19" s="15" t="n"/>
      <ns0:c r="B19" s="15" t="inlineStr">
        <ns0:is>
          <ns0: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ns0:t>
        </ns0:is>
      </ns0:c>
      <ns0:c r="C19" s="15" t="n"/>
      <ns0:c r="D19" s="15" t="n"/>
      <ns0:c r="E19" s="15" t="n"/>
      <ns0:c r="F19" s="15" t="n"/>
      <ns0:c r="G19" s="15" t="n"/>
      <ns0:c r="H19" s="15" t="n"/>
    </ns0:row>
    <ns0:row r="20" ht="44" customHeight="1">
      <ns0:c r="A20" s="21" t="inlineStr">
        <ns0:is>
          <ns0:t xml:space="preserve">Completion process</ns0:t>
        </ns0:is>
      </ns0:c>
      <ns0:c r="B20" s="18" t="inlineStr">
        <ns0:is>
          <ns0:t xml:space="preserve">Build small lessons and ask developer to check behaviour. Review the connected feature at completion, correct findings, and record both review and passed testing before marking Complete.</ns0:t>
        </ns0:is>
      </ns0:c>
    </ns0:row>
    <ns0:row r="21" ht="44" customHeight="1">
      <ns0:c r="A21" s="21" t="inlineStr">
        <ns0:is>
          <ns0:t xml:space="preserve">Meaning of done</ns0:t>
        </ns0:is>
      </ns0:c>
      <ns0:c r="B21" s="18" t="inlineStr">
        <ns0:is>
          <ns0:t xml:space="preserve">After an explicit test request, done means the developer tested that item and it worked. Otherwise it means continue the lesson; it never bypasses code review.</ns0:t>
        </ns0:is>
      </ns0:c>
    </ns0:row>
    <ns0:row r="22" ht="44" customHeight="1">
      <ns0:c r="A22" s="21" t="inlineStr">
        <ns0:is>
          <ns0:t xml:space="preserve">What to record</ns0:t>
        </ns0:is>
      </ns0:c>
      <ns0:c r="B22" s="18" t="inlineStr">
        <ns0:is>
          <ns0:t xml:space="preserve">Keep current item, lesson, next action and blocker current. Record review/test evidence and dates in Stories. Save inspected Poker paths and pattern findings with the relevant item for reuse.</ns0:t>
        </ns0:is>
      </ns0:c>
    </ns0:row>
    <ns0:row r="23" ht="44" customHeight="1">
      <ns0:c r="A23" s="21" t="inlineStr">
        <ns0:is>
          <ns0:t xml:space="preserve">How completion works</ns0:t>
        </ns0:is>
      </ns0:c>
      <ns0:c r="B23" s="18" t="inlineStr">
        <ns0:is>
          <ns0:t xml:space="preserve">Set Work stage to Ready for review; record Passed review and test with evidence/dates. Status is calculated. Never overwrite it to claim completion.</ns0:t>
        </ns0:is>
      </ns0:c>
    </ns0:row>
    <ns0:row r="24" ht="65" customHeight="1">
      <ns0:c r="A24" s="21" t="inlineStr">
        <ns0:is>
          <ns0:t xml:space="preserve">Dependencies</ns0:t>
        </ns0:is>
      </ns0:c>
      <ns0:c r="B24" s="18" t="inlineStr">
        <ns0:is>
          <ns0: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ns0:t>
        </ns0:is>
      </ns0:c>
    </ns0:row>
    <ns0:row r="25" ht="65" customHeight="1">
      <ns0:c r="A25" s="21" t="inlineStr">
        <ns0:is>
          <ns0:t xml:space="preserve">One lesson at a time</ns0:t>
        </ns0:is>
      </ns0:c>
      <ns0:c r="B25" s="18" t="inlineStr">
        <ns0:is>
          <ns0:t xml:space="preserve">Understanding comes first. Apply teaching examples where useful and use judgment to adapt the sequence. One tracker row may take several small lessons. Build prerequisites and connect dependent behaviour as needed; verify before moving on.</ns0:t>
        </ns0:is>
      </ns0:c>
    </ns0:row>
    <ns0:row r="26" ht="44" customHeight="1">
      <ns0:c r="A26" s="21" t="inlineStr">
        <ns0:is>
          <ns0:t xml:space="preserve">Teaching emphasis</ns0:t>
        </ns0:is>
      </ns0:c>
      <ns0:c r="B26" s="18" t="inlineStr">
        <ns0:is>
          <ns0:t xml:space="preserve">Vue, Inertia and Tailwind layout: parent/child relationships, flex/grid, sizing, spacing, overflow and responsive behaviour. Reuse existing colours/typography.</ns0:t>
        </ns0:is>
      </ns0:c>
    </ns0:row>
    <ns0:row r="27" ht="44" customHeight="1">
      <ns0:c r="A27" s="21" t="inlineStr">
        <ns0:is>
          <ns0:t xml:space="preserve">Final implementation item</ns0:t>
        </ns0:is>
      </ns0:c>
      <ns0:c r="B27" s="18" t="inlineStr">
        <ns0:is>
          <ns0:t xml:space="preserve">FB-070 — Super Admin recovery remains last, including its own review and delegated/user testing.</ns0:t>
        </ns0:is>
      </ns0:c>
    </ns0:row>
    <ns0:row r="28" ht="44" customHeight="1">
      <ns0:c r="A28" s="21" t="inlineStr">
        <ns0:is>
          <ns0:t xml:space="preserve">Future work</ns0:t>
        </ns0:is>
      </ns0:c>
      <ns0:c r="B28" s="18" t="inlineStr">
        <ns0:is>
          <ns0:t xml:space="preserve">Rules marked ##FUTURE on Requirements remain deferred and are excluded from Stories and completion totals. Unresolved future details do not authorize implementation.</ns0:t>
        </ns0:is>
      </ns0:c>
    </ns0:row>
    <ns0:row r="29" ht="44" customHeight="1">
      <ns0:c r="A29" s="21" t="inlineStr">
        <ns0:is>
          <ns0:t xml:space="preserve">Source of requirements</ns0:t>
        </ns0:is>
      </ns0:c>
      <ns0:c r="B29" s="18" t="inlineStr">
        <ns0:is>
          <ns0:t xml:space="preserve">Requirements is the authoritative scope record, with detailed rules and related FB item IDs. Stories tracks implementation/evidence; Start Here records where to resume.</ns0:t>
        </ns0:is>
      </ns0:c>
    </ns0:row>
    <ns0:row r="30" ht="65" customHeight="1">
      <ns0:c r="A30" s="21" t="inlineStr">
        <ns0:is>
          <ns0:t xml:space="preserve">Reference format</ns0:t>
        </ns0:is>
      </ns0:c>
      <ns0:c r="B30" s="18" t="str">
        <ns0:v>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row>
    <ns0:row r="31" ht="44" customHeight="1">
      <ns0:c r="A31" s="21" t="inlineStr">
        <ns0:is>
          <ns0:t xml:space="preserve">Resume in a new chat</ns0:t>
        </ns0:is>
      </ns0:c>
      <ns0:c r="B31" s="18" t="inlineStr">
        <ns0:is>
          <ns0:t xml:space="preserve">Read AGENTS.md and this workbook: Start Here, the current Stories row, and its Requirements. Inspect relevant Poker conventions at new-chat start or on request. Reread AGENTS.md before each item.</ns0:t>
        </ns0:is>
      </ns0:c>
    </ns0:row>
    <ns0:row r="32" ht="44" customHeight="1">
      <ns0:c r="A32" s="21" t="inlineStr">
        <ns0:is>
          <ns0:t xml:space="preserve">Changes after verification</ns0:t>
        </ns0:is>
      </ns0:c>
      <ns0:c r="B32" s="18" t="inlineStr">
        <ns0:is>
          <ns0:t xml:space="preserve">If later edits invalidate a passed item, reopen it and retest affected behaviour. Preserve previous evidence in notes; never silently keep a stale Complete status.</ns0:t>
        </ns0:is>
      </ns0:c>
    </ns0:row>
    <ns0:row r="33" ht="44" customHeight="1">
      <ns0:c r="A33" s="21" t="inlineStr">
        <ns0:is>
          <ns0:t xml:space="preserve">Workbook maintenance</ns0:t>
        </ns0:is>
      </ns0:c>
      <ns0:c r="B33" s="18" t="inlineStr">
        <ns0:is>
          <ns0:t xml:space="preserve">Maintain this same workbook. Update Requirements for agreed scope changes, Stories for evidence/progress, and Start Here for handoff. Do not maintain separate feature-list or resume files.</ns0:t>
        </ns0:is>
      </ns0:c>
    </ns0:row>
    <ns0:row r="34" ht="44" customHeight="1">
      <ns0:c r="A34" s="21" t="inlineStr">
        <ns0:is>
          <ns0:t xml:space="preserve">Commit checkpoints</ns0:t>
        </ns0:is>
      </ns0:c>
      <ns0:c r="B34" s="18" t="inlineStr">
        <ns0:is>
          <ns0:t xml:space="preserve">After a coherent verified feature, suggest an accurate commit message. The developer commits unless explicitly requesting otherwise.</ns0:t>
        </ns0:is>
      </ns0:c>
    </ns0:row>
    <ns0:row r="35" ht="65" customHeight="1">
      <ns0:c r="A35" s="21" t="inlineStr">
        <ns0:is>
          <ns0:t xml:space="preserve">Application test status</ns0:t>
        </ns0:is>
      </ns0:c>
      <ns0:c r="B35" s="18" t="str">
        <ns0:v>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row>
    <ns0:row r="36">
      <ns0:c r="A36" s="15" t="n"/>
      <ns0:c r="B36" s="15" t="n"/>
      <ns0:c r="C36" s="15" t="n"/>
      <ns0:c r="D36" s="15" t="n"/>
      <ns0:c r="E36" s="15" t="n"/>
      <ns0:c r="F36" s="15" t="n"/>
      <ns0:c r="G36" s="15" t="n"/>
      <ns0:c r="H36" s="15" t="n"/>
    </ns0:row>
    <ns0:row r="37">
      <ns0:c r="A37" s="15" t="n"/>
      <ns0:c r="B37" s="15" t="n"/>
      <ns0:c r="C37" s="15" t="n"/>
      <ns0:c r="D37" s="15" t="n"/>
      <ns0:c r="E37" s="15" t="n"/>
      <ns0:c r="F37" s="15" t="n"/>
      <ns0:c r="G37" s="15" t="n"/>
      <ns0:c r="H37" s="15" t="n"/>
    </ns0:row>
    <ns0:row r="38">
      <ns0:c r="A38" s="15" t="n"/>
      <ns0:c r="B38" s="15" t="n"/>
      <ns0:c r="C38" s="15" t="n"/>
      <ns0:c r="D38" s="15" t="n"/>
      <ns0:c r="E38" s="15" t="n"/>
      <ns0:c r="F38" s="15" t="n"/>
      <ns0:c r="G38" s="15" t="n"/>
      <ns0:c r="H38" s="15" t="n"/>
    </ns0:row>
    <ns0:row r="39">
      <ns0:c r="A39" s="15" t="n"/>
      <ns0:c r="B39" s="15" t="n"/>
      <ns0:c r="C39" s="15" t="n"/>
      <ns0:c r="D39" s="15" t="n"/>
      <ns0:c r="E39" s="15" t="n"/>
      <ns0:c r="F39" s="15" t="n"/>
      <ns0:c r="G39" s="15" t="n"/>
      <ns0:c r="H39" s="15" t="n"/>
    </ns0:row>
    <ns0:row r="40">
      <ns0:c r="A40" s="15" t="n"/>
      <ns0:c r="B40" s="15" t="n"/>
      <ns0:c r="C40" s="15" t="n"/>
      <ns0:c r="D40" s="15" t="n"/>
      <ns0:c r="E40" s="15" t="n"/>
      <ns0:c r="F40" s="15" t="n"/>
      <ns0:c r="G40" s="15" t="n"/>
      <ns0:c r="H40" s="15" t="n"/>
    </ns0:row>
  </ns0:sheetData>
  <ns0:mergeCells>
    <ns0:mergeCell ref="D4:H5"/>
    <ns0:mergeCell ref="B24:H24"/>
    <ns0:mergeCell ref="B30:H30"/>
    <ns0:mergeCell ref="B15:H15"/>
    <ns0:mergeCell ref="B33:H33"/>
    <ns0:mergeCell ref="B20:H20"/>
    <ns0:mergeCell ref="B32:H32"/>
    <ns0:mergeCell ref="B26:H26"/>
    <ns0:mergeCell ref="D8:H9"/>
    <ns0:mergeCell ref="B35:H35"/>
    <ns0:mergeCell ref="B16:H16"/>
    <ns0:mergeCell ref="B25:H25"/>
    <ns0:mergeCell ref="D10:H11"/>
    <ns0:mergeCell ref="B31:H31"/>
    <ns0:mergeCell ref="B22:H22"/>
    <ns0:mergeCell ref="B18:H18"/>
    <ns0:mergeCell ref="B27:H27"/>
    <ns0:mergeCell ref="B21:H21"/>
    <ns0:mergeCell ref="A2:H2"/>
    <ns0:mergeCell ref="D6:H7"/>
    <ns0:mergeCell ref="B23:H23"/>
    <ns0:mergeCell ref="B14:H14"/>
    <ns0:mergeCell ref="B17:H17"/>
    <ns0:mergeCell ref="B13:H13"/>
    <ns0:mergeCell ref="B29:H29"/>
    <ns0:mergeCell ref="B34:H34"/>
    <ns0:mergeCell ref="B28:H28"/>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Pr>
    <ns0:tabColor rgb="FF17324D"/>
  </ns0:sheetPr>
  <ns0:sheetViews>
    <ns0:sheetView showGridLines="0" workbookViewId="0">
      <ns0:pane xSplit="2" ySplit="3" topLeftCell="C4" activePane="bottomRight" state="frozen"/>
    </ns0:sheetView>
  </ns0:sheetViews>
  <ns0:sheetFormatPr baseColWidth="8" defaultRowHeight="15"/>
  <ns0:cols>
    <ns0:col min="1" max="1" width="5" customWidth="1"/>
    <ns0:col min="2" max="2" width="12" customWidth="1"/>
    <ns0:col min="3" max="3" width="22" customWidth="1"/>
    <ns0:col min="4" max="4" width="42" customWidth="1"/>
    <ns0:col min="5" max="5" width="78" customWidth="1"/>
    <ns0:col min="6" max="6" width="14" customWidth="1"/>
    <ns0:col min="7" max="7" width="14" customWidth="1"/>
    <ns0:col min="8" max="8" width="26" customWidth="1"/>
    <ns0:col min="9" max="9" width="20" customWidth="1"/>
    <ns0:col min="10" max="10" width="18" customWidth="1"/>
    <ns0:col min="11" max="11" width="55" customWidth="1"/>
    <ns0:col min="12" max="12" width="15" customWidth="1"/>
    <ns0:col min="13" max="13" width="19" customWidth="1"/>
    <ns0:col min="14" max="14" width="17" customWidth="1"/>
    <ns0:col min="15" max="15" width="55" customWidth="1"/>
    <ns0:col min="16" max="16" width="15" customWidth="1"/>
    <ns0:col min="17" max="17" width="45" customWidth="1"/>
    <ns0:col min="18" max="18" width="48" customWidth="1"/>
    <ns0:col min="19" max="19" width="40" customWidth="1"/>
  </ns0:cols>
  <ns0:sheetData>
    <ns0:row r="1" ht="30" customHeight="1">
      <ns0:c r="A1" s="2" t="inlineStr">
        <ns0:is>
          <ns0:t xml:space="preserve">FoodBank learning tracker — complete one small item before continuing</ns0:t>
        </ns0:is>
      </ns0:c>
      <ns0:c r="I1" s="1" t="n"/>
      <ns0:c r="J1" s="1" t="n"/>
      <ns0:c r="K1" s="1" t="n"/>
      <ns0:c r="L1" s="1" t="n"/>
      <ns0:c r="M1" s="1" t="n"/>
      <ns0:c r="N1" s="1" t="n"/>
      <ns0:c r="O1" s="1" t="n"/>
      <ns0:c r="P1" s="1" t="n"/>
      <ns0:c r="Q1" s="1" t="n"/>
      <ns0:c r="R1" s="1" t="n"/>
      <ns0:c r="S1" s="1" t="n"/>
    </ns0:row>
    <ns0:row r="2">
      <ns0:c r="A2" s="1" t="n"/>
      <ns0:c r="B2" s="1" t="n"/>
      <ns0:c r="C2" s="1" t="n"/>
      <ns0:c r="D2" s="1" t="n"/>
      <ns0:c r="E2" s="1" t="n"/>
      <ns0:c r="F2" s="1" t="n"/>
      <ns0:c r="G2" s="1" t="n"/>
      <ns0:c r="H2" s="1" t="n"/>
      <ns0:c r="I2" s="1" t="n"/>
      <ns0:c r="J2" s="1" t="n"/>
      <ns0:c r="K2" s="1" t="n"/>
      <ns0:c r="L2" s="1" t="n"/>
      <ns0:c r="M2" s="1" t="n"/>
      <ns0:c r="N2" s="1" t="n"/>
      <ns0:c r="O2" s="1" t="n"/>
      <ns0:c r="P2" s="1" t="n"/>
      <ns0:c r="Q2" s="1" t="n"/>
      <ns0:c r="R2" s="1" t="n"/>
      <ns0:c r="S2" s="1" t="n"/>
    </ns0:row>
    <ns0:row r="3" ht="30" customHeight="1">
      <ns0:c r="A3" s="8" t="inlineStr">
        <ns0:is>
          <ns0:t xml:space="preserve">#</ns0:t>
        </ns0:is>
      </ns0:c>
      <ns0:c r="B3" s="8" t="inlineStr">
        <ns0:is>
          <ns0:t xml:space="preserve">Item ID</ns0:t>
        </ns0:is>
      </ns0:c>
      <ns0:c r="C3" s="8" t="inlineStr">
        <ns0:is>
          <ns0:t xml:space="preserve">Feature</ns0:t>
        </ns0:is>
      </ns0:c>
      <ns0:c r="D3" s="8" t="inlineStr">
        <ns0:is>
          <ns0:t xml:space="preserve">Learning item</ns0:t>
        </ns0:is>
      </ns0:c>
      <ns0:c r="E3" s="8" t="inlineStr">
        <ns0:is>
          <ns0:t xml:space="preserve">Acceptance checks</ns0:t>
        </ns0:is>
      </ns0:c>
      <ns0:c r="F3" s="8" t="inlineStr">
        <ns0:is>
          <ns0:t xml:space="preserve">Previous item</ns0:t>
        </ns0:is>
      </ns0:c>
      <ns0:c r="G3" s="8" t="inlineStr">
        <ns0:is>
          <ns0:t xml:space="preserve">Readiness</ns0:t>
        </ns0:is>
      </ns0:c>
      <ns0:c r="H3" s="8" t="inlineStr">
        <ns0:is>
          <ns0:t xml:space="preserve">Status</ns0:t>
        </ns0:is>
      </ns0:c>
      <ns0:c r="I3" s="8" t="inlineStr">
        <ns0:is>
          <ns0:t xml:space="preserve">Work stage</ns0:t>
        </ns0:is>
      </ns0:c>
      <ns0:c r="J3" s="8" t="inlineStr">
        <ns0:is>
          <ns0:t xml:space="preserve">Code review</ns0:t>
        </ns0:is>
      </ns0:c>
      <ns0:c r="K3" s="8" t="inlineStr">
        <ns0:is>
          <ns0:t xml:space="preserve">Review evidence</ns0:t>
        </ns0:is>
      </ns0:c>
      <ns0:c r="L3" s="8" t="inlineStr">
        <ns0:is>
          <ns0:t xml:space="preserve">Review date</ns0:t>
        </ns0:is>
      </ns0:c>
      <ns0:c r="M3" s="8" t="inlineStr">
        <ns0:is>
          <ns0:t xml:space="preserve">Tested by</ns0:t>
        </ns0:is>
      </ns0:c>
      <ns0:c r="N3" s="8" t="inlineStr">
        <ns0:is>
          <ns0:t xml:space="preserve">Test result</ns0:t>
        </ns0:is>
      </ns0:c>
      <ns0:c r="O3" s="8" t="inlineStr">
        <ns0:is>
          <ns0:t xml:space="preserve">Test evidence</ns0:t>
        </ns0:is>
      </ns0:c>
      <ns0:c r="P3" s="8" t="inlineStr">
        <ns0:is>
          <ns0:t xml:space="preserve">Test date</ns0:t>
        </ns0:is>
      </ns0:c>
      <ns0:c r="Q3" s="8" t="inlineStr">
        <ns0:is>
          <ns0:t xml:space="preserve">Lesson / last step</ns0:t>
        </ns0:is>
      </ns0:c>
      <ns0:c r="R3" s="8" t="inlineStr">
        <ns0:is>
          <ns0:t xml:space="preserve">Next action</ns0:t>
        </ns0:is>
      </ns0:c>
      <ns0:c r="S3" s="8" t="inlineStr">
        <ns0:is>
          <ns0:t xml:space="preserve">Blocker</ns0:t>
        </ns0:is>
      </ns0:c>
    </ns0:row>
    <ns0:row r="4" ht="400" customHeight="1">
      <ns0:c r="A4" s="4" t="n">
        <ns0:v>1</ns0:v>
      </ns0:c>
      <ns0:c r="B4" s="4" t="inlineStr">
        <ns0:is>
          <ns0:t xml:space="preserve">FB-001</ns0:t>
        </ns0:is>
      </ns0:c>
      <ns0:c r="C4" s="4" t="inlineStr">
        <ns0:is>
          <ns0:t xml:space="preserve">Starting point</ns0:t>
        </ns0:is>
      </ns0:c>
      <ns0:c r="D4" s="4" t="inlineStr">
        <ns0:is>
          <ns0:t xml:space="preserve">Inspect the projects and confirm the local starting point</ns0:t>
        </ns0:is>
      </ns0:c>
      <ns0:c r="E4" s="4" t="inlineStr">
        <ns0:is>
          <ns0:t xml:space="preserve">Review existing FoodBank code and relevant Poker workflows; explain how the current page runs; developer verifies the local page and database connection. Record actual findings before marking complete.</ns0:t>
        </ns0:is>
      </ns0:c>
      <ns0:c r="F4" s="4" t="n"/>
      <ns0:c r="G4" s="4" t="str">
        <ns0:f>IF(H4="Complete","Complete",IF(I4="Blocked","Blocked",IF(I4="In progress","Ready",IF(F4="","Ready",IF(COUNTIFS($B$4:$B$73,F4,$H$4:$H$73,"Complete")=1,"Ready","Waiting")))))</ns0:f>
        <ns0:v>Complete</ns0:v>
      </ns0:c>
      <ns0:c r="H4" s="4" t="str">
        <ns0:f>IF(I4="Not started","Not started",IF(I4="Blocked","Blocked",IF(I4="In progress","In progress",IF(J4&lt;&gt;"Passed","Awaiting code review",IF(OR(K4="",NOT(ISNUMBER(L4))),"Awaiting review evidence",IF(N4&lt;&gt;"Passed","Awaiting test",IF(OR(M4="",O4="",NOT(ISNUMBER(P4))),"Awaiting test evidence","Complete")))))))</ns0:f>
        <ns0:v>Complete</ns0:v>
      </ns0:c>
      <ns0:c r="I4" s="10" t="inlineStr">
        <ns0:is>
          <ns0:t xml:space="preserve">Ready for review</ns0:t>
        </ns0:is>
      </ns0:c>
      <ns0:c r="J4" s="10" t="inlineStr">
        <ns0:is>
          <ns0:t xml:space="preserve">Passed</ns0:t>
        </ns0:is>
      </ns0:c>
      <ns0:c r="K4" s="10" t="inlineStr">
        <ns0:is>
          <ns0: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ns0:t>
        </ns0:is>
      </ns0:c>
      <ns0:c r="L4" s="30" t="n">
        <ns0:v>46320</ns0:v>
      </ns0:c>
      <ns0:c r="M4" s="10" t="inlineStr">
        <ns0:is>
          <ns0:t xml:space="preserve">Developer</ns0:t>
        </ns0:is>
      </ns0:c>
      <ns0:c r="N4" s="10" t="inlineStr">
        <ns0:is>
          <ns0:t xml:space="preserve">Passed</ns0:t>
        </ns0:is>
      </ns0:c>
      <ns0:c r="O4" s="10" t="inlineStr">
        <ns0:is>
          <ns0: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ns0:t>
        </ns0:is>
      </ns0:c>
      <ns0:c r="P4" s="30" t="n">
        <ns0:v>46320</ns0:v>
      </ns0:c>
      <ns0:c r="Q4" s="10" t="inlineStr">
        <ns0:is>
          <ns0:t xml:space="preserve">2026-10-25: FB-001 complete after source review and developer-confirmed local page, Light/Dark refresh persistence and MySQL connection checks. Initial commit d8cdf44 already contains setup; no new tracked application changes.</ns0:t>
        </ns0:is>
      </ns0:c>
      <ns0:c r="R4" s="10" t="inlineStr">
        <ns0:is>
          <ns0:t xml:space="preserve">Before starting this item or feature: reread AGENTS.md from disk; apply its teaching and testing rules. Completed; continue with FB-002 shared login page.</ns0:t>
        </ns0:is>
      </ns0:c>
      <ns0:c r="S4" s="10" t="n"/>
    </ns0:row>
    <ns0:row r="5" ht="105" customHeight="1">
      <ns0:c r="A5" s="9" t="n">
        <ns0:v>2</ns0:v>
      </ns0:c>
      <ns0:c r="B5" s="9" t="inlineStr">
        <ns0:is>
          <ns0:t xml:space="preserve">FB-002</ns0:t>
        </ns0:is>
      </ns0:c>
      <ns0:c r="C5" s="9" t="inlineStr">
        <ns0:is>
          <ns0:t xml:space="preserve">Access</ns0:t>
        </ns0:is>
      </ns0:c>
      <ns0:c r="D5" s="9" t="inlineStr">
        <ns0:is>
          <ns0:t xml:space="preserve">Display the shared login page</ns0:t>
        </ns0:is>
      </ns0:c>
      <ns0:c r="E5" s="9" t="inlineStr">
        <ns0:is>
          <ns0:t xml:space="preserve">Show one login page for all roles, with username/email and password fields. Explain URL-to-page flow and inherited components; use local fictional accounts. Include approved Remember me checkbox (REQ-178) and verify the selected centered-card appearance (REQ-176).</ns0:t>
        </ns0:is>
      </ns0:c>
      <ns0:c r="F5" s="9" t="inlineStr">
        <ns0:is>
          <ns0:t xml:space="preserve">FB-001</ns0:t>
        </ns0:is>
      </ns0:c>
      <ns0:c r="G5" s="9" t="str">
        <ns0:f>IF(H5="Complete","Complete",IF(I5="Blocked","Blocked",IF(I5="In progress","Ready",IF(F5="","Ready",IF(COUNTIFS($B$4:$B$73,F5,$H$4:$H$73,"Complete")=1,"Ready","Waiting")))))</ns0:f>
        <ns0:v>Complete</ns0:v>
      </ns0:c>
      <ns0:c r="H5" s="9" t="str">
        <ns0:f>IF(I5="Not started","Not started",IF(I5="Blocked","Blocked",IF(I5="In progress","In progress",IF(J5&lt;&gt;"Passed","Awaiting code review",IF(OR(K5="",NOT(ISNUMBER(L5))),"Awaiting review evidence",IF(N5&lt;&gt;"Passed","Awaiting test",IF(OR(M5="",O5="",NOT(ISNUMBER(P5))),"Awaiting test evidence","Complete")))))))</ns0:f>
        <ns0:v>Complete</ns0:v>
      </ns0:c>
      <ns0:c r="I5" s="11" t="inlineStr">
        <ns0:is>
          <ns0:t xml:space="preserve">Ready for review</ns0:t>
        </ns0:is>
      </ns0:c>
      <ns0:c r="J5" s="11" t="inlineStr">
        <ns0:is>
          <ns0:t xml:space="preserve">Passed</ns0:t>
        </ns0:is>
      </ns0:c>
      <ns0:c r="K5" s="11" t="inlineStr">
        <ns0:is>
          <ns0: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ns0:t>
        </ns0:is>
      </ns0:c>
      <ns0:c r="L5" s="31" t="n">
        <ns0:v>46320</ns0:v>
      </ns0:c>
      <ns0:c r="M5" s="11" t="inlineStr">
        <ns0:is>
          <ns0:t xml:space="preserve">Developer</ns0:t>
        </ns0:is>
      </ns0:c>
      <ns0:c r="N5" s="11" t="inlineStr">
        <ns0:is>
          <ns0:t xml:space="preserve">Passed</ns0:t>
        </ns0:is>
      </ns0:c>
      <ns0:c r="O5" s="11" t="inlineStr">
        <ns0:is>
          <ns0: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ns0:t>
        </ns0:is>
      </ns0:c>
      <ns0:c r="P5" s="31" t="n">
        <ns0:v>46320</ns0:v>
      </ns0:c>
      <ns0:c r="Q5" s="11" t="inlineStr">
        <ns0:is>
          <ns0:t xml:space="preserve">2026-10-25: Reopened display work complete after final review and developer narrow/short viewport checks. Remember me display included, authentication not connected.</ns0:t>
        </ns0:is>
      </ns0:c>
      <ns0:c r="R5" s="11" t="inlineStr">
        <ns0:is>
          <ns0:t xml:space="preserve">Before starting this item or feature: reread AGENTS.md from disk; apply its teaching and testing rules. Display verified; continue FB-003 keyboard checks. Commit checkpoint: Build centered login screen with sprout branding and Remember me.</ns0:t>
        </ns0:is>
      </ns0:c>
      <ns0:c r="S5" s="11" t="n"/>
    </ns0:row>
    <ns0:row r="6" ht="105" customHeight="1">
      <ns0:c r="A6" s="4" t="n">
        <ns0:v>3</ns0:v>
      </ns0:c>
      <ns0:c r="B6" s="4" t="inlineStr">
        <ns0:is>
          <ns0:t xml:space="preserve">FB-003</ns0:t>
        </ns0:is>
      </ns0:c>
      <ns0:c r="C6" s="4" t="inlineStr">
        <ns0:is>
          <ns0:t xml:space="preserve">Access</ns0:t>
        </ns0:is>
      </ns0:c>
      <ns0:c r="D6" s="4" t="inlineStr">
        <ns0:is>
          <ns0:t xml:space="preserve">Arrange the login form for narrow and wide screens</ns0:t>
        </ns0:is>
      </ns0:c>
      <ns0:c r="E6" s="4" t="inlineStr">
        <ns0:is>
          <ns0: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ns0:t>
        </ns0:is>
      </ns0:c>
      <ns0:c r="F6" s="4" t="inlineStr">
        <ns0:is>
          <ns0:t xml:space="preserve">FB-002</ns0:t>
        </ns0:is>
      </ns0:c>
      <ns0:c r="G6" s="4" t="str">
        <ns0:f>IF(H6="Complete","Complete",IF(I6="Blocked","Blocked",IF(I6="In progress","Ready",IF(F6="","Ready",IF(COUNTIFS($B$4:$B$73,F6,$H$4:$H$73,"Complete")=1,"Ready","Waiting")))))</ns0:f>
        <ns0:v>Complete</ns0:v>
      </ns0:c>
      <ns0:c r="H6" s="4" t="str">
        <ns0:f>IF(I6="Not started","Not started",IF(I6="Blocked","Blocked",IF(I6="In progress","In progress",IF(J6&lt;&gt;"Passed","Awaiting code review",IF(OR(K6="",NOT(ISNUMBER(L6))),"Awaiting review evidence",IF(N6&lt;&gt;"Passed","Awaiting test",IF(OR(M6="",O6="",NOT(ISNUMBER(P6))),"Awaiting test evidence","Complete")))))))</ns0:f>
        <ns0:v>Complete</ns0:v>
      </ns0:c>
      <ns0:c r="I6" s="10" t="inlineStr">
        <ns0:is>
          <ns0:t xml:space="preserve">Ready for review</ns0:t>
        </ns0:is>
      </ns0:c>
      <ns0:c r="J6" s="10" t="inlineStr">
        <ns0:is>
          <ns0:t xml:space="preserve">Passed</ns0:t>
        </ns0:is>
      </ns0:c>
      <ns0:c r="K6" s="10" t="inlineStr">
        <ns0:is>
          <ns0: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ns0:t>
        </ns0:is>
      </ns0:c>
      <ns0:c r="L6" s="30" t="n">
        <ns0:v>46320</ns0:v>
      </ns0:c>
      <ns0:c r="M6" s="10" t="inlineStr">
        <ns0:is>
          <ns0:t xml:space="preserve">Developer</ns0:t>
        </ns0:is>
      </ns0:c>
      <ns0:c r="N6" s="10" t="inlineStr">
        <ns0:is>
          <ns0:t xml:space="preserve">Passed</ns0:t>
        </ns0:is>
      </ns0:c>
      <ns0:c r="O6" s="10" t="inlineStr">
        <ns0:is>
          <ns0: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ns0:t>
        </ns0:is>
      </ns0:c>
      <ns0:c r="P6" s="30" t="n">
        <ns0:v>46320</ns0:v>
      </ns0:c>
      <ns0:c r="Q6" s="10" t="inlineStr">
        <ns0:is>
          <ns0:t xml:space="preserve">Layout and approved keyboard checks complete 2026-10-25.</ns0:t>
        </ns0:is>
      </ns0:c>
      <ns0:c r="R6" s="10" t="inlineStr">
        <ns0:is>
          <ns0:t xml:space="preserve">Before starting this item or feature: reread AGENTS.md from disk; apply its teaching and testing rules. Continue FB-004 account prerequisites. Commit checkpoint: Build centered login screen with sprout branding and Remember me.</ns0:t>
        </ns0:is>
      </ns0:c>
      <ns0:c r="S6" s="10" t="n"/>
    </ns0:row>
    <ns0:row r="7" ht="105" customHeight="1">
      <ns0:c r="A7" s="9" t="n">
        <ns0:v>4</ns0:v>
      </ns0:c>
      <ns0:c r="B7" s="9" t="inlineStr">
        <ns0:is>
          <ns0:t xml:space="preserve">FB-004</ns0:t>
        </ns0:is>
      </ns0:c>
      <ns0:c r="C7" s="9" t="inlineStr">
        <ns0:is>
          <ns0:t xml:space="preserve">Access</ns0:t>
        </ns0:is>
      </ns0:c>
      <ns0:c r="D7" s="9" t="inlineStr">
        <ns0:is>
          <ns0:t xml:space="preserve">Create the initial account and fixed roles</ns0:t>
        </ns0:is>
      </ns0:c>
      <ns0:c r="E7" s="9" t="inlineStr">
        <ns0:is>
          <ns0: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F7" s="9" t="inlineStr">
        <ns0:is>
          <ns0:t xml:space="preserve">FB-003</ns0:t>
        </ns0:is>
      </ns0:c>
      <ns0:c r="G7" s="9" t="str">
        <ns0:f>IF(H7="Complete","Complete",IF(I7="Blocked","Blocked",IF(I7="In progress","Ready",IF(F7="","Ready",IF(COUNTIFS($B$4:$B$73,F7,$H$4:$H$73,"Complete")=1,"Ready","Waiting")))))</ns0:f>
        <ns0:v>Ready</ns0:v>
      </ns0:c>
      <ns0:c r="H7" s="9" t="str">
        <ns0:f>IF(I7="Not started","Not started",IF(I7="Blocked","Blocked",IF(I7="In progress","In progress",IF(J7&lt;&gt;"Passed","Awaiting code review",IF(OR(K7="",NOT(ISNUMBER(L7))),"Awaiting review evidence",IF(N7&lt;&gt;"Passed","Awaiting test",IF(OR(M7="",O7="",NOT(ISNUMBER(P7))),"Awaiting test evidence","Complete")))))))</ns0:f>
        <ns0:v>In progress</ns0:v>
      </ns0:c>
      <ns0:c r="I7" s="11" t="inlineStr">
        <ns0:is>
          <ns0:t xml:space="preserve">In progress</ns0:t>
        </ns0:is>
      </ns0:c>
      <ns0:c r="J7" s="11" t="inlineStr">
        <ns0:is>
          <ns0:t xml:space="preserve">Passed</ns0:t>
        </ns0:is>
      </ns0:c>
      <ns0:c r="K7" s="11" t="inlineStr">
        <ns0:is>
          <ns0: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ns0:t>
        </ns0:is>
      </ns0:c>
      <ns0:c r="L7" s="31" t="n">
        <ns0:v>46321</ns0:v>
      </ns0:c>
      <ns0:c r="M7" s="11" t="inlineStr">
        <ns0:is>
          <ns0:t xml:space="preserve">Developer</ns0:t>
        </ns0:is>
      </ns0:c>
      <ns0:c r="N7" s="11" t="inlineStr">
        <ns0:is>
          <ns0:t xml:space="preserve">Passed</ns0:t>
        </ns0:is>
      </ns0:c>
      <ns0:c r="O7" s="11" t="inlineStr">
        <ns0:is>
          <ns0: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ns0:t>
        </ns0:is>
      </ns0:c>
      <ns0:c r="P7" s="31" t="n">
        <ns0:v>46321</ns0:v>
      </ns0:c>
      <ns0:c r="Q7" s="11" t="inlineStr">
        <ns0:is>
          <ns0: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ns0:t>
        </ns0:is>
      </ns0:c>
      <ns0:c r="R7" s="11" t="inlineStr">
        <ns0:is>
          <ns0: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S7" s="11" t="n"/>
    </ns0:row>
    <ns0:row r="8" ht="105" customHeight="1">
      <ns0:c r="A8" s="4" t="n">
        <ns0:v>5</ns0:v>
      </ns0:c>
      <ns0:c r="B8" s="4" t="inlineStr">
        <ns0:is>
          <ns0:t xml:space="preserve">FB-005</ns0:t>
        </ns0:is>
      </ns0:c>
      <ns0:c r="C8" s="4" t="inlineStr">
        <ns0:is>
          <ns0:t xml:space="preserve">Access</ns0:t>
        </ns0:is>
      </ns0:c>
      <ns0:c r="D8" s="4" t="inlineStr">
        <ns0:is>
          <ns0:t xml:space="preserve">Connect login, logout and protected access</ns0:t>
        </ns0:is>
      </ns0:c>
      <ns0:c r="E8" s="4" t="inlineStr">
        <ns0:is>
          <ns0: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ns0:t>
        </ns0:is>
      </ns0:c>
      <ns0:c r="F8" s="4" t="inlineStr">
        <ns0:is>
          <ns0:t xml:space="preserve">FB-004</ns0:t>
        </ns0:is>
      </ns0:c>
      <ns0:c r="G8" s="4" t="str">
        <ns0:f>IF(H8="Complete","Complete",IF(I8="Blocked","Blocked",IF(I8="In progress","Ready",IF(F8="","Ready",IF(COUNTIFS($B$4:$B$73,F8,$H$4:$H$73,"Complete")=1,"Ready","Waiting")))))</ns0:f>
        <ns0:v>Ready</ns0:v>
      </ns0:c>
      <ns0:c r="H8" s="4" t="str">
        <ns0:f>IF(I8="Not started","Not started",IF(I8="Blocked","Blocked",IF(I8="In progress","In progress",IF(J8&lt;&gt;"Passed","Awaiting code review",IF(OR(K8="",NOT(ISNUMBER(L8))),"Awaiting review evidence",IF(N8&lt;&gt;"Passed","Awaiting test",IF(OR(M8="",O8="",NOT(ISNUMBER(P8))),"Awaiting test evidence","Complete")))))))</ns0:f>
        <ns0:v>In progress</ns0:v>
      </ns0:c>
      <ns0:c r="I8" s="10" t="inlineStr">
        <ns0:is>
          <ns0:t xml:space="preserve">In progress</ns0:t>
        </ns0:is>
      </ns0:c>
      <ns0:c r="J8" s="10" t="inlineStr">
        <ns0:is>
          <ns0:t xml:space="preserve">Needs changes</ns0:t>
        </ns0:is>
      </ns0:c>
      <ns0:c r="K8" s="10" t="inlineStr">
        <ns0:is>
          <ns0: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L8" s="30" t="n">
        <ns0:v>46321</ns0:v>
      </ns0:c>
      <ns0:c r="M8" s="10" t="inlineStr">
        <ns0:is>
          <ns0:t xml:space="preserve">Developer and assistant (delegated)</ns0:t>
        </ns0:is>
      </ns0:c>
      <ns0:c r="N8" s="10" t="inlineStr">
        <ns0:is>
          <ns0:t xml:space="preserve">Not tested</ns0:t>
        </ns0:is>
      </ns0:c>
      <ns0:c r="O8" s="10" t="inlineStr">
        <ns0:is>
          <ns0: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ns0:t>
        </ns0:is>
      </ns0:c>
      <ns0:c r="P8" s="30" t="n">
        <ns0:v>46321</ns0:v>
      </ns0:c>
      <ns0:c r="Q8" s="10" t="inlineStr">
        <ns0:is>
          <ns0: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R8" s="10" t="inlineStr">
        <ns0:is>
          <ns0: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8" s="10" t="n"/>
    </ns0:row>
    <ns0:row r="9" ht="105" customHeight="1">
      <ns0:c r="A9" s="9" t="n">
        <ns0:v>6</ns0:v>
      </ns0:c>
      <ns0:c r="B9" s="9" t="inlineStr">
        <ns0:is>
          <ns0:t xml:space="preserve">FB-016</ns0:t>
        </ns0:is>
      </ns0:c>
      <ns0:c r="C9" s="9" t="inlineStr">
        <ns0:is>
          <ns0:t xml:space="preserve">Accounts</ns0:t>
        </ns0:is>
      </ns0:c>
      <ns0:c r="D9" s="9" t="inlineStr">
        <ns0:is>
          <ns0:t xml:space="preserve">Display a create-user page and reactive fields</ns0:t>
        </ns0:is>
      </ns0:c>
      <ns0:c r="E9" s="9" t="inlineStr">
        <ns0:is>
          <ns0: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ns0:t>
        </ns0:is>
      </ns0:c>
      <ns0:c r="F9" s="9" t="inlineStr">
        <ns0:is>
          <ns0:t xml:space="preserve">FB-005</ns0:t>
        </ns0:is>
      </ns0:c>
      <ns0:c r="G9" s="9" t="str">
        <ns0:f>IF(H9="Complete","Complete",IF(I9="Blocked","Blocked",IF(I9="In progress","Ready",IF(F9="","Ready",IF(COUNTIFS($B$4:$B$73,F9,$H$4:$H$73,"Complete")=1,"Ready","Waiting")))))</ns0:f>
        <ns0:v>Ready</ns0:v>
      </ns0:c>
      <ns0:c r="H9" s="9" t="str">
        <ns0:f>IF(I9="Not started","Not started",IF(I9="Blocked","Blocked",IF(I9="In progress","In progress",IF(J9&lt;&gt;"Passed","Awaiting code review",IF(OR(K9="",NOT(ISNUMBER(L9))),"Awaiting review evidence",IF(N9&lt;&gt;"Passed","Awaiting test",IF(OR(M9="",O9="",NOT(ISNUMBER(P9))),"Awaiting test evidence","Complete")))))))</ns0:f>
        <ns0:v>In progress</ns0:v>
      </ns0:c>
      <ns0:c r="I9" s="11" t="inlineStr">
        <ns0:is>
          <ns0:t xml:space="preserve">In progress</ns0:t>
        </ns0:is>
      </ns0:c>
      <ns0:c r="J9" s="11" t="inlineStr">
        <ns0:is>
          <ns0:t xml:space="preserve">Changes needed</ns0:t>
        </ns0:is>
      </ns0:c>
      <ns0:c r="K9" s="11" t="inlineStr">
        <ns0:is>
          <ns0: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9" s="31" t="n">
        <ns0:v>46323.5</ns0:v>
      </ns0:c>
      <ns0:c r="M9" s="11" t="inlineStr">
        <ns0:is>
          <ns0:t xml:space="preserve">Assistant (explicitly delegated; prior developer evidence retained)</ns0:t>
        </ns0:is>
      </ns0:c>
      <ns0:c r="N9" s="11" t="inlineStr">
        <ns0:is>
          <ns0:t xml:space="preserve">Failed</ns0:t>
        </ns0:is>
      </ns0:c>
      <ns0:c r="O9" s="11" t="inlineStr">
        <ns0:is>
          <ns0: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9" s="31" t="n">
        <ns0:v>46323.5</ns0:v>
      </ns0:c>
      <ns0:c r="Q9" s="11" t="inlineStr">
        <ns0:is>
          <ns0: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ns0:t>
        </ns0:is>
      </ns0:c>
      <ns0:c r="R9" s="11"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9" s="11" t="n"/>
    </ns0:row>
    <ns0:row r="10" ht="105" customHeight="1">
      <ns0:c r="A10" s="4" t="n">
        <ns0:v>7</ns0:v>
      </ns0:c>
      <ns0:c r="B10" s="4" t="inlineStr">
        <ns0:is>
          <ns0:t xml:space="preserve">FB-017</ns0:t>
        </ns0:is>
      </ns0:c>
      <ns0:c r="C10" s="4" t="inlineStr">
        <ns0:is>
          <ns0:t xml:space="preserve">Accounts</ns0:t>
        </ns0:is>
      </ns0:c>
      <ns0:c r="D10" s="4" t="inlineStr">
        <ns0:is>
          <ns0:t xml:space="preserve">Arrange the create form and format Canadian phones</ns0:t>
        </ns0:is>
      </ns0:c>
      <ns0:c r="E10" s="4" t="inlineStr">
        <ns0:is>
          <ns0:t xml:space="preserve">Teach stacked-to-column layout. While typing, phone becomes +1 506-555-0123; ten digits after +1. Labels and field errors fit without overflow.</ns0:t>
        </ns0:is>
      </ns0:c>
      <ns0:c r="F10" s="4" t="inlineStr">
        <ns0:is>
          <ns0:t xml:space="preserve">FB-016</ns0:t>
        </ns0:is>
      </ns0:c>
      <ns0:c r="G10" s="4" t="str">
        <ns0:f>IF(H10="Complete","Complete",IF(I10="Blocked","Blocked",IF(I10="In progress","Ready",IF(F10="","Ready",IF(COUNTIFS($B$4:$B$73,F10,$H$4:$H$73,"Complete")=1,"Ready","Waiting")))))</ns0:f>
        <ns0:v>Ready</ns0:v>
      </ns0:c>
      <ns0:c r="H10" s="4" t="str">
        <ns0:f>IF(I10="Not started","Not started",IF(I10="Blocked","Blocked",IF(I10="In progress","In progress",IF(J10&lt;&gt;"Passed","Awaiting code review",IF(OR(K10="",NOT(ISNUMBER(L10))),"Awaiting review evidence",IF(N10&lt;&gt;"Passed","Awaiting test",IF(OR(M10="",O10="",NOT(ISNUMBER(P10))),"Awaiting test evidence","Complete")))))))</ns0:f>
        <ns0:v>In progress</ns0:v>
      </ns0:c>
      <ns0:c r="I10" s="10" t="inlineStr">
        <ns0:is>
          <ns0:t xml:space="preserve">In progress</ns0:t>
        </ns0:is>
      </ns0:c>
      <ns0:c r="J10" s="10" t="inlineStr">
        <ns0:is>
          <ns0:t xml:space="preserve">Changes needed</ns0:t>
        </ns0:is>
      </ns0:c>
      <ns0:c r="K10" s="10" t="inlineStr">
        <ns0:is>
          <ns0: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0" s="30" t="n">
        <ns0:v>46323.5</ns0:v>
      </ns0:c>
      <ns0:c r="M10" s="10" t="inlineStr">
        <ns0:is>
          <ns0:t xml:space="preserve">Assistant (explicitly delegated; prior developer evidence retained)</ns0:t>
        </ns0:is>
      </ns0:c>
      <ns0:c r="N10" s="10" t="inlineStr">
        <ns0:is>
          <ns0:t xml:space="preserve">Failed</ns0:t>
        </ns0:is>
      </ns0:c>
      <ns0:c r="O10" s="10" t="inlineStr">
        <ns0:is>
          <ns0: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0" s="30" t="n">
        <ns0:v>46323.5</ns0:v>
      </ns0:c>
      <ns0:c r="Q10" s="10" t="inlineStr">
        <ns0:is>
          <ns0: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ns0:t>
        </ns0:is>
      </ns0:c>
      <ns0:c r="R10" s="10"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10" s="10" t="n"/>
    </ns0:row>
    <ns0:row r="11" ht="105" customHeight="1">
      <ns0:c r="A11" s="9" t="n">
        <ns0:v>8</ns0:v>
      </ns0:c>
      <ns0:c r="B11" s="9" t="inlineStr">
        <ns0:is>
          <ns0:t xml:space="preserve">FB-018</ns0:t>
        </ns0:is>
      </ns0:c>
      <ns0:c r="C11" s="9" t="inlineStr">
        <ns0:is>
          <ns0:t xml:space="preserve">Accounts</ns0:t>
        </ns0:is>
      </ns0:c>
      <ns0:c r="D11" s="9" t="inlineStr">
        <ns0:is>
          <ns0:t xml:space="preserve">Generate meaningful unique usernames</ns0:t>
        </ns0:is>
      </ns0:c>
      <ns0:c r="E11" s="9" t="inlineStr">
        <ns0:is>
          <ns0:t xml:space="preserve">Lowercase first.last; remove spaces/hyphens/apostrophes and transliterate accents for username only. Collisions across all roles use .01, .02 etc. Unexpected symbols or unusable name parts block saving; no user.user fallback.</ns0:t>
        </ns0:is>
      </ns0:c>
      <ns0:c r="F11" s="9" t="inlineStr">
        <ns0:is>
          <ns0:t xml:space="preserve">FB-017</ns0:t>
        </ns0:is>
      </ns0:c>
      <ns0:c r="G11" s="9" t="str">
        <ns0:f>IF(H11="Complete","Complete",IF(I11="Blocked","Blocked",IF(I11="In progress","Ready",IF(F11="","Ready",IF(COUNTIFS($B$4:$B$73,F11,$H$4:$H$73,"Complete")=1,"Ready","Waiting")))))</ns0:f>
        <ns0:v>Ready</ns0:v>
      </ns0:c>
      <ns0:c r="H11" s="9" t="str">
        <ns0:f>IF(I11="Not started","Not started",IF(I11="Blocked","Blocked",IF(I11="In progress","In progress",IF(J11&lt;&gt;"Passed","Awaiting code review",IF(OR(K11="",NOT(ISNUMBER(L11))),"Awaiting review evidence",IF(N11&lt;&gt;"Passed","Awaiting test",IF(OR(M11="",O11="",NOT(ISNUMBER(P11))),"Awaiting test evidence","Complete")))))))</ns0:f>
        <ns0:v>In progress</ns0:v>
      </ns0:c>
      <ns0:c r="I11" s="11" t="inlineStr">
        <ns0:is>
          <ns0:t xml:space="preserve">In progress</ns0:t>
        </ns0:is>
      </ns0:c>
      <ns0:c r="J11" s="11" t="inlineStr">
        <ns0:is>
          <ns0:t xml:space="preserve">Changes needed</ns0:t>
        </ns0:is>
      </ns0:c>
      <ns0:c r="K11" s="11" t="inlineStr">
        <ns0:is>
          <ns0: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1" s="31" t="n">
        <ns0:v>46324</ns0:v>
      </ns0:c>
      <ns0:c r="M11" s="11" t="inlineStr">
        <ns0:is>
          <ns0:t xml:space="preserve">Assistant (delegated; browser Cancel user-assisted)</ns0:t>
        </ns0:is>
      </ns0:c>
      <ns0:c r="N11" s="11" t="inlineStr">
        <ns0:is>
          <ns0:t xml:space="preserve">Failed</ns0:t>
        </ns0:is>
      </ns0:c>
      <ns0:c r="O11" s="11" t="inlineStr">
        <ns0:is>
          <ns0: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1" s="31" t="n">
        <ns0:v>46324</ns0:v>
      </ns0:c>
      <ns0:c r="Q11" s="11" t="inlineStr">
        <ns0:is>
          <ns0: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ns0:t>
        </ns0:is>
      </ns0:c>
      <ns0:c r="R11" s="11" t="inlineStr">
        <ns0:is>
          <ns0: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ns0:t>
        </ns0:is>
      </ns0:c>
      <ns0:c r="S11" s="11" t="n"/>
    </ns0:row>
    <ns0:row r="12" ht="105" customHeight="1">
      <ns0:c r="A12" s="4" t="n">
        <ns0:v>9</ns0:v>
      </ns0:c>
      <ns0:c r="B12" s="4" t="inlineStr">
        <ns0:is>
          <ns0:t xml:space="preserve">FB-020</ns0:t>
        </ns0:is>
      </ns0:c>
      <ns0:c r="C12" s="4" t="inlineStr">
        <ns0:is>
          <ns0:t xml:space="preserve">Accounts</ns0:t>
        </ns0:is>
      </ns0:c>
      <ns0:c r="D12" s="4" t="inlineStr">
        <ns0:is>
          <ns0:t xml:space="preserve">Build the protected read-only account details page</ns0:t>
        </ns0:is>
      </ns0:c>
      <ns0:c r="E12" s="4" t="inlineStr">
        <ns0:is>
          <ns0: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ns0:t>
        </ns0:is>
      </ns0:c>
      <ns0:c r="F12" s="4" t="inlineStr">
        <ns0:is>
          <ns0:t xml:space="preserve">FB-018</ns0:t>
        </ns0:is>
      </ns0:c>
      <ns0:c r="G12" s="4" t="str">
        <ns0:f>IF(H12="Complete","Complete",IF(I12="Blocked","Blocked",IF(I12="In progress","Ready",IF(F12="","Ready",IF(COUNTIFS($B$4:$B$73,F12,$H$4:$H$73,"Complete")=1,"Ready","Waiting")))))</ns0:f>
        <ns0:v>Complete</ns0:v>
      </ns0:c>
      <ns0:c r="H12" s="4" t="str">
        <ns0:f>IF(I12="Not started","Not started",IF(I12="Blocked","Blocked",IF(I12="In progress","In progress",IF(J12&lt;&gt;"Passed","Awaiting code review",IF(OR(K12="",NOT(ISNUMBER(L12))),"Awaiting review evidence",IF(N12&lt;&gt;"Passed","Awaiting test",IF(OR(M12="",O12="",NOT(ISNUMBER(P12))),"Awaiting test evidence","Complete")))))))</ns0:f>
        <ns0:v>Complete</ns0:v>
      </ns0:c>
      <ns0:c r="I12" s="10" t="inlineStr">
        <ns0:is>
          <ns0:t xml:space="preserve">Ready for review</ns0:t>
        </ns0:is>
      </ns0:c>
      <ns0:c r="J12" s="10" t="inlineStr">
        <ns0:is>
          <ns0:t xml:space="preserve">Passed</ns0:t>
        </ns0:is>
      </ns0:c>
      <ns0:c r="K12" s="10" t="inlineStr">
        <ns0:is>
          <ns0: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2" s="30" t="n">
        <ns0:v>46323.5</ns0:v>
      </ns0:c>
      <ns0:c r="M12" s="10" t="inlineStr">
        <ns0:is>
          <ns0:t xml:space="preserve">Assistant (delegated) and Developer</ns0:t>
        </ns0:is>
      </ns0:c>
      <ns0:c r="N12" s="10" t="inlineStr">
        <ns0:is>
          <ns0:t xml:space="preserve">Passed</ns0:t>
        </ns0:is>
      </ns0:c>
      <ns0:c r="O12" s="10" t="inlineStr">
        <ns0:is>
          <ns0: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2" s="30" t="n">
        <ns0:v>46323.5</ns0:v>
      </ns0:c>
      <ns0:c r="Q12" s="10" t="inlineStr">
        <ns0:is>
          <ns0: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ns0:t>
        </ns0:is>
      </ns0:c>
      <ns0:c r="R12" s="10" t="inlineStr">
        <ns0:is>
          <ns0: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ns0:t>
        </ns0:is>
      </ns0:c>
      <ns0:c r="S12" s="10" t="n"/>
    </ns0:row>
    <ns0:row r="13" ht="105" customHeight="1">
      <ns0:c r="A13" s="9" t="n">
        <ns0:v>10</ns0:v>
      </ns0:c>
      <ns0:c r="B13" s="9" t="inlineStr">
        <ns0:is>
          <ns0:t xml:space="preserve">FB-019</ns0:t>
        </ns0:is>
      </ns0:c>
      <ns0:c r="C13" s="9" t="inlineStr">
        <ns0:is>
          <ns0:t xml:space="preserve">Accounts</ns0:t>
        </ns0:is>
      </ns0:c>
      <ns0:c r="D13" s="9" t="inlineStr">
        <ns0:is>
          <ns0: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ns0:t>
        </ns0:is>
      </ns0:c>
      <ns0:c r="E13" s="9" t="inlineStr">
        <ns0:is>
          <ns0: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ns0:t>
        </ns0:is>
      </ns0:c>
      <ns0:c r="F13" s="9" t="inlineStr">
        <ns0:is>
          <ns0:t xml:space="preserve">FB-020</ns0:t>
        </ns0:is>
      </ns0:c>
      <ns0:c r="G13" s="9" t="str">
        <ns0:f>IF(H13="Complete","Complete",IF(I13="Blocked","Blocked",IF(I13="In progress","Ready",IF(F13="","Ready",IF(COUNTIFS($B$4:$B$73,F13,$H$4:$H$73,"Complete")=1,"Ready","Waiting")))))</ns0:f>
        <ns0:v>Ready</ns0:v>
      </ns0:c>
      <ns0:c r="H13" s="9" t="str">
        <ns0:f>IF(I13="Not started","Not started",IF(I13="Blocked","Blocked",IF(I13="In progress","In progress",IF(J13&lt;&gt;"Passed","Awaiting code review",IF(OR(K13="",NOT(ISNUMBER(L13))),"Awaiting review evidence",IF(N13&lt;&gt;"Passed","Awaiting test",IF(OR(M13="",O13="",NOT(ISNUMBER(P13))),"Awaiting test evidence","Complete")))))))</ns0:f>
        <ns0:v>In progress</ns0:v>
      </ns0:c>
      <ns0:c r="I13" s="11" t="inlineStr">
        <ns0:is>
          <ns0:t xml:space="preserve">In progress</ns0:t>
        </ns0:is>
      </ns0:c>
      <ns0:c r="J13" s="11" t="inlineStr">
        <ns0:is>
          <ns0:t xml:space="preserve">Changes needed</ns0:t>
        </ns0:is>
      </ns0:c>
      <ns0:c r="K13" s="11" t="inlineStr">
        <ns0:is>
          <ns0: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3" s="31" t="n">
        <ns0:v>46324</ns0:v>
      </ns0:c>
      <ns0:c r="M13" s="11" t="inlineStr">
        <ns0:is>
          <ns0:t xml:space="preserve">Assistant (delegated; browser Cancel user-assisted)</ns0:t>
        </ns0:is>
      </ns0:c>
      <ns0:c r="N13" s="11" t="inlineStr">
        <ns0:is>
          <ns0:t xml:space="preserve">Failed</ns0:t>
        </ns0:is>
      </ns0:c>
      <ns0:c r="O13" s="11" t="inlineStr">
        <ns0:is>
          <ns0: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3" s="31" t="n">
        <ns0:v>46324</ns0:v>
      </ns0:c>
      <ns0:c r="Q13" s="11" t="inlineStr">
        <ns0:is>
          <ns0: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ns0:t>
        </ns0:is>
      </ns0:c>
      <ns0:c r="R13" s="11"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13" s="11" t="n"/>
    </ns0:row>
    <ns0:row r="14" ht="105" customHeight="1">
      <ns0:c r="A14" s="4" t="n">
        <ns0:v>11</ns0:v>
      </ns0:c>
      <ns0:c r="B14" s="4" t="inlineStr">
        <ns0:is>
          <ns0:t xml:space="preserve">FB-006</ns0:t>
        </ns0:is>
      </ns0:c>
      <ns0:c r="C14" s="4" t="inlineStr">
        <ns0:is>
          <ns0:t xml:space="preserve">Access</ns0:t>
        </ns0:is>
      </ns0:c>
      <ns0:c r="D14" s="4" t="inlineStr">
        <ns0:is>
          <ns0:t xml:space="preserve">Build the required personal-password setup screen</ns0:t>
        </ns0:is>
      </ns0:c>
      <ns0:c r="E14" s="4" t="inlineStr">
        <ns0:is>
          <ns0: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ns0:t>
        </ns0:is>
      </ns0:c>
      <ns0:c r="F14" s="4" t="inlineStr">
        <ns0:is>
          <ns0:t xml:space="preserve">FB-019</ns0:t>
        </ns0:is>
      </ns0:c>
      <ns0:c r="G14" s="4" t="str">
        <ns0:f>IF(H14="Complete","Complete",IF(I14="Blocked","Blocked",IF(I14="In progress","Ready",IF(F14="","Ready",IF(COUNTIFS($B$4:$B$73,F14,$H$4:$H$73,"Complete")=1,"Ready","Waiting")))))</ns0:f>
        <ns0:v>Ready</ns0:v>
      </ns0:c>
      <ns0:c r="H14" s="4" t="str">
        <ns0:f>IF(I14="Not started","Not started",IF(I14="Blocked","Blocked",IF(I14="In progress","In progress",IF(J14&lt;&gt;"Passed","Awaiting code review",IF(OR(K14="",NOT(ISNUMBER(L14))),"Awaiting review evidence",IF(N14&lt;&gt;"Passed","Awaiting test",IF(OR(M14="",O14="",NOT(ISNUMBER(P14))),"Awaiting test evidence","Complete")))))))</ns0:f>
        <ns0:v>In progress</ns0:v>
      </ns0:c>
      <ns0:c r="I14" s="10" t="inlineStr">
        <ns0:is>
          <ns0:t xml:space="preserve">In progress</ns0:t>
        </ns0:is>
      </ns0:c>
      <ns0:c r="J14" s="10" t="inlineStr">
        <ns0:is>
          <ns0:t xml:space="preserve">Changes needed</ns0:t>
        </ns0:is>
      </ns0:c>
      <ns0:c r="K14" s="10" t="inlineStr">
        <ns0:is>
          <ns0: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ns0:t>
        </ns0:is>
      </ns0:c>
      <ns0:c r="L14" s="30" t="n">
        <ns0:v>46322</ns0:v>
      </ns0:c>
      <ns0:c r="M14" s="10" t="inlineStr">
        <ns0:is>
          <ns0:t xml:space="preserve">Assistant (delegated)</ns0:t>
        </ns0:is>
      </ns0:c>
      <ns0:c r="N14" s="10" t="inlineStr">
        <ns0:is>
          <ns0:t xml:space="preserve">Failed</ns0:t>
        </ns0:is>
      </ns0:c>
      <ns0:c r="O14" s="10" t="inlineStr">
        <ns0:is>
          <ns0: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ns0:t>
        </ns0:is>
      </ns0:c>
      <ns0:c r="P14" s="30" t="n">
        <ns0:v>46322</ns0:v>
      </ns0:c>
      <ns0:c r="Q14" s="10" t="inlineStr">
        <ns0:is>
          <ns0: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ns0:t>
        </ns0:is>
      </ns0:c>
      <ns0:c r="R14" s="10" t="inlineStr">
        <ns0:is>
          <ns0: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4" s="10" t="n"/>
    </ns0:row>
    <ns0:row r="15" ht="105" customHeight="1">
      <ns0:c r="A15" s="9" t="n">
        <ns0:v>12</ns0:v>
      </ns0:c>
      <ns0:c r="B15" s="9" t="inlineStr">
        <ns0:is>
          <ns0:t xml:space="preserve">FB-007</ns0:t>
        </ns0:is>
      </ns0:c>
      <ns0:c r="C15" s="9" t="inlineStr">
        <ns0:is>
          <ns0:t xml:space="preserve">Access</ns0:t>
        </ns0:is>
      </ns0:c>
      <ns0:c r="D15" s="9" t="inlineStr">
        <ns0:is>
          <ns0:t xml:space="preserve">Save the initial personal password and require login again</ns0:t>
        </ns0:is>
      </ns0:c>
      <ns0:c r="E15" s="9" t="inlineStr">
        <ns0:is>
          <ns0: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ns0:t>
        </ns0:is>
      </ns0:c>
      <ns0:c r="F15" s="9" t="inlineStr">
        <ns0:is>
          <ns0:t xml:space="preserve">FB-006</ns0:t>
        </ns0:is>
      </ns0:c>
      <ns0:c r="G15" s="9" t="str">
        <ns0:f>IF(H15="Complete","Complete",IF(I15="Blocked","Blocked",IF(I15="In progress","Ready",IF(F15="","Ready",IF(COUNTIFS($B$4:$B$73,F15,$H$4:$H$73,"Complete")=1,"Ready","Waiting")))))</ns0:f>
        <ns0:v>Ready</ns0:v>
      </ns0:c>
      <ns0:c r="H15" s="9" t="str">
        <ns0:f>IF(I15="Not started","Not started",IF(I15="Blocked","Blocked",IF(I15="In progress","In progress",IF(J15&lt;&gt;"Passed","Awaiting code review",IF(OR(K15="",NOT(ISNUMBER(L15))),"Awaiting review evidence",IF(N15&lt;&gt;"Passed","Awaiting test",IF(OR(M15="",O15="",NOT(ISNUMBER(P15))),"Awaiting test evidence","Complete")))))))</ns0:f>
        <ns0:v>In progress</ns0:v>
      </ns0:c>
      <ns0:c r="I15" s="11" t="inlineStr">
        <ns0:is>
          <ns0:t xml:space="preserve">In progress</ns0:t>
        </ns0:is>
      </ns0:c>
      <ns0:c r="J15" s="11" t="inlineStr">
        <ns0:is>
          <ns0:t xml:space="preserve">Changes needed</ns0:t>
        </ns0:is>
      </ns0:c>
      <ns0:c r="K15" s="11" t="inlineStr">
        <ns0:is>
          <ns0: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ns0:t>
        </ns0:is>
      </ns0:c>
      <ns0:c r="L15" s="31" t="n">
        <ns0:v>46322</ns0:v>
      </ns0:c>
      <ns0:c r="M15" s="11" t="inlineStr">
        <ns0:is>
          <ns0:t xml:space="preserve">Assistant (delegated)</ns0:t>
        </ns0:is>
      </ns0:c>
      <ns0:c r="N15" s="11" t="inlineStr">
        <ns0:is>
          <ns0:t xml:space="preserve">Failed</ns0:t>
        </ns0:is>
      </ns0:c>
      <ns0:c r="O15" s="11" t="inlineStr">
        <ns0:is>
          <ns0: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ns0:t>
        </ns0:is>
      </ns0:c>
      <ns0:c r="P15" s="31" t="n">
        <ns0:v>46322</ns0:v>
      </ns0:c>
      <ns0:c r="Q15" s="11" t="inlineStr">
        <ns0:is>
          <ns0: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ns0:t>
        </ns0:is>
      </ns0:c>
      <ns0:c r="R15" s="11" t="inlineStr">
        <ns0:is>
          <ns0: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5" s="11" t="n"/>
    </ns0:row>
    <ns0:row r="16" ht="105" customHeight="1">
      <ns0:c r="A16" s="4" t="n">
        <ns0:v>13</ns0:v>
      </ns0:c>
      <ns0:c r="B16" s="4" t="inlineStr">
        <ns0:is>
          <ns0:t xml:space="preserve">FB-024</ns0:t>
        </ns0:is>
      </ns0:c>
      <ns0:c r="C16" s="4" t="inlineStr">
        <ns0:is>
          <ns0:t xml:space="preserve">Accounts</ns0:t>
        </ns0:is>
      </ns0:c>
      <ns0:c r="D16" s="4" t="inlineStr">
        <ns0:is>
          <ns0:t xml:space="preserve">Change the signed-in user’s password</ns0:t>
        </ns0:is>
      </ns0:c>
      <ns0:c r="E16" s="4" t="inlineStr">
        <ns0:is>
          <ns0: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ns0:t>
        </ns0:is>
      </ns0:c>
      <ns0:c r="F16" s="4" t="inlineStr">
        <ns0:is>
          <ns0:t xml:space="preserve">FB-007</ns0:t>
        </ns0:is>
      </ns0:c>
      <ns0:c r="G16" s="4" t="str">
        <ns0:f>IF(H16="Complete","Complete",IF(I16="Blocked","Blocked",IF(I16="In progress","Ready",IF(F16="","Ready",IF(COUNTIFS($B$4:$B$73,F16,$H$4:$H$73,"Complete")=1,"Ready","Waiting")))))</ns0:f>
        <ns0:v>Ready</ns0:v>
      </ns0:c>
      <ns0:c r="H16" s="4" t="str">
        <ns0:f>IF(I16="Not started","Not started",IF(I16="Blocked","Blocked",IF(I16="In progress","In progress",IF(J16&lt;&gt;"Passed","Awaiting code review",IF(OR(K16="",NOT(ISNUMBER(L16))),"Awaiting review evidence",IF(N16&lt;&gt;"Passed","Awaiting test",IF(OR(M16="",O16="",NOT(ISNUMBER(P16))),"Awaiting test evidence","Complete")))))))</ns0:f>
        <ns0:v>In progress</ns0:v>
      </ns0:c>
      <ns0:c r="I16" s="10" t="inlineStr">
        <ns0:is>
          <ns0:t xml:space="preserve">In progress</ns0:t>
        </ns0:is>
      </ns0:c>
      <ns0:c r="J16" s="10" t="inlineStr">
        <ns0:is>
          <ns0:t xml:space="preserve">Not reviewed</ns0:t>
        </ns0:is>
      </ns0:c>
      <ns0:c r="K16" s="10" t="n"/>
      <ns0:c r="L16" s="30" t="n"/>
      <ns0:c r="M16" s="10" t="n"/>
      <ns0:c r="N16" s="10" t="inlineStr">
        <ns0:is>
          <ns0:t xml:space="preserve">Not tested</ns0:t>
        </ns0:is>
      </ns0:c>
      <ns0:c r="O16" s="10" t="n"/>
      <ns0:c r="P16" s="30" t="n"/>
      <ns0:c r="Q16" s="10" t="inlineStr">
        <ns0:is>
          <ns0: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R16" s="10" t="inlineStr">
        <ns0:is>
          <ns0: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6" s="10" t="n"/>
    </ns0:row>
    <ns0:row r="17" ht="105" customHeight="1">
      <ns0:c r="A17" s="9" t="n">
        <ns0:v>14</ns0:v>
      </ns0:c>
      <ns0:c r="B17" s="9" t="inlineStr">
        <ns0:is>
          <ns0:t xml:space="preserve">FB-009</ns0:t>
        </ns0:is>
      </ns0:c>
      <ns0:c r="C17" s="9" t="inlineStr">
        <ns0:is>
          <ns0:t xml:space="preserve">Accounts</ns0:t>
        </ns0:is>
      </ns0:c>
      <ns0:c r="D17" s="9" t="inlineStr">
        <ns0:is>
          <ns0:t xml:space="preserve">Display the unfiltered user lists</ns0:t>
        </ns0:is>
      </ns0:c>
      <ns0:c r="E17" s="9" t="inlineStr">
        <ns0:is>
          <ns0:t xml:space="preserve">Shared directory available to every signed-in user; all three roles, active and inactive. SIX separate columns First name, Last name, Email, Phone, Role, Status. Fictional props/loops/stable keys first. Separate full-details/management permissions. No pictures now. REQ-041.</ns0:t>
        </ns0:is>
      </ns0:c>
      <ns0:c r="F17" s="9" t="inlineStr">
        <ns0:is>
          <ns0:t xml:space="preserve">FB-024</ns0:t>
        </ns0:is>
      </ns0:c>
      <ns0:c r="G17" s="9" t="str">
        <ns0:f>IF(H17="Complete","Complete",IF(I17="Blocked","Blocked",IF(I17="In progress","Ready",IF(F17="","Ready",IF(COUNTIFS($B$4:$B$73,F17,$H$4:$H$73,"Complete")=1,"Ready","Waiting")))))</ns0:f>
        <ns0:v>Ready</ns0:v>
      </ns0:c>
      <ns0:c r="H17" s="9" t="str">
        <ns0:f>IF(I17="Not started","Not started",IF(I17="Blocked","Blocked",IF(I17="In progress","In progress",IF(J17&lt;&gt;"Passed","Awaiting code review",IF(OR(K17="",NOT(ISNUMBER(L17))),"Awaiting review evidence",IF(N17&lt;&gt;"Passed","Awaiting test",IF(OR(M17="",O17="",NOT(ISNUMBER(P17))),"Awaiting test evidence","Complete")))))))</ns0:f>
        <ns0:v>In progress</ns0:v>
      </ns0:c>
      <ns0:c r="I17" s="11" t="inlineStr">
        <ns0:is>
          <ns0:t xml:space="preserve">In progress</ns0:t>
        </ns0:is>
      </ns0:c>
      <ns0:c r="J17" s="11" t="inlineStr">
        <ns0:is>
          <ns0:t xml:space="preserve">Changes needed</ns0:t>
        </ns0:is>
      </ns0:c>
      <ns0:c r="K17"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7" s="31" t="n">
        <ns0:v>46324</ns0:v>
      </ns0:c>
      <ns0:c r="M17" s="11" t="inlineStr">
        <ns0:is>
          <ns0:t xml:space="preserve">Developer</ns0:t>
        </ns0:is>
      </ns0:c>
      <ns0:c r="N17" s="11" t="inlineStr">
        <ns0:is>
          <ns0:t xml:space="preserve">Partial</ns0:t>
        </ns0:is>
      </ns0:c>
      <ns0:c r="O17" s="11" t="inlineStr">
        <ns0:is>
          <ns0: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7" s="31" t="inlineStr">
        <ns0:is>
          <ns0:t xml:space="preserve">2026-10-29</ns0:t>
        </ns0:is>
      </ns0:c>
      <ns0:c r="Q17" s="11" t="inlineStr">
        <ns0:is>
          <ns0: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7"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7" s="11" t="n"/>
    </ns0:row>
    <ns0:row r="18" ht="105" customHeight="1">
      <ns0:c r="A18" s="4" t="n">
        <ns0:v>15</ns0:v>
      </ns0:c>
      <ns0:c r="B18" s="4" t="inlineStr">
        <ns0:is>
          <ns0:t xml:space="preserve">FB-010</ns0:t>
        </ns0:is>
      </ns0:c>
      <ns0:c r="C18" s="4" t="inlineStr">
        <ns0:is>
          <ns0:t xml:space="preserve">Accounts</ns0:t>
        </ns0:is>
      </ns0:c>
      <ns0:c r="D18" s="4" t="inlineStr">
        <ns0:is>
          <ns0:t xml:space="preserve">Lay out the lists and toolbar</ns0:t>
        </ns0:is>
      </ns0:c>
      <ns0:c r="E18" s="4" t="inlineStr">
        <ns0:is>
          <ns0: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ns0:t>
        </ns0:is>
      </ns0:c>
      <ns0:c r="F18" s="4" t="inlineStr">
        <ns0:is>
          <ns0:t xml:space="preserve">FB-009</ns0:t>
        </ns0:is>
      </ns0:c>
      <ns0:c r="G18" s="4" t="str">
        <ns0:f>IF(H18="Complete","Complete",IF(I18="Blocked","Blocked",IF(I18="In progress","Ready",IF(F18="","Ready",IF(COUNTIFS($B$4:$B$73,F18,$H$4:$H$73,"Complete")=1,"Ready","Waiting")))))</ns0:f>
        <ns0:v>Ready</ns0:v>
      </ns0:c>
      <ns0:c r="H18" s="4" t="str">
        <ns0:f>IF(I18="Not started","Not started",IF(I18="Blocked","Blocked",IF(I18="In progress","In progress",IF(J18&lt;&gt;"Passed","Awaiting code review",IF(OR(K18="",NOT(ISNUMBER(L18))),"Awaiting review evidence",IF(N18&lt;&gt;"Passed","Awaiting test",IF(OR(M18="",O18="",NOT(ISNUMBER(P18))),"Awaiting test evidence","Complete")))))))</ns0:f>
        <ns0:v>In progress</ns0:v>
      </ns0:c>
      <ns0:c r="I18" s="10" t="inlineStr">
        <ns0:is>
          <ns0:t xml:space="preserve">In progress</ns0:t>
        </ns0:is>
      </ns0:c>
      <ns0:c r="J18" s="10" t="inlineStr">
        <ns0:is>
          <ns0:t xml:space="preserve">Not reviewed</ns0:t>
        </ns0:is>
      </ns0:c>
      <ns0:c r="K18"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8" s="30" t="n">
        <ns0:v>46324</ns0:v>
      </ns0:c>
      <ns0:c r="M18" s="10" t="inlineStr">
        <ns0:is>
          <ns0:t xml:space="preserve">Developer</ns0:t>
        </ns0:is>
      </ns0:c>
      <ns0:c r="N18" s="10" t="inlineStr">
        <ns0:is>
          <ns0:t xml:space="preserve">Partial</ns0:t>
        </ns0:is>
      </ns0:c>
      <ns0:c r="O18" s="10" t="inlineStr">
        <ns0:is>
          <ns0: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8" s="30" t="n"/>
      <ns0:c r="Q18" s="10" t="inlineStr">
        <ns0:is>
          <ns0: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8"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8" s="10" t="n"/>
    </ns0:row>
    <ns0:row r="19" ht="105" customHeight="1">
      <ns0:c r="A19" s="9" t="n">
        <ns0:v>16</ns0:v>
      </ns0:c>
      <ns0:c r="B19" s="9" t="inlineStr">
        <ns0:is>
          <ns0:t xml:space="preserve">FB-011</ns0:t>
        </ns0:is>
      </ns0:c>
      <ns0:c r="C19" s="9" t="inlineStr">
        <ns0:is>
          <ns0:t xml:space="preserve">Accounts</ns0:t>
        </ns0:is>
      </ns0:c>
      <ns0:c r="D19" s="9" t="inlineStr">
        <ns0:is>
          <ns0:t xml:space="preserve">Add account search</ns0:t>
        </ns0:is>
      </ns0:c>
      <ns0:c r="E19" s="9" t="inlineStr">
        <ns0:is>
          <ns0: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ns0:t>
        </ns0:is>
      </ns0:c>
      <ns0:c r="F19" s="9" t="inlineStr">
        <ns0:is>
          <ns0:t xml:space="preserve">FB-010</ns0:t>
        </ns0:is>
      </ns0:c>
      <ns0:c r="G19" s="9" t="str">
        <ns0:f>IF(H19="Complete","Complete",IF(I19="Blocked","Blocked",IF(I19="In progress","Ready",IF(F19="","Ready",IF(COUNTIFS($B$4:$B$73,F19,$H$4:$H$73,"Complete")=1,"Ready","Waiting")))))</ns0:f>
        <ns0:v>Ready</ns0:v>
      </ns0:c>
      <ns0:c r="H19" s="9" t="str">
        <ns0:f>IF(I19="Not started","Not started",IF(I19="Blocked","Blocked",IF(I19="In progress","In progress",IF(J19&lt;&gt;"Passed","Awaiting code review",IF(OR(K19="",NOT(ISNUMBER(L19))),"Awaiting review evidence",IF(N19&lt;&gt;"Passed","Awaiting test",IF(OR(M19="",O19="",NOT(ISNUMBER(P19))),"Awaiting test evidence","Complete")))))))</ns0:f>
        <ns0:v>In progress</ns0:v>
      </ns0:c>
      <ns0:c r="I19" s="11" t="inlineStr">
        <ns0:is>
          <ns0:t xml:space="preserve">In progress</ns0:t>
        </ns0:is>
      </ns0:c>
      <ns0:c r="J19" s="11" t="inlineStr">
        <ns0:is>
          <ns0:t xml:space="preserve">Changes needed</ns0:t>
        </ns0:is>
      </ns0:c>
      <ns0:c r="K19"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9" s="31" t="n">
        <ns0:v>46324</ns0:v>
      </ns0:c>
      <ns0:c r="M19" s="11" t="inlineStr">
        <ns0:is>
          <ns0:t xml:space="preserve">Developer</ns0:t>
        </ns0:is>
      </ns0:c>
      <ns0:c r="N19" s="11" t="inlineStr">
        <ns0:is>
          <ns0:t xml:space="preserve">Partial</ns0:t>
        </ns0:is>
      </ns0:c>
      <ns0:c r="O19" s="11" t="inlineStr">
        <ns0:is>
          <ns0: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9" s="31" t="n"/>
      <ns0:c r="Q19" s="11" t="inlineStr">
        <ns0:is>
          <ns0: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9"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9" s="11" t="n"/>
    </ns0:row>
    <ns0:row r="20" ht="105" customHeight="1">
      <ns0:c r="A20" s="4" t="n">
        <ns0:v>17</ns0:v>
      </ns0:c>
      <ns0:c r="B20" s="4" t="inlineStr">
        <ns0:is>
          <ns0:t xml:space="preserve">FB-012</ns0:t>
        </ns0:is>
      </ns0:c>
      <ns0:c r="C20" s="4" t="inlineStr">
        <ns0:is>
          <ns0:t xml:space="preserve">Accounts</ns0:t>
        </ns0:is>
      </ns0:c>
      <ns0:c r="D20" s="4" t="inlineStr">
        <ns0:is>
          <ns0:t xml:space="preserve">Extend directory search to partial role names</ns0:t>
        </ns0:is>
      </ns0:c>
      <ns0:c r="E20" s="4" t="inlineStr">
        <ns0:is>
          <ns0:t xml:space="preserve">Same single search box matches role labels as well as first name, last name, email or phone. manager, mana and manag find Managers. Search applies before pagination; no separate status or role dropdown. Related rule: REQ-041.</ns0:t>
        </ns0:is>
      </ns0:c>
      <ns0:c r="F20" s="4" t="inlineStr">
        <ns0:is>
          <ns0:t xml:space="preserve">FB-011</ns0:t>
        </ns0:is>
      </ns0:c>
      <ns0:c r="G20" s="4" t="str">
        <ns0:f>IF(H20="Complete","Complete",IF(I20="Blocked","Blocked",IF(I20="In progress","Ready",IF(F20="","Ready",IF(COUNTIFS($B$4:$B$73,F20,$H$4:$H$73,"Complete")=1,"Ready","Waiting")))))</ns0:f>
        <ns0:v>Ready</ns0:v>
      </ns0:c>
      <ns0:c r="H20" s="4" t="str">
        <ns0:f>IF(I20="Not started","Not started",IF(I20="Blocked","Blocked",IF(I20="In progress","In progress",IF(J20&lt;&gt;"Passed","Awaiting code review",IF(OR(K20="",NOT(ISNUMBER(L20))),"Awaiting review evidence",IF(N20&lt;&gt;"Passed","Awaiting test",IF(OR(M20="",O20="",NOT(ISNUMBER(P20))),"Awaiting test evidence","Complete")))))))</ns0:f>
        <ns0:v>In progress</ns0:v>
      </ns0:c>
      <ns0:c r="I20" s="10" t="inlineStr">
        <ns0:is>
          <ns0:t xml:space="preserve">In progress</ns0:t>
        </ns0:is>
      </ns0:c>
      <ns0:c r="J20" s="10" t="inlineStr">
        <ns0:is>
          <ns0:t xml:space="preserve">Changes needed</ns0:t>
        </ns0:is>
      </ns0:c>
      <ns0:c r="K20"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0" s="30" t="n">
        <ns0:v>46324</ns0:v>
      </ns0:c>
      <ns0:c r="M20" s="10" t="inlineStr">
        <ns0:is>
          <ns0:t xml:space="preserve">Developer</ns0:t>
        </ns0:is>
      </ns0:c>
      <ns0:c r="N20" s="10" t="inlineStr">
        <ns0:is>
          <ns0:t xml:space="preserve">Partial</ns0:t>
        </ns0:is>
      </ns0:c>
      <ns0:c r="O20" s="10" t="inlineStr">
        <ns0:is>
          <ns0: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0" s="30" t="n"/>
      <ns0:c r="Q20" s="10" t="inlineStr">
        <ns0:is>
          <ns0: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0"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0" s="10" t="n"/>
    </ns0:row>
    <ns0:row r="21" ht="105" customHeight="1">
      <ns0:c r="A21" s="9" t="n">
        <ns0:v>18</ns0:v>
      </ns0:c>
      <ns0:c r="B21" s="9" t="inlineStr">
        <ns0:is>
          <ns0:t xml:space="preserve">FB-013</ns0:t>
        </ns0:is>
      </ns0:c>
      <ns0:c r="C21" s="9" t="inlineStr">
        <ns0:is>
          <ns0:t xml:space="preserve">Accounts</ns0:t>
        </ns0:is>
      </ns0:c>
      <ns0:c r="D21" s="9" t="inlineStr">
        <ns0:is>
          <ns0:t xml:space="preserve">Handle cleared searches and no matching users</ns0:t>
        </ns0:is>
      </ns0:c>
      <ns0:c r="E21" s="9" t="inlineStr">
        <ns0:is>
          <ns0:t xml:space="preserve">Clearing the single search restores the full permitted directory; a search with no matches displays an understandable empty result. Include contact and partial-role searches. No separate role/status dropdowns. Related rule: REQ-041.</ns0:t>
        </ns0:is>
      </ns0:c>
      <ns0:c r="F21" s="9" t="inlineStr">
        <ns0:is>
          <ns0:t xml:space="preserve">FB-012</ns0:t>
        </ns0:is>
      </ns0:c>
      <ns0:c r="G21" s="9" t="str">
        <ns0:f>IF(H21="Complete","Complete",IF(I21="Blocked","Blocked",IF(I21="In progress","Ready",IF(F21="","Ready",IF(COUNTIFS($B$4:$B$73,F21,$H$4:$H$73,"Complete")=1,"Ready","Waiting")))))</ns0:f>
        <ns0:v>Ready</ns0:v>
      </ns0:c>
      <ns0:c r="H21" s="9" t="str">
        <ns0:f>IF(I21="Not started","Not started",IF(I21="Blocked","Blocked",IF(I21="In progress","In progress",IF(J21&lt;&gt;"Passed","Awaiting code review",IF(OR(K21="",NOT(ISNUMBER(L21))),"Awaiting review evidence",IF(N21&lt;&gt;"Passed","Awaiting test",IF(OR(M21="",O21="",NOT(ISNUMBER(P21))),"Awaiting test evidence","Complete")))))))</ns0:f>
        <ns0:v>In progress</ns0:v>
      </ns0:c>
      <ns0:c r="I21" s="11" t="inlineStr">
        <ns0:is>
          <ns0:t xml:space="preserve">In progress</ns0:t>
        </ns0:is>
      </ns0:c>
      <ns0:c r="J21" s="11" t="inlineStr">
        <ns0:is>
          <ns0:t xml:space="preserve">Changes needed</ns0:t>
        </ns0:is>
      </ns0:c>
      <ns0:c r="K21"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1" s="31" t="n">
        <ns0:v>46324</ns0:v>
      </ns0:c>
      <ns0:c r="M21" s="11" t="inlineStr">
        <ns0:is>
          <ns0:t xml:space="preserve">Developer</ns0:t>
        </ns0:is>
      </ns0:c>
      <ns0:c r="N21" s="11" t="inlineStr">
        <ns0:is>
          <ns0:t xml:space="preserve">Passed</ns0:t>
        </ns0:is>
      </ns0:c>
      <ns0:c r="O21" s="11" t="inlineStr">
        <ns0:is>
          <ns0: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1" s="31" t="n">
        <ns0:v>46324</ns0:v>
      </ns0:c>
      <ns0:c r="Q21" s="11" t="inlineStr">
        <ns0:is>
          <ns0: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1"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1" s="11" t="n"/>
    </ns0:row>
    <ns0:row r="22" ht="105" customHeight="1">
      <ns0:c r="A22" s="4" t="n">
        <ns0:v>19</ns0:v>
      </ns0:c>
      <ns0:c r="B22" s="4" t="inlineStr">
        <ns0:is>
          <ns0:t xml:space="preserve">FB-014</ns0:t>
        </ns0:is>
      </ns0:c>
      <ns0:c r="C22" s="4" t="inlineStr">
        <ns0:is>
          <ns0:t xml:space="preserve">Accounts</ns0:t>
        </ns0:is>
      </ns0:c>
      <ns0:c r="D22" s="4" t="inlineStr">
        <ns0:is>
          <ns0:t xml:space="preserve">Paginate the user lists</ns0:t>
        </ns0:is>
      </ns0:c>
      <ns0:c r="E22" s="4" t="inlineStr">
        <ns0:is>
          <ns0: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ns0:t>
        </ns0:is>
      </ns0:c>
      <ns0:c r="F22" s="4" t="inlineStr">
        <ns0:is>
          <ns0:t xml:space="preserve">FB-013</ns0:t>
        </ns0:is>
      </ns0:c>
      <ns0:c r="G22" s="4" t="str">
        <ns0:f>IF(H22="Complete","Complete",IF(I22="Blocked","Blocked",IF(I22="In progress","Ready",IF(F22="","Ready",IF(COUNTIFS($B$4:$B$73,F22,$H$4:$H$73,"Complete")=1,"Ready","Waiting")))))</ns0:f>
        <ns0:v>Ready</ns0:v>
      </ns0:c>
      <ns0:c r="H22" s="4" t="str">
        <ns0:f>IF(I22="Not started","Not started",IF(I22="Blocked","Blocked",IF(I22="In progress","In progress",IF(J22&lt;&gt;"Passed","Awaiting code review",IF(OR(K22="",NOT(ISNUMBER(L22))),"Awaiting review evidence",IF(N22&lt;&gt;"Passed","Awaiting test",IF(OR(M22="",O22="",NOT(ISNUMBER(P22))),"Awaiting test evidence","Complete")))))))</ns0:f>
        <ns0:v>In progress</ns0:v>
      </ns0:c>
      <ns0:c r="I22" s="10" t="inlineStr">
        <ns0:is>
          <ns0:t xml:space="preserve">In progress</ns0:t>
        </ns0:is>
      </ns0:c>
      <ns0:c r="J22" s="10" t="inlineStr">
        <ns0:is>
          <ns0:t xml:space="preserve">Changes needed</ns0:t>
        </ns0:is>
      </ns0:c>
      <ns0:c r="K22"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2" s="30" t="n">
        <ns0:v>46324</ns0:v>
      </ns0:c>
      <ns0:c r="M22" s="10" t="inlineStr">
        <ns0:is>
          <ns0:t xml:space="preserve">Developer</ns0:t>
        </ns0:is>
      </ns0:c>
      <ns0:c r="N22" s="10" t="inlineStr">
        <ns0:is>
          <ns0:t xml:space="preserve">Passed</ns0:t>
        </ns0:is>
      </ns0:c>
      <ns0:c r="O22" s="10" t="inlineStr">
        <ns0:is>
          <ns0: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2" s="30" t="n">
        <ns0:v>46324</ns0:v>
      </ns0:c>
      <ns0:c r="Q22" s="10" t="inlineStr">
        <ns0:is>
          <ns0: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2"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2" s="10" t="n"/>
    </ns0:row>
    <ns0:row r="23" ht="105" customHeight="1">
      <ns0:c r="A23" s="9" t="n">
        <ns0:v>20</ns0:v>
      </ns0:c>
      <ns0:c r="B23" s="9" t="inlineStr">
        <ns0:is>
          <ns0:t xml:space="preserve">FB-015</ns0:t>
        </ns0:is>
      </ns0:c>
      <ns0:c r="C23" s="9" t="inlineStr">
        <ns0:is>
          <ns0:t xml:space="preserve">Accounts</ns0:t>
        </ns0:is>
      </ns0:c>
      <ns0:c r="D23" s="9" t="inlineStr">
        <ns0:is>
          <ns0:t xml:space="preserve">Verify shared directory access on the server</ns0:t>
        </ns0:is>
      </ns0:c>
      <ns0:c r="E23" s="9" t="inlineStr">
        <ns0:is>
          <ns0: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ns0:t>
        </ns0:is>
      </ns0:c>
      <ns0:c r="F23" s="9" t="inlineStr">
        <ns0:is>
          <ns0:t xml:space="preserve">FB-014</ns0:t>
        </ns0:is>
      </ns0:c>
      <ns0:c r="G23" s="9" t="str">
        <ns0:f>IF(H23="Complete","Complete",IF(I23="Blocked","Blocked",IF(I23="In progress","Ready",IF(F23="","Ready",IF(COUNTIFS($B$4:$B$73,F23,$H$4:$H$73,"Complete")=1,"Ready","Waiting")))))</ns0:f>
        <ns0:v>Ready</ns0:v>
      </ns0:c>
      <ns0:c r="H23" s="9" t="str">
        <ns0:f>IF(I23="Not started","Not started",IF(I23="Blocked","Blocked",IF(I23="In progress","In progress",IF(J23&lt;&gt;"Passed","Awaiting code review",IF(OR(K23="",NOT(ISNUMBER(L23))),"Awaiting review evidence",IF(N23&lt;&gt;"Passed","Awaiting test",IF(OR(M23="",O23="",NOT(ISNUMBER(P23))),"Awaiting test evidence","Complete")))))))</ns0:f>
        <ns0:v>In progress</ns0:v>
      </ns0:c>
      <ns0:c r="I23" s="11" t="inlineStr">
        <ns0:is>
          <ns0:t xml:space="preserve">In progress</ns0:t>
        </ns0:is>
      </ns0:c>
      <ns0:c r="J23" s="11" t="inlineStr">
        <ns0:is>
          <ns0:t xml:space="preserve">Changes needed</ns0:t>
        </ns0:is>
      </ns0:c>
      <ns0:c r="K23"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3" s="31" t="n">
        <ns0:v>46324</ns0:v>
      </ns0:c>
      <ns0:c r="M23" s="11" t="inlineStr">
        <ns0:is>
          <ns0:t xml:space="preserve">Developer</ns0:t>
        </ns0:is>
      </ns0:c>
      <ns0:c r="N23" s="11" t="inlineStr">
        <ns0:is>
          <ns0:t xml:space="preserve">Partial</ns0:t>
        </ns0:is>
      </ns0:c>
      <ns0:c r="O23" s="11" t="inlineStr">
        <ns0:is>
          <ns0: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3" s="31" t="n"/>
      <ns0:c r="Q23" s="11" t="inlineStr">
        <ns0:is>
          <ns0: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3"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3" s="11" t="n"/>
    </ns0:row>
    <ns0:row r="24" ht="105" customHeight="1">
      <ns0:c r="A24" s="4" t="n">
        <ns0:v>21</ns0:v>
      </ns0:c>
      <ns0:c r="B24" s="4" t="inlineStr">
        <ns0:is>
          <ns0:t xml:space="preserve">FB-008</ns0:t>
        </ns0:is>
      </ns0:c>
      <ns0:c r="C24" s="4" t="inlineStr">
        <ns0:is>
          <ns0:t xml:space="preserve">Access</ns0:t>
        </ns0:is>
      </ns0:c>
      <ns0:c r="D24" s="4" t="inlineStr">
        <ns0:is>
          <ns0:t xml:space="preserve">Display role landing pages and navigation</ns0:t>
        </ns0:is>
      </ns0:c>
      <ns0:c r="E24" s="4" t="inlineStr">
        <ns0:is>
          <ns0:t xml:space="preserve">After normal login: manager volunteer list, Super Admin combined list, volunteer welcome page. Setup takes priority. Welcome offers password change/logout; add inventory links as those features become available.</ns0:t>
        </ns0:is>
      </ns0:c>
      <ns0:c r="F24" s="4" t="inlineStr">
        <ns0:is>
          <ns0:t xml:space="preserve">FB-068</ns0:t>
        </ns0:is>
      </ns0:c>
      <ns0:c r="G24" s="4" t="str">
        <ns0:f>IF(H24="Complete","Complete",IF(I24="Blocked","Blocked",IF(I24="In progress","Ready",IF(F24="","Ready",IF(COUNTIFS($B$4:$B$73,F24,$H$4:$H$73,"Complete")=1,"Ready","Waiting")))))</ns0:f>
        <ns0:v>Waiting</ns0:v>
      </ns0:c>
      <ns0:c r="H24" s="4" t="str">
        <ns0:f>IF(I24="Not started","Not started",IF(I24="Blocked","Blocked",IF(I24="In progress","In progress",IF(J24&lt;&gt;"Passed","Awaiting code review",IF(OR(K24="",NOT(ISNUMBER(L24))),"Awaiting review evidence",IF(N24&lt;&gt;"Passed","Awaiting test",IF(OR(M24="",O24="",NOT(ISNUMBER(P24))),"Awaiting test evidence","Complete")))))))</ns0:f>
        <ns0:v>Not started</ns0:v>
      </ns0:c>
      <ns0:c r="I24" s="10" t="inlineStr">
        <ns0:is>
          <ns0:t xml:space="preserve">Not started</ns0:t>
        </ns0:is>
      </ns0:c>
      <ns0:c r="J24" s="10" t="inlineStr">
        <ns0:is>
          <ns0:t xml:space="preserve">Not reviewed</ns0:t>
        </ns0:is>
      </ns0:c>
      <ns0:c r="K24" s="10" t="n"/>
      <ns0:c r="L24" s="30" t="n"/>
      <ns0:c r="M24" s="10" t="n"/>
      <ns0:c r="N24" s="10" t="inlineStr">
        <ns0:is>
          <ns0:t xml:space="preserve">Not tested</ns0:t>
        </ns0:is>
      </ns0:c>
      <ns0:c r="O24" s="10" t="n"/>
      <ns0:c r="P24" s="30" t="n"/>
      <ns0:c r="Q24" s="10" t="inlineStr">
        <ns0:is>
          <ns0: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R24" s="10" t="inlineStr">
        <ns0:is>
          <ns0:t xml:space="preserve">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24" s="10" t="n"/>
    </ns0:row>
    <ns0:row r="25" ht="105" customHeight="1">
      <ns0:c r="A25" s="9" t="n">
        <ns0:v>22</ns0:v>
      </ns0:c>
      <ns0:c r="B25" s="9" t="inlineStr">
        <ns0:is>
          <ns0:t xml:space="preserve">FB-021</ns0:t>
        </ns0:is>
      </ns0:c>
      <ns0:c r="C25" s="9" t="inlineStr">
        <ns0:is>
          <ns0:t xml:space="preserve">Accounts</ns0:t>
        </ns0:is>
      </ns0:c>
      <ns0:c r="D25" s="9" t="inlineStr">
        <ns0:is>
          <ns0:t xml:space="preserve">Build and save the separate edit page</ns0:t>
        </ns0:is>
      </ns0:c>
      <ns0:c r="E25" s="9" t="inlineStr">
        <ns0:is>
          <ns0: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ns0:t>
        </ns0:is>
      </ns0:c>
      <ns0:c r="F25" s="9" t="inlineStr">
        <ns0:is>
          <ns0:t xml:space="preserve">FB-015</ns0:t>
        </ns0:is>
      </ns0:c>
      <ns0:c r="G25" s="9" t="str">
        <ns0:f>IF(H25="Complete","Complete",IF(I25="Blocked","Blocked",IF(I25="In progress","Ready",IF(F25="","Ready",IF(COUNTIFS($B$4:$B$73,F25,$H$4:$H$73,"Complete")=1,"Ready","Waiting")))))</ns0:f>
        <ns0:v>Ready</ns0:v>
      </ns0:c>
      <ns0:c r="H25" s="9" t="str">
        <ns0:f>IF(I25="Not started","Not started",IF(I25="Blocked","Blocked",IF(I25="In progress","In progress",IF(J25&lt;&gt;"Passed","Awaiting code review",IF(OR(K25="",NOT(ISNUMBER(L25))),"Awaiting review evidence",IF(N25&lt;&gt;"Passed","Awaiting test",IF(OR(M25="",O25="",NOT(ISNUMBER(P25))),"Awaiting test evidence","Complete")))))))</ns0:f>
        <ns0:v>In progress</ns0:v>
      </ns0:c>
      <ns0:c r="I25" s="11" t="inlineStr">
        <ns0:is>
          <ns0:t xml:space="preserve">In progress</ns0:t>
        </ns0:is>
      </ns0:c>
      <ns0:c r="J25" s="11" t="inlineStr">
        <ns0:is>
          <ns0:t xml:space="preserve">Changes needed</ns0:t>
        </ns0:is>
      </ns0:c>
      <ns0:c r="K25" s="11" t="inlineStr">
        <ns0:is>
          <ns0: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5" s="31" t="n">
        <ns0:v>46324</ns0:v>
      </ns0:c>
      <ns0:c r="M25" s="11" t="inlineStr">
        <ns0:is>
          <ns0:t xml:space="preserve">Assistant (delegated; browser Cancel user-assisted)</ns0:t>
        </ns0:is>
      </ns0:c>
      <ns0:c r="N25" s="11" t="inlineStr">
        <ns0:is>
          <ns0:t xml:space="preserve">Failed</ns0:t>
        </ns0:is>
      </ns0:c>
      <ns0:c r="O25" s="11" t="inlineStr">
        <ns0:is>
          <ns0: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5" s="31" t="n">
        <ns0:v>46324</ns0:v>
      </ns0:c>
      <ns0:c r="Q25" s="11" t="inlineStr">
        <ns0:is>
          <ns0: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R25" s="11" t="inlineStr">
        <ns0:is>
          <ns0: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S25" s="11" t="n"/>
    </ns0:row>
    <ns0:row r="26" ht="105" customHeight="1">
      <ns0:c r="A26" s="4" t="n">
        <ns0:v>23</ns0:v>
      </ns0:c>
      <ns0:c r="B26" s="4" t="inlineStr">
        <ns0:is>
          <ns0:t xml:space="preserve">FB-022</ns0:t>
        </ns0:is>
      </ns0:c>
      <ns0:c r="C26" s="4" t="inlineStr">
        <ns0:is>
          <ns0:t xml:space="preserve">Accounts</ns0:t>
        </ns0:is>
      </ns0:c>
      <ns0:c r="D26" s="4" t="inlineStr">
        <ns0:is>
          <ns0:t xml:space="preserve">Deactivate and reactivate accounts</ns0:t>
        </ns0:is>
      </ns0:c>
      <ns0:c r="E26" s="4" t="inlineStr">
        <ns0:is>
          <ns0: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ns0:t>
        </ns0:is>
      </ns0:c>
      <ns0:c r="F26" s="4" t="inlineStr">
        <ns0:is>
          <ns0:t xml:space="preserve">FB-021</ns0:t>
        </ns0:is>
      </ns0:c>
      <ns0:c r="G26" s="4" t="str">
        <ns0:f>IF(H26="Complete","Complete",IF(I26="Blocked","Blocked",IF(I26="In progress","Ready",IF(F26="","Ready",IF(COUNTIFS($B$4:$B$73,F26,$H$4:$H$73,"Complete")=1,"Ready","Waiting")))))</ns0:f>
        <ns0:v>Ready</ns0:v>
      </ns0:c>
      <ns0:c r="H26" s="4" t="str">
        <ns0:f>IF(I26="Not started","Not started",IF(I26="Blocked","Blocked",IF(I26="In progress","In progress",IF(J26&lt;&gt;"Passed","Awaiting code review",IF(OR(K26="",NOT(ISNUMBER(L26))),"Awaiting review evidence",IF(N26&lt;&gt;"Passed","Awaiting test",IF(OR(M26="",O26="",NOT(ISNUMBER(P26))),"Awaiting test evidence","Complete")))))))</ns0:f>
        <ns0:v>In progress</ns0:v>
      </ns0:c>
      <ns0:c r="I26" s="10" t="inlineStr">
        <ns0:is>
          <ns0:t xml:space="preserve">In progress</ns0:t>
        </ns0:is>
      </ns0:c>
      <ns0:c r="J26" s="10" t="inlineStr">
        <ns0:is>
          <ns0:t xml:space="preserve">Not reviewed</ns0:t>
        </ns0:is>
      </ns0:c>
      <ns0:c r="K26" s="10" t="inlineStr">
        <ns0:is>
          <ns0: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6" s="30" t="n"/>
      <ns0:c r="M26" s="10" t="inlineStr">
        <ns0:is>
          <ns0:t xml:space="preserve">Assistant (explicit narrow test delegation)</ns0:t>
        </ns0:is>
      </ns0:c>
      <ns0:c r="N26" s="10" t="inlineStr">
        <ns0:is>
          <ns0:t xml:space="preserve">Partial</ns0:t>
        </ns0:is>
      </ns0:c>
      <ns0:c r="O26" s="10" t="inlineStr">
        <ns0:is>
          <ns0: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6" s="30" t="n">
        <ns0:v>46324</ns0:v>
      </ns0:c>
      <ns0:c r="Q26" s="10" t="inlineStr">
        <ns0:is>
          <ns0: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ns0:t>
        </ns0:is>
      </ns0:c>
      <ns0:c r="R26" s="10" t="inlineStr">
        <ns0:is>
          <ns0: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ns0:t>
        </ns0:is>
      </ns0:c>
      <ns0:c r="S26" s="10" t="n"/>
    </ns0:row>
    <ns0:row r="27" ht="105" customHeight="1">
      <ns0:c r="A27" s="9" t="n">
        <ns0:v>24</ns0:v>
      </ns0:c>
      <ns0:c r="B27" s="9" t="inlineStr">
        <ns0:is>
          <ns0:t xml:space="preserve">FB-023</ns0:t>
        </ns0:is>
      </ns0:c>
      <ns0:c r="C27" s="9" t="inlineStr">
        <ns0:is>
          <ns0:t xml:space="preserve">Accounts</ns0:t>
        </ns0:is>
      </ns0:c>
      <ns0:c r="D27" s="9" t="inlineStr">
        <ns0:is>
          <ns0:t xml:space="preserve">Reset manager and volunteer passwords</ns0:t>
        </ns0:is>
      </ns0:c>
      <ns0:c r="E27" s="9" t="inlineStr">
        <ns0:is>
          <ns0:t xml:space="preserve">Confirm reset; managers reset volunteers, Super Admin resets both roles. Set common password, invalidate old password/all sessions, require setup. Preserve Active/Inactive status. Check form/action permissions and next-login cycle.</ns0:t>
        </ns0:is>
      </ns0:c>
      <ns0:c r="F27" s="9" t="inlineStr">
        <ns0:is>
          <ns0:t xml:space="preserve">FB-008</ns0:t>
        </ns0:is>
      </ns0:c>
      <ns0:c r="G27" s="9" t="str">
        <ns0:f>IF(H27="Complete","Complete",IF(I27="Blocked","Blocked",IF(I27="In progress","Ready",IF(F27="","Ready",IF(COUNTIFS($B$4:$B$73,F27,$H$4:$H$73,"Complete")=1,"Ready","Waiting")))))</ns0:f>
        <ns0:v>Waiting</ns0:v>
      </ns0:c>
      <ns0:c r="H27" s="9" t="str">
        <ns0:f>IF(I27="Not started","Not started",IF(I27="Blocked","Blocked",IF(I27="In progress","In progress",IF(J27&lt;&gt;"Passed","Awaiting code review",IF(OR(K27="",NOT(ISNUMBER(L27))),"Awaiting review evidence",IF(N27&lt;&gt;"Passed","Awaiting test",IF(OR(M27="",O27="",NOT(ISNUMBER(P27))),"Awaiting test evidence","Complete")))))))</ns0:f>
        <ns0:v>Not started</ns0:v>
      </ns0:c>
      <ns0:c r="I27" s="11" t="inlineStr">
        <ns0:is>
          <ns0:t xml:space="preserve">Not started</ns0:t>
        </ns0:is>
      </ns0:c>
      <ns0:c r="J27" s="11" t="inlineStr">
        <ns0:is>
          <ns0:t xml:space="preserve">Not reviewed</ns0:t>
        </ns0:is>
      </ns0:c>
      <ns0:c r="K27" s="11" t="n"/>
      <ns0:c r="L27" s="31" t="n"/>
      <ns0:c r="M27" s="11" t="n"/>
      <ns0:c r="N27" s="11" t="inlineStr">
        <ns0:is>
          <ns0:t xml:space="preserve">Not tested</ns0:t>
        </ns0:is>
      </ns0:c>
      <ns0:c r="O27" s="11" t="n"/>
      <ns0:c r="P27" s="31" t="n"/>
      <ns0:c r="Q27" s="11" t="inlineStr">
        <ns0:is>
          <ns0: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R27" s="11" t="inlineStr">
        <ns0:is>
          <ns0: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27" s="11" t="n"/>
    </ns0:row>
    <ns0:row r="28" ht="105" customHeight="1">
      <ns0:c r="A28" s="4" t="n">
        <ns0:v>25</ns0:v>
      </ns0:c>
      <ns0:c r="B28" s="4" t="inlineStr">
        <ns0:is>
          <ns0:t xml:space="preserve">FB-025</ns0:t>
        </ns0:is>
      </ns0:c>
      <ns0:c r="C28" s="4" t="inlineStr">
        <ns0:is>
          <ns0:t xml:space="preserve">Accounts</ns0:t>
        </ns0:is>
      </ns0:c>
      <ns0:c r="D28" s="4" t="inlineStr">
        <ns0:is>
          <ns0:t xml:space="preserve">Verify the complete account journey</ns0:t>
        </ns0:is>
      </ns0:c>
      <ns0:c r="E28" s="4" t="inlineStr">
        <ns0:is>
          <ns0:t xml:space="preserve">Developer first tests all three roles, creation/edit/details, search/filter/pagination, inactive sessions and password flows; record automated/direct-request checks as applicable. Review code and retain evidence, not assumptions.</ns0:t>
        </ns0:is>
      </ns0:c>
      <ns0:c r="F28" s="4" t="inlineStr">
        <ns0:is>
          <ns0:t xml:space="preserve">FB-022</ns0:t>
        </ns0:is>
      </ns0:c>
      <ns0:c r="G28" s="4" t="str">
        <ns0:f>IF(H28="Complete","Complete",IF(I28="Blocked","Blocked",IF(I28="In progress","Ready",IF(F28="","Ready",IF(COUNTIFS($B$4:$B$73,F28,$H$4:$H$73,"Complete")=1,"Ready","Waiting")))))</ns0:f>
        <ns0:v>Ready</ns0:v>
      </ns0:c>
      <ns0:c r="H28" s="4" t="str">
        <ns0:f>IF(I28="Not started","Not started",IF(I28="Blocked","Blocked",IF(I28="In progress","In progress",IF(J28&lt;&gt;"Passed","Awaiting code review",IF(OR(K28="",NOT(ISNUMBER(L28))),"Awaiting review evidence",IF(N28&lt;&gt;"Passed","Awaiting test",IF(OR(M28="",O28="",NOT(ISNUMBER(P28))),"Awaiting test evidence","Complete")))))))</ns0:f>
        <ns0:v>In progress</ns0:v>
      </ns0:c>
      <ns0:c r="I28" s="10" t="inlineStr">
        <ns0:is>
          <ns0:t xml:space="preserve">In progress</ns0:t>
        </ns0:is>
      </ns0:c>
      <ns0:c r="J28" s="10" t="inlineStr">
        <ns0:is>
          <ns0:t xml:space="preserve">Changes needed</ns0:t>
        </ns0:is>
      </ns0:c>
      <ns0:c r="K28" s="10" t="str">
        <ns0:v>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28" s="30" t="n">
        <ns0:v>46324</ns0:v>
      </ns0:c>
      <ns0:c r="M28" s="10" t="inlineStr">
        <ns0:is>
          <ns0:t xml:space="preserve">Assistant (delegated; browser Cancel user-assisted)</ns0:t>
        </ns0:is>
      </ns0:c>
      <ns0:c r="N28" s="10" t="inlineStr">
        <ns0:is>
          <ns0:t xml:space="preserve">Failed</ns0:t>
        </ns0:is>
      </ns0:c>
      <ns0:c r="O28" s="10" t="inlineStr">
        <ns0:is>
          <ns0: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8" s="30" t="n">
        <ns0:v>46324</ns0:v>
      </ns0:c>
      <ns0:c r="Q28" s="10" t="inlineStr">
        <ns0:is>
          <ns0: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R28" s="10" t="inlineStr">
        <ns0:is>
          <ns0: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S28" s="10" t="n"/>
    </ns0:row>
    <ns0:row r="29" ht="105" customHeight="1">
      <ns0:c r="A29" s="9" t="n">
        <ns0:v>26</ns0:v>
      </ns0:c>
      <ns0:c r="B29" s="9" t="inlineStr">
        <ns0:is>
          <ns0:t xml:space="preserve">FB-026</ns0:t>
        </ns0:is>
      </ns0:c>
      <ns0:c r="C29" s="9" t="inlineStr">
        <ns0:is>
          <ns0:t xml:space="preserve">Departments</ns0:t>
        </ns0:is>
      </ns0:c>
      <ns0:c r="D29" s="9" t="inlineStr">
        <ns0:is>
          <ns0:t xml:space="preserve">Build Department storage and complete creation</ns0:t>
        </ns0:is>
      </ns0:c>
      <ns0:c r="E29" s="9" t="inlineStr">
        <ns0:is>
          <ns0: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ns0:t>
        </ns0:is>
      </ns0:c>
      <ns0:c r="F29" s="9" t="inlineStr">
        <ns0:is>
          <ns0:t xml:space="preserve">FB-025</ns0:t>
        </ns0:is>
      </ns0:c>
      <ns0:c r="G29" s="9" t="str">
        <ns0:f>IF(H29="Complete","Complete",IF(I29="Blocked","Blocked",IF(I29="In progress","Ready",IF(F29="","Ready",IF(COUNTIFS($B$4:$B$73,F29,$H$4:$H$73,"Complete")=1,"Ready","Waiting")))))</ns0:f>
        <ns0:v>Complete</ns0:v>
      </ns0:c>
      <ns0:c r="H29" s="9" t="str">
        <ns0:f>IF(I29="Not started","Not started",IF(I29="Blocked","Blocked",IF(I29="In progress","In progress",IF(J29&lt;&gt;"Passed","Awaiting code review",IF(OR(K29="",NOT(ISNUMBER(L29))),"Awaiting review evidence",IF(N29&lt;&gt;"Passed","Awaiting test",IF(OR(M29="",O29="",NOT(ISNUMBER(P29))),"Awaiting test evidence","Complete")))))))</ns0:f>
        <ns0:v>Complete</ns0:v>
      </ns0:c>
      <ns0:c r="I29" s="11" t="inlineStr">
        <ns0:is>
          <ns0:t xml:space="preserve">Ready for review</ns0:t>
        </ns0:is>
      </ns0:c>
      <ns0:c r="J29" s="11" t="inlineStr">
        <ns0:is>
          <ns0:t xml:space="preserve">Passed</ns0:t>
        </ns0:is>
      </ns0:c>
      <ns0:c r="K29" s="11" t="str">
        <ns0:v>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29" s="31" t="n">
        <ns0:v>46324</ns0:v>
      </ns0:c>
      <ns0:c r="M29" s="11" t="inlineStr">
        <ns0:is>
          <ns0:t xml:space="preserve">Developer</ns0:t>
        </ns0:is>
      </ns0:c>
      <ns0:c r="N29" s="11" t="inlineStr">
        <ns0:is>
          <ns0:t xml:space="preserve">Passed</ns0:t>
        </ns0:is>
      </ns0:c>
      <ns0:c r="O29" s="11" t="inlineStr">
        <ns0:is>
          <ns0:t xml:space="preserve">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ns0:t>
        </ns0:is>
      </ns0:c>
      <ns0:c r="P29" s="31" t="n">
        <ns0:v>46324</ns0:v>
      </ns0:c>
      <ns0:c r="Q29" s="11" t="inlineStr">
        <ns0:is>
          <ns0:t xml:space="preserve">2026-10-29 creation complete based on passed source review and overall developer-reported creation testing. No assistant application testing. Seeder added under explicit permission and developer ran successfully.</ns0:t>
        </ns0:is>
      </ns0:c>
      <ns0:c r="R29" s="11" t="inlineStr">
        <ns0:is>
          <ns0:t xml:space="preserve">Before starting/resuming this item or feature: reread AGENTS.md from disk; apply teaching/testing rules. FB-026 complete; continue FB-027 Department list then rename.</ns0:t>
        </ns0:is>
      </ns0:c>
      <ns0:c r="S29" s="11" t="n"/>
    </ns0:row>
    <ns0:row r="30" ht="105" customHeight="1">
      <ns0:c r="A30" s="4" t="n">
        <ns0:v>27</ns0:v>
      </ns0:c>
      <ns0:c r="B30" s="4" t="inlineStr">
        <ns0:is>
          <ns0:t xml:space="preserve">FB-027</ns0:t>
        </ns0:is>
      </ns0:c>
      <ns0:c r="C30" s="4" t="inlineStr">
        <ns0:is>
          <ns0:t xml:space="preserve">Departments</ns0:t>
        </ns0:is>
      </ns0:c>
      <ns0:c r="D30" s="4" t="inlineStr">
        <ns0:is>
          <ns0:t xml:space="preserve">Display Department list, then rename departments</ns0:t>
        </ns0:is>
      </ns0:c>
      <ns0:c r="E30" s="4" t="inlineStr">
        <ns0:is>
          <ns0: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ns0:t>
        </ns0:is>
      </ns0:c>
      <ns0:c r="F30" s="4" t="inlineStr">
        <ns0:is>
          <ns0:t xml:space="preserve">FB-026</ns0:t>
        </ns0:is>
      </ns0:c>
      <ns0:c r="G30" s="4" t="str">
        <ns0:f>IF(H30="Complete","Complete",IF(I30="Blocked","Blocked",IF(I30="In progress","Ready",IF(F30="","Ready",IF(COUNTIFS($B$4:$B$73,F30,$H$4:$H$73,"Complete")=1,"Ready","Waiting")))))</ns0:f>
        <ns0:v>Complete</ns0:v>
      </ns0:c>
      <ns0:c r="H30" s="4" t="str">
        <ns0:f>IF(I30="Not started","Not started",IF(I30="Blocked","Blocked",IF(I30="In progress","In progress",IF(J30&lt;&gt;"Passed","Awaiting code review",IF(OR(K30="",NOT(ISNUMBER(L30))),"Awaiting review evidence",IF(N30&lt;&gt;"Passed","Awaiting test",IF(OR(M30="",O30="",NOT(ISNUMBER(P30))),"Awaiting test evidence","Complete")))))))</ns0:f>
        <ns0:v>Complete</ns0:v>
      </ns0:c>
      <ns0:c r="I30" s="10" t="inlineStr">
        <ns0:is>
          <ns0:t xml:space="preserve">Ready for review</ns0:t>
        </ns0:is>
      </ns0:c>
      <ns0:c r="J30" s="10" t="inlineStr">
        <ns0:is>
          <ns0:t xml:space="preserve">Passed</ns0:t>
        </ns0:is>
      </ns0:c>
      <ns0:c r="K30" s="10" t="str">
        <ns0:v>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30" s="30" t="n">
        <ns0:v>46324</ns0:v>
      </ns0:c>
      <ns0:c r="M30" s="10" t="inlineStr">
        <ns0:is>
          <ns0:t xml:space="preserve">Developer</ns0:t>
        </ns0:is>
      </ns0:c>
      <ns0:c r="N30" s="10" t="inlineStr">
        <ns0:is>
          <ns0:t xml:space="preserve">Passed</ns0:t>
        </ns0:is>
      </ns0:c>
      <ns0:c r="O30" s="10" t="inlineStr">
        <ns0:is>
          <ns0: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ns0:t>
        </ns0:is>
      </ns0:c>
      <ns0:c r="P30" s="30" t="n">
        <ns0:v>46324</ns0:v>
      </ns0:c>
      <ns0:c r="Q30" s="10" t="inlineStr">
        <ns0:is>
          <ns0:t xml:space="preserve">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ns0:t>
        </ns0:is>
      </ns0:c>
      <ns0:c r="R30" s="10" t="inlineStr">
        <ns0:is>
          <ns0:t xml:space="preserve">Before starting/resuming this item or feature: reread AGENTS.md from disk; apply teaching/testing rules. Developer checks full-width Department edit input and right-aligned buttons on wide and narrow screens; record result, then resume FB-028.</ns0:t>
        </ns0:is>
      </ns0:c>
      <ns0:c r="S30" s="10" t="n"/>
    </ns0:row>
    <ns0:row r="31" ht="105" customHeight="1">
      <ns0:c r="A31" s="9" t="n">
        <ns0:v>28</ns0:v>
      </ns0:c>
      <ns0:c r="B31" s="9" t="inlineStr">
        <ns0:is>
          <ns0:t xml:space="preserve">FB-028</ns0:t>
        </ns0:is>
      </ns0:c>
      <ns0:c r="C31" s="9" t="inlineStr">
        <ns0:is>
          <ns0:t xml:space="preserve">Categories</ns0:t>
        </ns0:is>
      </ns0:c>
      <ns0:c r="D31" s="9" t="inlineStr">
        <ns0:is>
          <ns0:t xml:space="preserve">Build and verify Category within Department</ns0:t>
        </ns0:is>
      </ns0:c>
      <ns0:c r="E31" s="9" t="inlineStr">
        <ns0:is>
          <ns0: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ns0:t>
        </ns0:is>
      </ns0:c>
      <ns0:c r="F31" s="9" t="inlineStr">
        <ns0:is>
          <ns0:t xml:space="preserve">FB-027</ns0:t>
        </ns0:is>
      </ns0:c>
      <ns0:c r="G31" s="9" t="str">
        <ns0:f>IF(H31="Complete","Complete",IF(I31="Blocked","Blocked",IF(I31="In progress","Ready",IF(F31="","Ready",IF(COUNTIFS($B$4:$B$73,F31,$H$4:$H$73,"Complete")=1,"Ready","Waiting")))))</ns0:f>
        <ns0:v>Complete</ns0:v>
      </ns0:c>
      <ns0:c r="H31" s="9" t="str">
        <ns0:f>IF(I31="Not started","Not started",IF(I31="Blocked","Blocked",IF(I31="In progress","In progress",IF(J31&lt;&gt;"Passed","Awaiting code review",IF(OR(K31="",NOT(ISNUMBER(L31))),"Awaiting review evidence",IF(N31&lt;&gt;"Passed","Awaiting test",IF(OR(M31="",O31="",NOT(ISNUMBER(P31))),"Awaiting test evidence","Complete")))))))</ns0:f>
        <ns0:v>Complete</ns0:v>
      </ns0:c>
      <ns0:c r="I31" s="11" t="inlineStr">
        <ns0:is>
          <ns0:t xml:space="preserve">Ready for review</ns0:t>
        </ns0:is>
      </ns0:c>
      <ns0:c r="J31" s="11" t="inlineStr">
        <ns0:is>
          <ns0:t xml:space="preserve">Passed</ns0:t>
        </ns0:is>
      </ns0:c>
      <ns0:c r="K31" s="11" t="str">
        <ns0:v>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31" s="31" t="n">
        <ns0:v>46324</ns0:v>
      </ns0:c>
      <ns0:c r="M31" s="11" t="inlineStr">
        <ns0:is>
          <ns0:t xml:space="preserve">Developer (create/list); Assistant (delegated edit tests and browser)</ns0:t>
        </ns0:is>
      </ns0:c>
      <ns0:c r="N31" s="11" t="inlineStr">
        <ns0:is>
          <ns0:t xml:space="preserve">Passed</ns0:t>
        </ns0:is>
      </ns0:c>
      <ns0:c r="O31" s="11" t="inlineStr">
        <ns0:is>
          <ns0: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ns0:t>
        </ns0:is>
      </ns0:c>
      <ns0:c r="P31" s="31" t="n">
        <ns0:v>46324</ns0:v>
      </ns0:c>
      <ns0:c r="Q31" s="11" t="inlineStr">
        <ns0:is>
          <ns0:t xml:space="preserve">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ns0:t>
        </ns0:is>
      </ns0:c>
      <ns0:c r="R31" s="11" t="inlineStr">
        <ns0:is>
          <ns0: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ns0:t>
        </ns0:is>
      </ns0:c>
      <ns0:c r="S31" s="11" t="n"/>
    </ns0:row>
    <ns0:row r="32" ht="105" customHeight="1">
      <ns0:c r="A32" s="4" t="n">
        <ns0:v>29</ns0:v>
      </ns0:c>
      <ns0:c r="B32" s="4" t="inlineStr">
        <ns0:is>
          <ns0:t xml:space="preserve">FB-029</ns0:t>
        </ns0:is>
      </ns0:c>
      <ns0:c r="C32" s="4" t="inlineStr">
        <ns0:is>
          <ns0:t xml:space="preserve">Subcategories</ns0:t>
        </ns0:is>
      </ns0:c>
      <ns0:c r="D32" s="4" t="inlineStr">
        <ns0:is>
          <ns0:t xml:space="preserve">Build Subcategory storage, complete creation, then list</ns0:t>
        </ns0:is>
      </ns0:c>
      <ns0:c r="E32" s="4" t="inlineStr">
        <ns0:is>
          <ns0:t xml:space="preserve">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 REQ-187: list search across all three names with ten-row pagination.</ns0:t>
        </ns0:is>
      </ns0:c>
      <ns0:c r="F32" s="4" t="inlineStr">
        <ns0:is>
          <ns0:t xml:space="preserve">FB-028</ns0:t>
        </ns0:is>
      </ns0:c>
      <ns0:c r="G32" s="4" t="str">
        <ns0:f>IF(H32="Complete","Complete",IF(I32="Blocked","Blocked",IF(I32="In progress","Ready",IF(F32="","Ready",IF(COUNTIFS($B$4:$B$73,F32,$H$4:$H$73,"Complete")=1,"Ready","Waiting")))))</ns0:f>
        <ns0:v>Complete</ns0:v>
      </ns0:c>
      <ns0:c r="H32" s="4" t="str">
        <ns0:f>IF(I32="Not started","Not started",IF(I32="Blocked","Blocked",IF(I32="In progress","In progress",IF(J32&lt;&gt;"Passed","Awaiting code review",IF(OR(K32="",NOT(ISNUMBER(L32))),"Awaiting review evidence",IF(N32&lt;&gt;"Passed","Awaiting test",IF(OR(M32="",O32="",NOT(ISNUMBER(P32))),"Awaiting test evidence","Complete")))))))</ns0:f>
        <ns0:v>Complete</ns0:v>
      </ns0:c>
      <ns0:c r="I32" s="10" t="str">
        <ns0:v>Ready for review</ns0:v>
      </ns0:c>
      <ns0:c r="J32" s="10" t="str">
        <ns0:v>Passed</ns0:v>
      </ns0:c>
      <ns0:c r="K32" s="10" t="str">
        <ns0: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32" s="30" t="n">
        <ns0:v>46325</ns0:v>
      </ns0:c>
      <ns0:c r="M32" s="10" t="str">
        <ns0:v>Assistant (explicitly delegated browser and earlier automated checks)</ns0:v>
      </ns0:c>
      <ns0:c r="N32" s="10" t="str">
        <ns0:v>Passed</ns0:v>
      </ns0:c>
      <ns0:c r="O32" s="10" t="str">
        <ns0: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P32" s="30" t="n">
        <ns0:v>46325</ns0:v>
      </ns0:c>
      <ns0:c r="Q32" s="10" t="str">
        <ns0:v>2026-10-30 completed-feature review consolidated; code review and recorded behaviour checks pass. Subcategory module verified; proceed to Tags FB-031.</ns0:v>
      </ns0:c>
      <ns0:c r="R32" s="10" t="str">
        <ns0:v>Before starting/resuming this item or feature: reread AGENTS.md from disk; apply teaching/testing rules. Completed; continue Tags FB-031.</ns0:v>
      </ns0:c>
      <ns0:c r="S32" s="10" t="n"/>
    </ns0:row>
    <ns0:row r="33" ht="105" customHeight="1">
      <ns0:c r="A33" s="9" t="n">
        <ns0:v>30</ns0:v>
      </ns0:c>
      <ns0:c r="B33" s="9" t="inlineStr">
        <ns0:is>
          <ns0:t xml:space="preserve">FB-030</ns0:t>
        </ns0:is>
      </ns0:c>
      <ns0:c r="C33" s="9" t="inlineStr">
        <ns0:is>
          <ns0:t xml:space="preserve">Subcategories</ns0:t>
        </ns0:is>
      </ns0:c>
      <ns0:c r="D33" s="9" t="inlineStr">
        <ns0:is>
          <ns0:t xml:space="preserve">Rename and move subcategories; verify catalogue permissions</ns0:t>
        </ns0:is>
      </ns0:c>
      <ns0:c r="E33" s="9" t="inlineStr">
        <ns0:is>
          <ns0: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 Verify creation/list/edit and parent rename preserving links before proceeding; no Product relationships introduced early.</ns0:t>
        </ns0:is>
      </ns0:c>
      <ns0:c r="F33" s="9" t="inlineStr">
        <ns0:is>
          <ns0:t xml:space="preserve">FB-029</ns0:t>
        </ns0:is>
      </ns0:c>
      <ns0:c r="G33" s="9" t="str">
        <ns0:f>IF(H33="Complete","Complete",IF(I33="Blocked","Blocked",IF(I33="In progress","Ready",IF(F33="","Ready",IF(COUNTIFS($B$4:$B$73,F33,$H$4:$H$73,"Complete")=1,"Ready","Waiting")))))</ns0:f>
        <ns0:v>Complete</ns0:v>
      </ns0:c>
      <ns0:c r="H33" s="9" t="str">
        <ns0:f>IF(I33="Not started","Not started",IF(I33="Blocked","Blocked",IF(I33="In progress","In progress",IF(J33&lt;&gt;"Passed","Awaiting code review",IF(OR(K33="",NOT(ISNUMBER(L33))),"Awaiting review evidence",IF(N33&lt;&gt;"Passed","Awaiting test",IF(OR(M33="",O33="",NOT(ISNUMBER(P33))),"Awaiting test evidence","Complete")))))))</ns0:f>
        <ns0:v>Complete</ns0:v>
      </ns0:c>
      <ns0:c r="I33" s="11" t="str">
        <ns0:v>Ready for review</ns0:v>
      </ns0:c>
      <ns0:c r="J33" s="11" t="str">
        <ns0:v>Passed</ns0:v>
      </ns0:c>
      <ns0:c r="K33" s="11" t="str">
        <ns0: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33" s="31" t="n">
        <ns0:v>46325</ns0:v>
      </ns0:c>
      <ns0:c r="M33" s="11" t="str">
        <ns0:v>Assistant (explicitly delegated browser and earlier automated checks)</ns0:v>
      </ns0:c>
      <ns0:c r="N33" s="11" t="str">
        <ns0:v>Passed</ns0:v>
      </ns0:c>
      <ns0:c r="O33" s="11" t="str">
        <ns0: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P33" s="31" t="n">
        <ns0:v>46325</ns0:v>
      </ns0:c>
      <ns0:c r="Q33" s="11" t="str">
        <ns0:v>2026-10-30 completed-feature review consolidated; code review and recorded behaviour checks pass. Subcategory module verified; proceed to Tags FB-031.</ns0:v>
      </ns0:c>
      <ns0:c r="R33" s="11" t="str">
        <ns0:v>Before starting/resuming this item or feature: reread AGENTS.md from disk; apply teaching/testing rules. Completed; continue Tags FB-031.</ns0:v>
      </ns0:c>
      <ns0:c r="S33" s="11" t="n"/>
    </ns0:row>
    <ns0:row r="34" ht="105" customHeight="1">
      <ns0:c r="A34" s="4" t="n">
        <ns0:v>31</ns0:v>
      </ns0:c>
      <ns0:c r="B34" s="4" t="inlineStr">
        <ns0:is>
          <ns0:t xml:space="preserve">FB-031</ns0:t>
        </ns0:is>
      </ns0:c>
      <ns0:c r="C34" s="4" t="inlineStr">
        <ns0:is>
          <ns0:t xml:space="preserve">Tags</ns0:t>
        </ns0:is>
      </ns0:c>
      <ns0:c r="D34" s="4" t="inlineStr">
        <ns0:is>
          <ns0:t xml:space="preserve">Create shared tags, then list and rename them</ns0:t>
        </ns0:is>
      </ns0:c>
      <ns0:c r="E34" s="4" t="inlineStr">
        <ns0:is>
          <ns0: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ns0:t>
        </ns0:is>
      </ns0:c>
      <ns0:c r="F34" s="4" t="inlineStr">
        <ns0:is>
          <ns0:t xml:space="preserve">FB-030</ns0:t>
        </ns0:is>
      </ns0:c>
      <ns0:c r="G34" s="4" t="str">
        <ns0:f>IF(H34="Complete","Complete",IF(I34="Blocked","Blocked",IF(I34="In progress","Ready",IF(F34="","Ready",IF(COUNTIFS($B$4:$B$73,F34,$H$4:$H$73,"Complete")=1,"Ready","Waiting")))))</ns0:f>
        <ns0:v>Complete</ns0:v>
      </ns0:c>
      <ns0:c r="H34" s="4" t="str">
        <ns0:f>IF(I34="Not started","Not started",IF(I34="Blocked","Blocked",IF(I34="In progress","In progress",IF(J34&lt;&gt;"Passed","Awaiting code review",IF(OR(K34="",NOT(ISNUMBER(L34))),"Awaiting review evidence",IF(N34&lt;&gt;"Passed","Awaiting test",IF(OR(M34="",O34="",NOT(ISNUMBER(P34))),"Awaiting test evidence","Complete")))))))</ns0:f>
        <ns0:v>Complete</ns0:v>
      </ns0:c>
      <ns0:c r="I34" s="10" t="str">
        <ns0:v>Ready for review</ns0:v>
      </ns0:c>
      <ns0:c r="J34" s="10" t="str">
        <ns0:v>Passed</ns0:v>
      </ns0:c>
      <ns0:c r="K34" s="10" t="str">
        <ns0: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
2026-10-30 developer explicitly requested TagSeeder file with50 realistic tags so developer can run it. Updated database/seeders/TagSeeder.php only:50 distinct dietary/storage/preparation/meal/personal-care/household labels; Tag::firstOrCreate inside DB::transaction follows current catalogue seeder conventions and preserves existing names/records on reruns. Source review, PHP syntax, scoped Pint and static count/case-folded uniqueness checks PASS. Seeder NOT executed; no database changes or runtime/idempotence pass claimed. Supplied php artisan db:seed --class=TagSeeder for developer to run. Product lesson remains pending; no Product code read/changed.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Tag inverse products relationship reviewed and tested with Product creation; TagTest regressions included in157-test pass. Shared tag rename preserves product links.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ns0:v>
      </ns0:c>
      <ns0:c r="L34" s="30" t="n">
        <ns0:v>46325</ns0:v>
      </ns0:c>
      <ns0:c r="M34" s="10" t="str">
        <ns0:v>Assistant (explicitly delegated automated, MySQL and browser checks)</ns0:v>
      </ns0:c>
      <ns0:c r="N34" s="10" t="str">
        <ns0:v>Passed</ns0:v>
      </ns0:c>
      <ns0:c r="O34" s="10" t="str">
        <ns0: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ns0:v>
      </ns0:c>
      <ns0:c r="P34" s="30" t="n">
        <ns0:v>46325</ns0:v>
      </ns0:c>
      <ns0:c r="Q34" s="10" t="str">
        <ns0:v>2026-10-30 FB-031 complete: implemented/reviewed/tested tag creation, paginated search list and rename. Product-related tag work remains at FB-037/048.</ns0:v>
      </ns0:c>
      <ns0:c r="R34" s="10" t="str">
        <ns0:v>Before starting/resuming this item or feature: reread AGENTS.md from disk; apply teaching/testing rules. Verified complete. Next ready module Products FB-032; resume developer-written small lessons unless explicitly delegated.</ns0:v>
      </ns0:c>
      <ns0:c r="S34" s="10" t="str"/>
    </ns0:row>
    <ns0:row r="35" ht="105" customHeight="1">
      <ns0:c r="A35" s="9" t="n">
        <ns0:v>32</ns0:v>
      </ns0:c>
      <ns0:c r="B35" s="9" t="inlineStr">
        <ns0:is>
          <ns0:t xml:space="preserve">FB-032</ns0:t>
        </ns0:is>
      </ns0:c>
      <ns0:c r="C35" s="9" t="inlineStr">
        <ns0:is>
          <ns0:t xml:space="preserve">Products</ns0:t>
        </ns0:is>
      </ns0:c>
      <ns0:c r="D35" s="9" t="inlineStr">
        <ns0:is>
          <ns0:t xml:space="preserve">Introduce Product storage and its hierarchy form</ns0:t>
        </ns0:is>
      </ns0:c>
      <ns0:c r="E35" s="9" t="str">
        <ns0:v>Product belongs to Subcategory. Required name/hierarchy/status; optional brand/tags. Build without product codes; retain internal database id. No sizes, packaging, counting/contents units, balances or quantities. Introduce tag persistence at FB-037. Reconsider codes after FB-067 at FB-035.</ns0:v>
      </ns0:c>
      <ns0:c r="F35" s="9" t="inlineStr">
        <ns0:is>
          <ns0:t xml:space="preserve">FB-031</ns0:t>
        </ns0:is>
      </ns0:c>
      <ns0:c r="G35" s="9" t="str">
        <ns0:f>IF(H35="Complete","Complete",IF(I35="Blocked","Blocked",IF(I35="In progress","Ready",IF(F35="","Ready",IF(COUNTIFS($B$4:$B$73,F35,$H$4:$H$73,"Complete")=1,"Ready","Waiting")))))</ns0:f>
        <ns0:v>Complete</ns0:v>
      </ns0:c>
      <ns0:c r="H35" s="9" t="str">
        <ns0:f>IF(I35="Not started","Not started",IF(I35="Blocked","Blocked",IF(I35="In progress","In progress",IF(J35&lt;&gt;"Passed","Awaiting code review",IF(OR(K35="",NOT(ISNUMBER(L35))),"Awaiting review evidence",IF(N35&lt;&gt;"Passed","Awaiting test",IF(OR(M35="",O35="",NOT(ISNUMBER(P35))),"Awaiting test evidence","Complete")))))))</ns0:f>
        <ns0:v>Complete</ns0:v>
      </ns0:c>
      <ns0:c r="I35" s="11" t="str">
        <ns0:v>Ready for review</ns0:v>
      </ns0:c>
      <ns0:c r="J35" s="11" t="str">
        <ns0:v>Passed</ns0:v>
      </ns0:c>
      <ns0:c r="K35" s="11"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ns0:v>
      </ns0:c>
      <ns0:c r="L35" s="31" t="n">
        <ns0:v>46325</ns0:v>
      </ns0:c>
      <ns0:c r="M35" s="11" t="str">
        <ns0:v>Assistant (explicitly delegated automated, MySQL and browser checks)</ns0:v>
      </ns0:c>
      <ns0:c r="N35" s="11" t="str">
        <ns0:v>Passed</ns0:v>
      </ns0:c>
      <ns0:c r="O35" s="11" t="str">
        <ns0:v>
2026-10-30 developer explicitly reported scoped Product migration ran successfully. Record as developer-reported migration check only; not source review or full Product feature behaviour verification.
2026-10-30 developer replied done to explicit protected Create Product page check and stated page opens successfully. Developer-reported PASS for minimal page display only; role-specific denial, saving and full feature not verified.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ns0:v>
      </ns0:c>
      <ns0:c r="P35" s="31" t="n">
        <ns0:v>46325</ns0:v>
      </ns0:c>
      <ns0:c r="Q35" s="11" t="str">
        <ns0:v>2026-10-30 Product creation feature implemented/reviewed/tested; this item verified. Product list next; no product code/stock features implemented.</ns0:v>
      </ns0:c>
      <ns0:c r="R35" s="11" t="str">
        <ns0:v>Before starting/resuming this item or feature: reread AGENTS.md from disk; apply teaching/testing rules. Completed. Next ready item FB-038 Product list; show proposed changes before applying, preserve Poker coding/current catalogue UI and name-or-tag search checkpoints.</ns0:v>
      </ns0:c>
      <ns0:c r="S35" s="11" t="str"/>
    </ns0:row>
    <ns0:row r="36" ht="105" customHeight="1">
      <ns0:c r="A36" s="4" t="n">
        <ns0:v>33</ns0:v>
      </ns0:c>
      <ns0:c r="B36" s="4" t="inlineStr">
        <ns0:is>
          <ns0:t xml:space="preserve">FB-033</ns0:t>
        </ns0:is>
      </ns0:c>
      <ns0:c r="C36" s="4" t="inlineStr">
        <ns0:is>
          <ns0:t xml:space="preserve">Products</ns0:t>
        </ns0:is>
      </ns0:c>
      <ns0:c r="D36" s="4" t="inlineStr">
        <ns0:is>
          <ns0:t xml:space="preserve">Lay out the product form and bind its inputs</ns0:t>
        </ns0:is>
      </ns0:c>
      <ns0:c r="E36" s="4" t="inlineStr">
        <ns0:is>
          <ns0:t xml:space="preserve">Teach responsive layout and temporary state for catalogue identity fields only. No package preview or stock values.</ns0:t>
        </ns0:is>
      </ns0:c>
      <ns0:c r="F36" s="4" t="inlineStr">
        <ns0:is>
          <ns0:t xml:space="preserve">FB-032</ns0:t>
        </ns0:is>
      </ns0:c>
      <ns0:c r="G36" s="4" t="str">
        <ns0:f>IF(H36="Complete","Complete",IF(I36="Blocked","Blocked",IF(I36="In progress","Ready",IF(F36="","Ready",IF(COUNTIFS($B$4:$B$73,F36,$H$4:$H$73,"Complete")=1,"Ready","Waiting")))))</ns0:f>
        <ns0:v>Complete</ns0:v>
      </ns0:c>
      <ns0:c r="H36" s="4" t="str">
        <ns0:f>IF(I36="Not started","Not started",IF(I36="Blocked","Blocked",IF(I36="In progress","In progress",IF(J36&lt;&gt;"Passed","Awaiting code review",IF(OR(K36="",NOT(ISNUMBER(L36))),"Awaiting review evidence",IF(N36&lt;&gt;"Passed","Awaiting test",IF(OR(M36="",O36="",NOT(ISNUMBER(P36))),"Awaiting test evidence","Complete")))))))</ns0:f>
        <ns0:v>Complete</ns0:v>
      </ns0:c>
      <ns0:c r="I36" s="10" t="str">
        <ns0:v>Ready for review</ns0:v>
      </ns0:c>
      <ns0:c r="J36" s="10" t="str">
        <ns0:v>Passed</ns0:v>
      </ns0:c>
      <ns0:c r="K36" s="10"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ns0:v>
      </ns0:c>
      <ns0:c r="L36" s="30" t="n">
        <ns0:v>46325</ns0:v>
      </ns0:c>
      <ns0:c r="M36" s="10" t="str">
        <ns0:v>Assistant (explicitly delegated automated, MySQL and browser checks)</ns0:v>
      </ns0:c>
      <ns0:c r="N36" s="10" t="str">
        <ns0:v>Passed</ns0:v>
      </ns0:c>
      <ns0:c r="O36" s="10"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ns0:v>
      </ns0:c>
      <ns0:c r="P36" s="30" t="n">
        <ns0:v>46325</ns0:v>
      </ns0:c>
      <ns0:c r="Q36" s="10" t="str">
        <ns0:v>2026-10-30 Product creation feature implemented/reviewed/tested; this item verified. Product list next; no product code/stock features implemented.</ns0:v>
      </ns0:c>
      <ns0:c r="R36" s="10" t="str">
        <ns0:v>Before starting/resuming this item or feature: reread AGENTS.md from disk; apply teaching/testing rules. Completed. Next ready item FB-038 Product list; show proposed changes before applying, preserve Poker coding/current catalogue UI and name-or-tag search checkpoints.</ns0:v>
      </ns0:c>
      <ns0:c r="S36" s="10" t="str"/>
    </ns0:row>
    <ns0:row r="37" ht="105" customHeight="1">
      <ns0:c r="A37" s="4" t="n">
        <ns0:v>48</ns0:v>
      </ns0:c>
      <ns0:c r="B37" s="4" t="inlineStr">
        <ns0:is>
          <ns0:t xml:space="preserve">FB-035</ns0:t>
        </ns0:is>
      </ns0:c>
      <ns0:c r="C37" s="4" t="inlineStr">
        <ns0:is>
          <ns0:t xml:space="preserve">Products</ns0:t>
        </ns0:is>
      </ns0:c>
      <ns0:c r="D37" s="4" t="str">
        <ns0:v>Reconsider product codes and stock connections after the catalogue works</ns0:v>
      </ns0:c>
      <ns0:c r="E37" s="4" t="str">
        <ns0:v>After FB-067 verified functional catalogue, discuss whether human-readable codes are needed and revisit the connection to Stock Management. No mandatory code format/generation/backfill or replacement design approved. Record developer decision and affected requirements before any implementation. Preserve prior PRD design as history only.</ns0:v>
      </ns0:c>
      <ns0:c r="F37" s="4" t="str">
        <ns0:v>FB-067</ns0:v>
      </ns0:c>
      <ns0:c r="G37" s="4" t="str">
        <ns0:f>IF(H37="Complete","Complete",IF(I37="Blocked","Blocked",IF(I37="In progress","Ready",IF(F37="","Ready",IF(COUNTIFS($B$4:$B$73,F37,$H$4:$H$73,"Complete")=1,"Ready","Waiting")))))</ns0:f>
        <ns0:v>Waiting</ns0:v>
      </ns0:c>
      <ns0:c r="H37" s="4" t="str">
        <ns0:f>IF(I37="Not started","Not started",IF(I37="Blocked","Blocked",IF(I37="In progress","In progress",IF(J37&lt;&gt;"Passed","Awaiting code review",IF(OR(K37="",NOT(ISNUMBER(L37))),"Awaiting review evidence",IF(N37&lt;&gt;"Passed","Awaiting test",IF(OR(M37="",O37="",NOT(ISNUMBER(P37))),"Awaiting test evidence","Complete")))))))</ns0:f>
        <ns0:v>Not started</ns0:v>
      </ns0:c>
      <ns0:c r="I37" s="10" t="inlineStr">
        <ns0:is>
          <ns0:t xml:space="preserve">Not started</ns0:t>
        </ns0:is>
      </ns0:c>
      <ns0:c r="J37" s="10" t="inlineStr">
        <ns0:is>
          <ns0:t xml:space="preserve">Not reviewed</ns0:t>
        </ns0:is>
      </ns0:c>
      <ns0:c r="K37" s="10" t="n"/>
      <ns0:c r="L37" s="30" t="n"/>
      <ns0:c r="M37" s="10" t="n"/>
      <ns0:c r="N37" s="10" t="inlineStr">
        <ns0:is>
          <ns0:t xml:space="preserve">Not tested</ns0:t>
        </ns0:is>
      </ns0:c>
      <ns0:c r="O37" s="10" t="n"/>
      <ns0:c r="P37" s="30" t="n"/>
      <ns0:c r="Q37" s="10" t="str">
        <ns0: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37" s="10" t="str">
        <ns0:v>Before starting/resuming this item or feature: reread AGENTS.md from disk; apply teaching/testing rules. Do not start before FB-067 verified. Brainstorm code need and stock connections with developer, record approved decisions, then decide whether any code implementation/backfill is needed before FB-034. No automatic implementation of old PRD proposal.</ns0:v>
      </ns0:c>
      <ns0:c r="S37" s="10" t="n"/>
    </ns0:row>
    <ns0:row r="38" ht="105" customHeight="1">
      <ns0:c r="A38" s="9" t="n">
        <ns0:v>34</ns0:v>
      </ns0:c>
      <ns0:c r="B38" s="9" t="inlineStr">
        <ns0:is>
          <ns0:t xml:space="preserve">FB-036</ns0:t>
        </ns0:is>
      </ns0:c>
      <ns0:c r="C38" s="9" t="inlineStr">
        <ns0:is>
          <ns0:t xml:space="preserve">Products</ns0:t>
        </ns0:is>
      </ns0:c>
      <ns0:c r="D38" s="9" t="inlineStr">
        <ns0:is>
          <ns0:t xml:space="preserve">Prevent duplicate catalogue products</ns0:t>
        </ns0:is>
      </ns0:c>
      <ns0:c r="E38" s="9" t="inlineStr">
        <ns0:is>
          <ns0:t xml:space="preserve">Compare name/brand/Subcategory, ignore case/outer spaces and include inactive products. No package contents, counting unit or size in catalogue duplicate identity.</ns0:t>
        </ns0:is>
      </ns0:c>
      <ns0:c r="F38" s="9" t="str">
        <ns0:v>FB-033</ns0:v>
      </ns0:c>
      <ns0:c r="G38" s="9" t="str">
        <ns0:f>IF(H38="Complete","Complete",IF(I38="Blocked","Blocked",IF(I38="In progress","Ready",IF(F38="","Ready",IF(COUNTIFS($B$4:$B$73,F38,$H$4:$H$73,"Complete")=1,"Ready","Waiting")))))</ns0:f>
        <ns0:v>Complete</ns0:v>
      </ns0:c>
      <ns0:c r="H38" s="9" t="str">
        <ns0:f>IF(I38="Not started","Not started",IF(I38="Blocked","Blocked",IF(I38="In progress","In progress",IF(J38&lt;&gt;"Passed","Awaiting code review",IF(OR(K38="",NOT(ISNUMBER(L38))),"Awaiting review evidence",IF(N38&lt;&gt;"Passed","Awaiting test",IF(OR(M38="",O38="",NOT(ISNUMBER(P38))),"Awaiting test evidence","Complete")))))))</ns0:f>
        <ns0:v>Complete</ns0:v>
      </ns0:c>
      <ns0:c r="I38" s="11" t="str">
        <ns0:v>Ready for review</ns0:v>
      </ns0:c>
      <ns0:c r="J38" s="11" t="str">
        <ns0:v>Passed</ns0:v>
      </ns0:c>
      <ns0:c r="K38" s="11"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ns0:v>
      </ns0:c>
      <ns0:c r="L38" s="31" t="n">
        <ns0:v>46325</ns0:v>
      </ns0:c>
      <ns0:c r="M38" s="11" t="str">
        <ns0:v>Assistant (explicitly delegated automated, MySQL and browser checks)</ns0:v>
      </ns0:c>
      <ns0:c r="N38" s="11" t="str">
        <ns0:v>Passed</ns0:v>
      </ns0:c>
      <ns0:c r="O38" s="11"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ns0:v>
      </ns0:c>
      <ns0:c r="P38" s="31" t="n">
        <ns0:v>46325</ns0:v>
      </ns0:c>
      <ns0:c r="Q38" s="11" t="str">
        <ns0:v>2026-10-30 Product creation feature implemented/reviewed/tested; this item verified. Product list next; no product code/stock features implemented.</ns0:v>
      </ns0:c>
      <ns0:c r="R38" s="11" t="str">
        <ns0:v>Before starting/resuming this item or feature: reread AGENTS.md from disk; apply teaching/testing rules. Completed. Next ready item FB-038 Product list; show proposed changes before applying, preserve Poker coding/current catalogue UI and name-or-tag search checkpoints.</ns0:v>
      </ns0:c>
      <ns0:c r="S38" s="11" t="str"/>
    </ns0:row>
    <ns0:row r="39" ht="105" customHeight="1">
      <ns0:c r="A39" s="4" t="n">
        <ns0:v>35</ns0:v>
      </ns0:c>
      <ns0:c r="B39" s="4" t="inlineStr">
        <ns0:is>
          <ns0:t xml:space="preserve">FB-037</ns0:t>
        </ns0:is>
      </ns0:c>
      <ns0:c r="C39" s="4" t="inlineStr">
        <ns0:is>
          <ns0:t xml:space="preserve">Products</ns0:t>
        </ns0:is>
      </ns0:c>
      <ns0:c r="D39" s="4" t="inlineStr">
        <ns0:is>
          <ns0:t xml:space="preserve">Save products and attach optional tags</ns0:t>
        </ns0:is>
      </ns0:c>
      <ns0:c r="E39" s="4" t="str">
        <ns0:v>Managers/Super Admin create; Volunteers denied display/write. Save catalogue identity/classification/status only; no stock quantity/packaging. Optional shared tags; errors/retained input/processing and persisted fields. Both Product::tags() and Tag::products() use same product_tag pivot; tag-based lookup is required, verified in list/search phase.</ns0:v>
      </ns0:c>
      <ns0:c r="F39" s="4" t="inlineStr">
        <ns0:is>
          <ns0:t xml:space="preserve">FB-036</ns0:t>
        </ns0:is>
      </ns0:c>
      <ns0:c r="G39" s="4" t="str">
        <ns0:f>IF(H39="Complete","Complete",IF(I39="Blocked","Blocked",IF(I39="In progress","Ready",IF(F39="","Ready",IF(COUNTIFS($B$4:$B$73,F39,$H$4:$H$73,"Complete")=1,"Ready","Waiting")))))</ns0:f>
        <ns0:v>Complete</ns0:v>
      </ns0:c>
      <ns0:c r="H39" s="4" t="str">
        <ns0:f>IF(I39="Not started","Not started",IF(I39="Blocked","Blocked",IF(I39="In progress","In progress",IF(J39&lt;&gt;"Passed","Awaiting code review",IF(OR(K39="",NOT(ISNUMBER(L39))),"Awaiting review evidence",IF(N39&lt;&gt;"Passed","Awaiting test",IF(OR(M39="",O39="",NOT(ISNUMBER(P39))),"Awaiting test evidence","Complete")))))))</ns0:f>
        <ns0:v>Complete</ns0:v>
      </ns0:c>
      <ns0:c r="I39" s="10" t="str">
        <ns0:v>Ready for review</ns0:v>
      </ns0:c>
      <ns0:c r="J39" s="10" t="str">
        <ns0:v>Passed</ns0:v>
      </ns0:c>
      <ns0:c r="K39" s="10"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ns0:v>
      </ns0:c>
      <ns0:c r="L39" s="30" t="n">
        <ns0:v>46325</ns0:v>
      </ns0:c>
      <ns0:c r="M39" s="10" t="str">
        <ns0:v>Assistant (explicitly delegated automated, MySQL and browser checks)</ns0:v>
      </ns0:c>
      <ns0:c r="N39" s="10" t="str">
        <ns0:v>Passed</ns0:v>
      </ns0:c>
      <ns0:c r="O39" s="10"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ns0:v>
      </ns0:c>
      <ns0:c r="P39" s="30" t="n">
        <ns0:v>46325</ns0:v>
      </ns0:c>
      <ns0:c r="Q39" s="10" t="str">
        <ns0:v>2026-10-30 Product creation feature implemented/reviewed/tested; this item verified. Product list next; no product code/stock features implemented.</ns0:v>
      </ns0:c>
      <ns0:c r="R39" s="10" t="str">
        <ns0:v>Before starting/resuming this item or feature: reread AGENTS.md from disk; apply teaching/testing rules. Completed. Next ready item FB-038 Product list; show proposed changes before applying, preserve Poker coding/current catalogue UI and name-or-tag search checkpoints.</ns0:v>
      </ns0:c>
      <ns0:c r="S39" s="10" t="str"/>
    </ns0:row>
    <ns0:row r="40" ht="105" customHeight="1">
      <ns0:c r="A40" s="9" t="n">
        <ns0:v>36</ns0:v>
      </ns0:c>
      <ns0:c r="B40" s="9" t="inlineStr">
        <ns0:is>
          <ns0:t xml:space="preserve">FB-038</ns0:t>
        </ns0:is>
      </ns0:c>
      <ns0:c r="C40" s="9" t="inlineStr">
        <ns0:is>
          <ns0:t xml:space="preserve">Products</ns0:t>
        </ns0:is>
      </ns0:c>
      <ns0:c r="D40" s="9" t="inlineStr">
        <ns0:is>
          <ns0:t xml:space="preserve">Display the unfiltered catalogue product list</ns0:t>
        </ns0:is>
      </ns0:c>
      <ns0:c r="E40" s="9" t="str">
        <ns0:v>All roles see product name/category path/brand/status; no user-facing code. No size, measurement units, available quantity or totals. Verify server permissions.</ns0:v>
      </ns0:c>
      <ns0:c r="F40" s="9" t="inlineStr">
        <ns0:is>
          <ns0:t xml:space="preserve">FB-037</ns0:t>
        </ns0:is>
      </ns0:c>
      <ns0:c r="G40" s="9" t="str">
        <ns0:f>IF(H40="Complete","Complete",IF(I40="Blocked","Blocked",IF(I40="In progress","Ready",IF(F40="","Ready",IF(COUNTIFS($B$4:$B$73,F40,$H$4:$H$73,"Complete")=1,"Ready","Waiting")))))</ns0:f>
        <ns0:v>Ready</ns0:v>
      </ns0:c>
      <ns0:c r="H40" s="9" t="str">
        <ns0:f>IF(I40="Not started","Not started",IF(I40="Blocked","Blocked",IF(I40="In progress","In progress",IF(J40&lt;&gt;"Passed","Awaiting code review",IF(OR(K40="",NOT(ISNUMBER(L40))),"Awaiting review evidence",IF(N40&lt;&gt;"Passed","Awaiting test",IF(OR(M40="",O40="",NOT(ISNUMBER(P40))),"Awaiting test evidence","Complete")))))))</ns0:f>
        <ns0:v>Not started</ns0:v>
      </ns0:c>
      <ns0:c r="I40" s="11" t="inlineStr">
        <ns0:is>
          <ns0:t xml:space="preserve">Not started</ns0:t>
        </ns0:is>
      </ns0:c>
      <ns0:c r="J40" s="11" t="inlineStr">
        <ns0:is>
          <ns0:t xml:space="preserve">Not reviewed</ns0:t>
        </ns0:is>
      </ns0:c>
      <ns0:c r="K40" s="11" t="n"/>
      <ns0:c r="L40" s="31" t="n"/>
      <ns0:c r="M40" s="11" t="n"/>
      <ns0:c r="N40" s="11" t="inlineStr">
        <ns0:is>
          <ns0:t xml:space="preserve">Not tested</ns0:t>
        </ns0:is>
      </ns0:c>
      <ns0:c r="O40" s="11" t="n"/>
      <ns0:c r="P40" s="31" t="n"/>
      <ns0:c r="Q40" s="11" t="inlineStr">
        <ns0:is>
          <ns0:t>
2026-10-30 developer explicitly authorized refactoring CreateProduct. Extracted private findAndLockCategory, findAndLockSubcategory, ensureProductIsUnique and findAndLockTags helpers only. Reviewed diff: permission check remains before transaction; query/lock order, duplicate rules, errors, saving and tag attachment preserved. Scoped Pint and PHPStan PASS (0 errors). Behaviour verification of this refactor pending developer run: php artisan test tests/Feature/ProductCreateTest.php. Previous creation test evidence is historical; do not claim refactor behaviour verified. Product list remains not started.
2026-10-30 developer-reported PASS: replied done all tests passed after explicit php artisan test tests/Feature/ProductCreateTest.php request for CreateProduct helper refactor. Refactor source review, scoped Pint and PHPStan already passed. Refactor verification complete; no assistant-executed application tests claimed. Suggested commit: Refactor product creation into focused helper methods. FB-038 Product list remains not started.</ns0:t>
        </ns0:is>
      </ns0:c>
      <ns0:c r="R40" s="11" t="inlineStr">
        <ns0:is>
          <ns0:t>Before starting/resuming this item or feature: reread AGENTS.md from disk; apply teaching/testing rules. CreateProduct helper refactor reviewed and developer-tested PASS. Resume FB-038 Product list preview: paginated unfiltered name/path/brand/tags/status with all-role viewAny permission. Show changes before applying. Search/filters remain later FB-040/044; no product code or stock fields.</ns0:t>
        </ns0:is>
      </ns0:c>
      <ns0:c r="S40" s="11" t="n"/>
    </ns0:row>
    <ns0:row r="41" ht="105" customHeight="1">
      <ns0:c r="A41" s="4" t="n">
        <ns0:v>37</ns0:v>
      </ns0:c>
      <ns0:c r="B41" s="4" t="inlineStr">
        <ns0:is>
          <ns0:t xml:space="preserve">FB-039</ns0:t>
        </ns0:is>
      </ns0:c>
      <ns0:c r="C41" s="4" t="inlineStr">
        <ns0:is>
          <ns0:t xml:space="preserve">Products</ns0:t>
        </ns0:is>
      </ns0:c>
      <ns0:c r="D41" s="4" t="inlineStr">
        <ns0:is>
          <ns0:t xml:space="preserve">Arrange catalogue rows and filter toolbar</ns0:t>
        </ns0:is>
      </ns0:c>
      <ns0:c r="E41" s="4" t="inlineStr">
        <ns0:is>
          <ns0:t xml:space="preserve">Teach responsive widths, wrapping/table overflow/stacked toolbar for product identity/classification. No stock/size columns.</ns0:t>
        </ns0:is>
      </ns0:c>
      <ns0:c r="F41" s="4" t="inlineStr">
        <ns0:is>
          <ns0:t xml:space="preserve">FB-038</ns0:t>
        </ns0:is>
      </ns0:c>
      <ns0:c r="G41" s="4" t="str">
        <ns0:f>IF(H41="Complete","Complete",IF(I41="Blocked","Blocked",IF(I41="In progress","Ready",IF(F41="","Ready",IF(COUNTIFS($B$4:$B$73,F41,$H$4:$H$73,"Complete")=1,"Ready","Waiting")))))</ns0:f>
        <ns0:v>Waiting</ns0:v>
      </ns0:c>
      <ns0:c r="H41" s="4" t="str">
        <ns0:f>IF(I41="Not started","Not started",IF(I41="Blocked","Blocked",IF(I41="In progress","In progress",IF(J41&lt;&gt;"Passed","Awaiting code review",IF(OR(K41="",NOT(ISNUMBER(L41))),"Awaiting review evidence",IF(N41&lt;&gt;"Passed","Awaiting test",IF(OR(M41="",O41="",NOT(ISNUMBER(P41))),"Awaiting test evidence","Complete")))))))</ns0:f>
        <ns0:v>Not started</ns0:v>
      </ns0:c>
      <ns0:c r="I41" s="10" t="inlineStr">
        <ns0:is>
          <ns0:t xml:space="preserve">Not started</ns0:t>
        </ns0:is>
      </ns0:c>
      <ns0:c r="J41" s="10" t="inlineStr">
        <ns0:is>
          <ns0:t xml:space="preserve">Not reviewed</ns0:t>
        </ns0:is>
      </ns0:c>
      <ns0:c r="K41" s="10" t="n"/>
      <ns0:c r="L41" s="30" t="n"/>
      <ns0:c r="M41" s="10" t="n"/>
      <ns0:c r="N41" s="10" t="inlineStr">
        <ns0:is>
          <ns0:t xml:space="preserve">Not tested</ns0:t>
        </ns0:is>
      </ns0:c>
      <ns0:c r="O41" s="10" t="n"/>
      <ns0:c r="P41" s="30" t="n"/>
      <ns0:c r="Q41" s="10" t="n"/>
      <ns0:c r="R41" s="10" t="str">
        <ns0: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41" s="10" t="n"/>
    </ns0:row>
    <ns0:row r="42" ht="105" customHeight="1">
      <ns0:c r="A42" s="9" t="n">
        <ns0:v>38</ns0:v>
      </ns0:c>
      <ns0:c r="B42" s="9" t="inlineStr">
        <ns0:is>
          <ns0:t xml:space="preserve">FB-040</ns0:t>
        </ns0:is>
      </ns0:c>
      <ns0:c r="C42" s="9" t="inlineStr">
        <ns0:is>
          <ns0:t xml:space="preserve">Products</ns0:t>
        </ns0:is>
      </ns0:c>
      <ns0:c r="D42" s="9" t="str">
        <ns0:v>Add search by product name or tag name</ns0:v>
      </ns0:c>
      <ns0:c r="E42" s="9" t="str">
        <ns0:v>Search product names OR attached tag names across full catalogue before pagination. Halal finds products attached to Halal tag. Case-insensitive partial matching; avoid duplicate product rows for multiple matching tags; clear/no-result checks and combine with separate filters. Product-code search remains deferred to post-catalogue decision FB-035.</ns0:v>
      </ns0:c>
      <ns0:c r="F42" s="9" t="inlineStr">
        <ns0:is>
          <ns0:t xml:space="preserve">FB-039</ns0:t>
        </ns0:is>
      </ns0:c>
      <ns0:c r="G42" s="9" t="str">
        <ns0:f>IF(H42="Complete","Complete",IF(I42="Blocked","Blocked",IF(I42="In progress","Ready",IF(F42="","Ready",IF(COUNTIFS($B$4:$B$73,F42,$H$4:$H$73,"Complete")=1,"Ready","Waiting")))))</ns0:f>
        <ns0:v>Waiting</ns0:v>
      </ns0:c>
      <ns0:c r="H42" s="9" t="str">
        <ns0:f>IF(I42="Not started","Not started",IF(I42="Blocked","Blocked",IF(I42="In progress","In progress",IF(J42&lt;&gt;"Passed","Awaiting code review",IF(OR(K42="",NOT(ISNUMBER(L42))),"Awaiting review evidence",IF(N42&lt;&gt;"Passed","Awaiting test",IF(OR(M42="",O42="",NOT(ISNUMBER(P42))),"Awaiting test evidence","Complete")))))))</ns0:f>
        <ns0:v>Not started</ns0:v>
      </ns0:c>
      <ns0:c r="I42" s="11" t="inlineStr">
        <ns0:is>
          <ns0:t xml:space="preserve">Not started</ns0:t>
        </ns0:is>
      </ns0:c>
      <ns0:c r="J42" s="11" t="inlineStr">
        <ns0:is>
          <ns0:t xml:space="preserve">Not reviewed</ns0:t>
        </ns0:is>
      </ns0:c>
      <ns0:c r="K42" s="11" t="n"/>
      <ns0:c r="L42" s="31" t="n"/>
      <ns0:c r="M42" s="11" t="n"/>
      <ns0:c r="N42" s="11" t="inlineStr">
        <ns0:is>
          <ns0:t xml:space="preserve">Not tested</ns0:t>
        </ns0:is>
      </ns0:c>
      <ns0:c r="O42" s="11" t="n"/>
      <ns0:c r="P42" s="31" t="n"/>
      <ns0:c r="Q42" s="11" t="n"/>
      <ns0:c r="R42" s="11" t="str">
        <ns0: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42" s="11" t="n"/>
    </ns0:row>
    <ns0:row r="43" ht="105" customHeight="1">
      <ns0:c r="A43" s="4" t="n">
        <ns0:v>39</ns0:v>
      </ns0:c>
      <ns0:c r="B43" s="4" t="inlineStr">
        <ns0:is>
          <ns0:t xml:space="preserve">FB-041</ns0:t>
        </ns0:is>
      </ns0:c>
      <ns0:c r="C43" s="4" t="inlineStr">
        <ns0:is>
          <ns0:t xml:space="preserve">Products</ns0:t>
        </ns0:is>
      </ns0:c>
      <ns0:c r="D43" s="4" t="inlineStr">
        <ns0:is>
          <ns0:t xml:space="preserve">Add the department filter</ns0:t>
        </ns0:is>
      </ns0:c>
      <ns0:c r="E43" s="4" t="inlineStr">
        <ns0:is>
          <ns0:t xml:space="preserve">Filter by department alone and with search. Explain selected state and request values; do not introduce remaining filters yet.</ns0:t>
        </ns0:is>
      </ns0:c>
      <ns0:c r="F43" s="4" t="inlineStr">
        <ns0:is>
          <ns0:t xml:space="preserve">FB-040</ns0:t>
        </ns0:is>
      </ns0:c>
      <ns0:c r="G43" s="4" t="str">
        <ns0:f>IF(H43="Complete","Complete",IF(I43="Blocked","Blocked",IF(I43="In progress","Ready",IF(F43="","Ready",IF(COUNTIFS($B$4:$B$73,F43,$H$4:$H$73,"Complete")=1,"Ready","Waiting")))))</ns0:f>
        <ns0:v>Waiting</ns0:v>
      </ns0:c>
      <ns0:c r="H43" s="4" t="str">
        <ns0:f>IF(I43="Not started","Not started",IF(I43="Blocked","Blocked",IF(I43="In progress","In progress",IF(J43&lt;&gt;"Passed","Awaiting code review",IF(OR(K43="",NOT(ISNUMBER(L43))),"Awaiting review evidence",IF(N43&lt;&gt;"Passed","Awaiting test",IF(OR(M43="",O43="",NOT(ISNUMBER(P43))),"Awaiting test evidence","Complete")))))))</ns0:f>
        <ns0:v>Not started</ns0:v>
      </ns0:c>
      <ns0:c r="I43" s="10" t="inlineStr">
        <ns0:is>
          <ns0:t xml:space="preserve">Not started</ns0:t>
        </ns0:is>
      </ns0:c>
      <ns0:c r="J43" s="10" t="inlineStr">
        <ns0:is>
          <ns0:t xml:space="preserve">Not reviewed</ns0:t>
        </ns0:is>
      </ns0:c>
      <ns0:c r="K43" s="10" t="n"/>
      <ns0:c r="L43" s="30" t="n"/>
      <ns0:c r="M43" s="10" t="n"/>
      <ns0:c r="N43" s="10" t="inlineStr">
        <ns0:is>
          <ns0:t xml:space="preserve">Not tested</ns0:t>
        </ns0:is>
      </ns0:c>
      <ns0:c r="O43" s="10" t="n"/>
      <ns0:c r="P43" s="30" t="n"/>
      <ns0:c r="Q43" s="10" t="n"/>
      <ns0:c r="R43" s="10" t="str">
        <ns0: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43" s="10" t="n"/>
    </ns0:row>
    <ns0:row r="44" ht="105" customHeight="1">
      <ns0:c r="A44" s="9" t="n">
        <ns0:v>40</ns0:v>
      </ns0:c>
      <ns0:c r="B44" s="9" t="inlineStr">
        <ns0:is>
          <ns0:t xml:space="preserve">FB-042</ns0:t>
        </ns0:is>
      </ns0:c>
      <ns0:c r="C44" s="9" t="inlineStr">
        <ns0:is>
          <ns0:t xml:space="preserve">Products</ns0:t>
        </ns0:is>
      </ns0:c>
      <ns0:c r="D44" s="9" t="inlineStr">
        <ns0:is>
          <ns0:t xml:space="preserve">Add the category filter</ns0:t>
        </ns0:is>
      </ns0:c>
      <ns0:c r="E44" s="9" t="inlineStr">
        <ns0:is>
          <ns0:t xml:space="preserve">Filter by category and combine with department/search; changing parent must not leave incompatible selections.</ns0:t>
        </ns0:is>
      </ns0:c>
      <ns0:c r="F44" s="9" t="inlineStr">
        <ns0:is>
          <ns0:t xml:space="preserve">FB-041</ns0:t>
        </ns0:is>
      </ns0:c>
      <ns0:c r="G44" s="9" t="str">
        <ns0:f>IF(H44="Complete","Complete",IF(I44="Blocked","Blocked",IF(I44="In progress","Ready",IF(F44="","Ready",IF(COUNTIFS($B$4:$B$73,F44,$H$4:$H$73,"Complete")=1,"Ready","Waiting")))))</ns0:f>
        <ns0:v>Waiting</ns0:v>
      </ns0:c>
      <ns0:c r="H44" s="9" t="str">
        <ns0:f>IF(I44="Not started","Not started",IF(I44="Blocked","Blocked",IF(I44="In progress","In progress",IF(J44&lt;&gt;"Passed","Awaiting code review",IF(OR(K44="",NOT(ISNUMBER(L44))),"Awaiting review evidence",IF(N44&lt;&gt;"Passed","Awaiting test",IF(OR(M44="",O44="",NOT(ISNUMBER(P44))),"Awaiting test evidence","Complete")))))))</ns0:f>
        <ns0:v>Not started</ns0:v>
      </ns0:c>
      <ns0:c r="I44" s="11" t="inlineStr">
        <ns0:is>
          <ns0:t xml:space="preserve">Not started</ns0:t>
        </ns0:is>
      </ns0:c>
      <ns0:c r="J44" s="11" t="inlineStr">
        <ns0:is>
          <ns0:t xml:space="preserve">Not reviewed</ns0:t>
        </ns0:is>
      </ns0:c>
      <ns0:c r="K44" s="11" t="n"/>
      <ns0:c r="L44" s="31" t="n"/>
      <ns0:c r="M44" s="11" t="n"/>
      <ns0:c r="N44" s="11" t="inlineStr">
        <ns0:is>
          <ns0:t xml:space="preserve">Not tested</ns0:t>
        </ns0:is>
      </ns0:c>
      <ns0:c r="O44" s="11" t="n"/>
      <ns0:c r="P44" s="31" t="n"/>
      <ns0:c r="Q44" s="11" t="n"/>
      <ns0:c r="R44" s="11" t="str">
        <ns0: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44" s="11" t="n"/>
    </ns0:row>
    <ns0:row r="45" ht="105" customHeight="1">
      <ns0:c r="A45" s="4" t="n">
        <ns0:v>41</ns0:v>
      </ns0:c>
      <ns0:c r="B45" s="4" t="inlineStr">
        <ns0:is>
          <ns0:t xml:space="preserve">FB-043</ns0:t>
        </ns0:is>
      </ns0:c>
      <ns0:c r="C45" s="4" t="inlineStr">
        <ns0:is>
          <ns0:t xml:space="preserve">Products</ns0:t>
        </ns0:is>
      </ns0:c>
      <ns0:c r="D45" s="4" t="inlineStr">
        <ns0:is>
          <ns0:t xml:space="preserve">Add the subcategory filter</ns0:t>
        </ns0:is>
      </ns0:c>
      <ns0:c r="E45" s="4" t="inlineStr">
        <ns0:is>
          <ns0:t xml:space="preserve">Filter by subcategory alongside existing selections; verify full path and no skipped/contradictory parent selection.</ns0:t>
        </ns0:is>
      </ns0:c>
      <ns0:c r="F45" s="4" t="inlineStr">
        <ns0:is>
          <ns0:t xml:space="preserve">FB-042</ns0:t>
        </ns0:is>
      </ns0:c>
      <ns0:c r="G45" s="4" t="str">
        <ns0:f>IF(H45="Complete","Complete",IF(I45="Blocked","Blocked",IF(I45="In progress","Ready",IF(F45="","Ready",IF(COUNTIFS($B$4:$B$73,F45,$H$4:$H$73,"Complete")=1,"Ready","Waiting")))))</ns0:f>
        <ns0:v>Waiting</ns0:v>
      </ns0:c>
      <ns0:c r="H45" s="4" t="str">
        <ns0:f>IF(I45="Not started","Not started",IF(I45="Blocked","Blocked",IF(I45="In progress","In progress",IF(J45&lt;&gt;"Passed","Awaiting code review",IF(OR(K45="",NOT(ISNUMBER(L45))),"Awaiting review evidence",IF(N45&lt;&gt;"Passed","Awaiting test",IF(OR(M45="",O45="",NOT(ISNUMBER(P45))),"Awaiting test evidence","Complete")))))))</ns0:f>
        <ns0:v>Not started</ns0:v>
      </ns0:c>
      <ns0:c r="I45" s="10" t="inlineStr">
        <ns0:is>
          <ns0:t xml:space="preserve">Not started</ns0:t>
        </ns0:is>
      </ns0:c>
      <ns0:c r="J45" s="10" t="inlineStr">
        <ns0:is>
          <ns0:t xml:space="preserve">Not reviewed</ns0:t>
        </ns0:is>
      </ns0:c>
      <ns0:c r="K45" s="10" t="n"/>
      <ns0:c r="L45" s="30" t="n"/>
      <ns0:c r="M45" s="10" t="n"/>
      <ns0:c r="N45" s="10" t="inlineStr">
        <ns0:is>
          <ns0:t xml:space="preserve">Not tested</ns0:t>
        </ns0:is>
      </ns0:c>
      <ns0:c r="O45" s="10" t="n"/>
      <ns0:c r="P45" s="30" t="n"/>
      <ns0:c r="Q45" s="10" t="n"/>
      <ns0:c r="R45" s="10" t="str">
        <ns0: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45" s="10" t="n"/>
    </ns0:row>
    <ns0:row r="46" ht="105" customHeight="1">
      <ns0:c r="A46" s="9" t="n">
        <ns0:v>42</ns0:v>
      </ns0:c>
      <ns0:c r="B46" s="9" t="inlineStr">
        <ns0:is>
          <ns0:t xml:space="preserve">FB-044</ns0:t>
        </ns0:is>
      </ns0:c>
      <ns0:c r="C46" s="9" t="inlineStr">
        <ns0:is>
          <ns0:t xml:space="preserve">Products</ns0:t>
        </ns0:is>
      </ns0:c>
      <ns0:c r="D46" s="9" t="inlineStr">
        <ns0:is>
          <ns0:t xml:space="preserve">Add the tag filter</ns0:t>
        </ns0:is>
      </ns0:c>
      <ns0:c r="E46" s="9" t="inlineStr">
        <ns0:is>
          <ns0:t xml:space="preserve">Show products with the selected shared tag; combine with prior filters and search. Untagged products remain visible when tag filter is cleared.</ns0:t>
        </ns0:is>
      </ns0:c>
      <ns0:c r="F46" s="9" t="inlineStr">
        <ns0:is>
          <ns0:t xml:space="preserve">FB-043</ns0:t>
        </ns0:is>
      </ns0:c>
      <ns0:c r="G46" s="9" t="str">
        <ns0:f>IF(H46="Complete","Complete",IF(I46="Blocked","Blocked",IF(I46="In progress","Ready",IF(F46="","Ready",IF(COUNTIFS($B$4:$B$73,F46,$H$4:$H$73,"Complete")=1,"Ready","Waiting")))))</ns0:f>
        <ns0:v>Waiting</ns0:v>
      </ns0:c>
      <ns0:c r="H46" s="9" t="str">
        <ns0:f>IF(I46="Not started","Not started",IF(I46="Blocked","Blocked",IF(I46="In progress","In progress",IF(J46&lt;&gt;"Passed","Awaiting code review",IF(OR(K46="",NOT(ISNUMBER(L46))),"Awaiting review evidence",IF(N46&lt;&gt;"Passed","Awaiting test",IF(OR(M46="",O46="",NOT(ISNUMBER(P46))),"Awaiting test evidence","Complete")))))))</ns0:f>
        <ns0:v>Not started</ns0:v>
      </ns0:c>
      <ns0:c r="I46" s="11" t="inlineStr">
        <ns0:is>
          <ns0:t xml:space="preserve">Not started</ns0:t>
        </ns0:is>
      </ns0:c>
      <ns0:c r="J46" s="11" t="inlineStr">
        <ns0:is>
          <ns0:t xml:space="preserve">Not reviewed</ns0:t>
        </ns0:is>
      </ns0:c>
      <ns0:c r="K46" s="11" t="n"/>
      <ns0:c r="L46" s="31" t="n"/>
      <ns0:c r="M46" s="11" t="n"/>
      <ns0:c r="N46" s="11" t="inlineStr">
        <ns0:is>
          <ns0:t xml:space="preserve">Not tested</ns0:t>
        </ns0:is>
      </ns0:c>
      <ns0:c r="O46" s="11" t="n"/>
      <ns0:c r="P46" s="31" t="n"/>
      <ns0:c r="Q46" s="11" t="n"/>
      <ns0:c r="R46" s="11" t="str">
        <ns0: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46" s="11" t="n"/>
    </ns0:row>
    <ns0:row r="47" ht="105" customHeight="1">
      <ns0:c r="A47" s="4" t="n">
        <ns0:v>43</ns0:v>
      </ns0:c>
      <ns0:c r="B47" s="4" t="inlineStr">
        <ns0:is>
          <ns0:t xml:space="preserve">FB-045</ns0:t>
        </ns0:is>
      </ns0:c>
      <ns0:c r="C47" s="4" t="inlineStr">
        <ns0:is>
          <ns0:t xml:space="preserve">Products</ns0:t>
        </ns0:is>
      </ns0:c>
      <ns0:c r="D47" s="4" t="inlineStr">
        <ns0:is>
          <ns0:t xml:space="preserve">Add the product status filter</ns0:t>
        </ns0:is>
      </ns0:c>
      <ns0:c r="E47" s="4" t="inlineStr">
        <ns0:is>
          <ns0:t xml:space="preserve">All/Active/Inactive works with existing filters. General product list may show inactive/zero-stock products; distribution picker later has stricter rules.</ns0:t>
        </ns0:is>
      </ns0:c>
      <ns0:c r="F47" s="4" t="inlineStr">
        <ns0:is>
          <ns0:t xml:space="preserve">FB-044</ns0:t>
        </ns0:is>
      </ns0:c>
      <ns0:c r="G47" s="4" t="str">
        <ns0:f>IF(H47="Complete","Complete",IF(I47="Blocked","Blocked",IF(I47="In progress","Ready",IF(F47="","Ready",IF(COUNTIFS($B$4:$B$73,F47,$H$4:$H$73,"Complete")=1,"Ready","Waiting")))))</ns0:f>
        <ns0:v>Waiting</ns0:v>
      </ns0:c>
      <ns0:c r="H47" s="4" t="str">
        <ns0:f>IF(I47="Not started","Not started",IF(I47="Blocked","Blocked",IF(I47="In progress","In progress",IF(J47&lt;&gt;"Passed","Awaiting code review",IF(OR(K47="",NOT(ISNUMBER(L47))),"Awaiting review evidence",IF(N47&lt;&gt;"Passed","Awaiting test",IF(OR(M47="",O47="",NOT(ISNUMBER(P47))),"Awaiting test evidence","Complete")))))))</ns0:f>
        <ns0:v>Not started</ns0:v>
      </ns0:c>
      <ns0:c r="I47" s="10" t="inlineStr">
        <ns0:is>
          <ns0:t xml:space="preserve">Not started</ns0:t>
        </ns0:is>
      </ns0:c>
      <ns0:c r="J47" s="10" t="inlineStr">
        <ns0:is>
          <ns0:t xml:space="preserve">Not reviewed</ns0:t>
        </ns0:is>
      </ns0:c>
      <ns0:c r="K47" s="10" t="n"/>
      <ns0:c r="L47" s="30" t="n"/>
      <ns0:c r="M47" s="10" t="n"/>
      <ns0:c r="N47" s="10" t="inlineStr">
        <ns0:is>
          <ns0:t xml:space="preserve">Not tested</ns0:t>
        </ns0:is>
      </ns0:c>
      <ns0:c r="O47" s="10" t="n"/>
      <ns0:c r="P47" s="30" t="n"/>
      <ns0:c r="Q47" s="10" t="n"/>
      <ns0:c r="R47" s="10" t="str">
        <ns0: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47" s="10" t="n"/>
    </ns0:row>
    <ns0:row r="48" ht="105" customHeight="1">
      <ns0:c r="A48" s="9" t="n">
        <ns0:v>44</ns0:v>
      </ns0:c>
      <ns0:c r="B48" s="9" t="inlineStr">
        <ns0:is>
          <ns0:t xml:space="preserve">FB-046</ns0:t>
        </ns0:is>
      </ns0:c>
      <ns0:c r="C48" s="9" t="inlineStr">
        <ns0:is>
          <ns0:t xml:space="preserve">Products</ns0:t>
        </ns0:is>
      </ns0:c>
      <ns0:c r="D48" s="9" t="inlineStr">
        <ns0:is>
          <ns0:t xml:space="preserve">Paginate and verify the full product list</ns0:t>
        </ns0:is>
      </ns0:c>
      <ns0:c r="E48" s="9" t="inlineStr">
        <ns0:is>
          <ns0:t xml:space="preserve">10 products per page after all search/filters. Preserve selections across pages; all roles may list/search/filter. Verify combinations and boundary/empty pages.</ns0:t>
        </ns0:is>
      </ns0:c>
      <ns0:c r="F48" s="9" t="inlineStr">
        <ns0:is>
          <ns0:t xml:space="preserve">FB-045</ns0:t>
        </ns0:is>
      </ns0:c>
      <ns0:c r="G48" s="9" t="str">
        <ns0:f>IF(H48="Complete","Complete",IF(I48="Blocked","Blocked",IF(I48="In progress","Ready",IF(F48="","Ready",IF(COUNTIFS($B$4:$B$73,F48,$H$4:$H$73,"Complete")=1,"Ready","Waiting")))))</ns0:f>
        <ns0:v>Waiting</ns0:v>
      </ns0:c>
      <ns0:c r="H48" s="9" t="str">
        <ns0:f>IF(I48="Not started","Not started",IF(I48="Blocked","Blocked",IF(I48="In progress","In progress",IF(J48&lt;&gt;"Passed","Awaiting code review",IF(OR(K48="",NOT(ISNUMBER(L48))),"Awaiting review evidence",IF(N48&lt;&gt;"Passed","Awaiting test",IF(OR(M48="",O48="",NOT(ISNUMBER(P48))),"Awaiting test evidence","Complete")))))))</ns0:f>
        <ns0:v>Not started</ns0:v>
      </ns0:c>
      <ns0:c r="I48" s="11" t="inlineStr">
        <ns0:is>
          <ns0:t xml:space="preserve">Not started</ns0:t>
        </ns0:is>
      </ns0:c>
      <ns0:c r="J48" s="11" t="inlineStr">
        <ns0:is>
          <ns0:t xml:space="preserve">Not reviewed</ns0:t>
        </ns0:is>
      </ns0:c>
      <ns0:c r="K48" s="11" t="n"/>
      <ns0:c r="L48" s="31" t="n"/>
      <ns0:c r="M48" s="11" t="n"/>
      <ns0:c r="N48" s="11" t="inlineStr">
        <ns0:is>
          <ns0:t xml:space="preserve">Not tested</ns0:t>
        </ns0:is>
      </ns0:c>
      <ns0:c r="O48" s="11" t="n"/>
      <ns0:c r="P48" s="31" t="n"/>
      <ns0:c r="Q48" s="11" t="n"/>
      <ns0:c r="R48" s="11" t="str">
        <ns0: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48" s="11" t="n"/>
    </ns0:row>
    <ns0:row r="49" ht="105" customHeight="1">
      <ns0:c r="A49" s="4" t="n">
        <ns0:v>45</ns0:v>
      </ns0:c>
      <ns0:c r="B49" s="4" t="inlineStr">
        <ns0:is>
          <ns0:t xml:space="preserve">FB-047</ns0:t>
        </ns0:is>
      </ns0:c>
      <ns0:c r="C49" s="4" t="inlineStr">
        <ns0:is>
          <ns0:t xml:space="preserve">Products</ns0:t>
        </ns0:is>
      </ns0:c>
      <ns0:c r="D49" s="4" t="inlineStr">
        <ns0:is>
          <ns0:t xml:space="preserve">Edit catalogue product details</ns0:t>
        </ns0:is>
      </ns0:c>
      <ns0:c r="E49" s="4" t="str">
        <ns0:v>Managers/Super Admin edit catalogue fields with duplicate checks. No code, packaging or stock fields. Stock-related classification constraints remain for the post-catalogue design checkpoint.</ns0:v>
      </ns0:c>
      <ns0:c r="F49" s="4" t="inlineStr">
        <ns0:is>
          <ns0:t xml:space="preserve">FB-046</ns0:t>
        </ns0:is>
      </ns0:c>
      <ns0:c r="G49" s="4" t="str">
        <ns0:f>IF(H49="Complete","Complete",IF(I49="Blocked","Blocked",IF(I49="In progress","Ready",IF(F49="","Ready",IF(COUNTIFS($B$4:$B$73,F49,$H$4:$H$73,"Complete")=1,"Ready","Waiting")))))</ns0:f>
        <ns0:v>Waiting</ns0:v>
      </ns0:c>
      <ns0:c r="H49" s="4" t="str">
        <ns0:f>IF(I49="Not started","Not started",IF(I49="Blocked","Blocked",IF(I49="In progress","In progress",IF(J49&lt;&gt;"Passed","Awaiting code review",IF(OR(K49="",NOT(ISNUMBER(L49))),"Awaiting review evidence",IF(N49&lt;&gt;"Passed","Awaiting test",IF(OR(M49="",O49="",NOT(ISNUMBER(P49))),"Awaiting test evidence","Complete")))))))</ns0:f>
        <ns0:v>Not started</ns0:v>
      </ns0:c>
      <ns0:c r="I49" s="10" t="inlineStr">
        <ns0:is>
          <ns0:t xml:space="preserve">Not started</ns0:t>
        </ns0:is>
      </ns0:c>
      <ns0:c r="J49" s="10" t="inlineStr">
        <ns0:is>
          <ns0:t xml:space="preserve">Not reviewed</ns0:t>
        </ns0:is>
      </ns0:c>
      <ns0:c r="K49" s="10" t="n"/>
      <ns0:c r="L49" s="30" t="n"/>
      <ns0:c r="M49" s="10" t="n"/>
      <ns0:c r="N49" s="10" t="inlineStr">
        <ns0:is>
          <ns0:t xml:space="preserve">Not tested</ns0:t>
        </ns0:is>
      </ns0:c>
      <ns0:c r="O49" s="10" t="n"/>
      <ns0:c r="P49" s="30" t="n"/>
      <ns0:c r="Q49" s="10" t="n"/>
      <ns0:c r="R49" s="10" t="str">
        <ns0: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When adding Product edits later, preserve same duplicate identity semantics and serialize conflicting creates/edits on affected Subcategory records; current CreateProduct action is verified for creation, not future concurrent edit workflows.</ns0:v>
      </ns0:c>
      <ns0:c r="S49" s="10" t="n"/>
    </ns0:row>
    <ns0:row r="50" ht="105" customHeight="1">
      <ns0:c r="A50" s="9" t="n">
        <ns0:v>46</ns0:v>
      </ns0:c>
      <ns0:c r="B50" s="9" t="inlineStr">
        <ns0:is>
          <ns0:t xml:space="preserve">FB-048</ns0:t>
        </ns0:is>
      </ns0:c>
      <ns0:c r="C50" s="9" t="inlineStr">
        <ns0:is>
          <ns0:t xml:space="preserve">Products</ns0:t>
        </ns0:is>
      </ns0:c>
      <ns0:c r="D50" s="9" t="inlineStr">
        <ns0:is>
          <ns0:t xml:space="preserve">Activate/deactivate products and manage tag removal</ns0:t>
        </ns0:is>
      </ns0:c>
      <ns0:c r="E50" s="9" t="inlineStr">
        <ns0:is>
          <ns0:t xml:space="preserve">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ns0:t>
        </ns0:is>
      </ns0:c>
      <ns0:c r="F50" s="9" t="inlineStr">
        <ns0:is>
          <ns0:t xml:space="preserve">FB-047</ns0:t>
        </ns0:is>
      </ns0:c>
      <ns0:c r="G50" s="9" t="str">
        <ns0:f>IF(H50="Complete","Complete",IF(I50="Blocked","Blocked",IF(I50="In progress","Ready",IF(F50="","Ready",IF(COUNTIFS($B$4:$B$73,F50,$H$4:$H$73,"Complete")=1,"Ready","Waiting")))))</ns0:f>
        <ns0:v>Waiting</ns0:v>
      </ns0:c>
      <ns0:c r="H50" s="9" t="str">
        <ns0:f>IF(I50="Not started","Not started",IF(I50="Blocked","Blocked",IF(I50="In progress","In progress",IF(J50&lt;&gt;"Passed","Awaiting code review",IF(OR(K50="",NOT(ISNUMBER(L50))),"Awaiting review evidence",IF(N50&lt;&gt;"Passed","Awaiting test",IF(OR(M50="",O50="",NOT(ISNUMBER(P50))),"Awaiting test evidence","Complete")))))))</ns0:f>
        <ns0:v>Not started</ns0:v>
      </ns0:c>
      <ns0:c r="I50" s="11" t="inlineStr">
        <ns0:is>
          <ns0:t xml:space="preserve">Not started</ns0:t>
        </ns0:is>
      </ns0:c>
      <ns0:c r="J50" s="11" t="inlineStr">
        <ns0:is>
          <ns0:t xml:space="preserve">Not reviewed</ns0:t>
        </ns0:is>
      </ns0:c>
      <ns0:c r="K50" s="11" t="n"/>
      <ns0:c r="L50" s="31" t="n"/>
      <ns0:c r="M50" s="11" t="n"/>
      <ns0:c r="N50" s="11" t="inlineStr">
        <ns0:is>
          <ns0:t xml:space="preserve">Not tested</ns0:t>
        </ns0:is>
      </ns0:c>
      <ns0:c r="O50" s="11" t="n"/>
      <ns0:c r="P50" s="31" t="n"/>
      <ns0:c r="Q50" s="11" t="n"/>
      <ns0:c r="R50" s="11" t="str">
        <ns0: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50" s="11" t="n"/>
    </ns0:row>
    <ns0:row r="51" ht="105" customHeight="1">
      <ns0:c r="A51" s="4" t="n">
        <ns0:v>47</ns0:v>
      </ns0:c>
      <ns0:c r="B51" s="4" t="inlineStr">
        <ns0:is>
          <ns0:t xml:space="preserve">FB-067</ns0:t>
        </ns0:is>
      </ns0:c>
      <ns0:c r="C51" s="4" t="inlineStr">
        <ns0:is>
          <ns0:t xml:space="preserve">Verification</ns0:t>
        </ns0:is>
      </ns0:c>
      <ns0:c r="D51" s="4" t="inlineStr">
        <ns0:is>
          <ns0:t xml:space="preserve">Verify completed Product Catalogue before Stock Management</ns0:t>
        </ns0:is>
      </ns0:c>
      <ns0:c r="E51" s="4" t="str">
        <ns0:v>Review/test hierarchy/tags/product identity, duplicate/required fields, name search, filters/pagination, responsive views and permissions. No product-code requirement in this phase. Verify no sizes/units/quantities/history/totals appear. Stock integration/deactivation checks remain at FB-053. Next discuss whether codes are needed at FB-035 before Stock Management FB-034.</ns0:v>
      </ns0:c>
      <ns0:c r="F51" s="4" t="inlineStr">
        <ns0:is>
          <ns0:t xml:space="preserve">FB-048</ns0:t>
        </ns0:is>
      </ns0:c>
      <ns0:c r="G51" s="4" t="str">
        <ns0:f>IF(H51="Complete","Complete",IF(I51="Blocked","Blocked",IF(I51="In progress","Ready",IF(F51="","Ready",IF(COUNTIFS($B$4:$B$73,F51,$H$4:$H$73,"Complete")=1,"Ready","Waiting")))))</ns0:f>
        <ns0:v>Waiting</ns0:v>
      </ns0:c>
      <ns0:c r="H51" s="4" t="str">
        <ns0:f>IF(I51="Not started","Not started",IF(I51="Blocked","Blocked",IF(I51="In progress","In progress",IF(J51&lt;&gt;"Passed","Awaiting code review",IF(OR(K51="",NOT(ISNUMBER(L51))),"Awaiting review evidence",IF(N51&lt;&gt;"Passed","Awaiting test",IF(OR(M51="",O51="",NOT(ISNUMBER(P51))),"Awaiting test evidence","Complete")))))))</ns0:f>
        <ns0:v>Not started</ns0:v>
      </ns0:c>
      <ns0:c r="I51" s="10" t="inlineStr">
        <ns0:is>
          <ns0:t xml:space="preserve">Not started</ns0:t>
        </ns0:is>
      </ns0:c>
      <ns0:c r="J51" s="10" t="inlineStr">
        <ns0:is>
          <ns0:t xml:space="preserve">Not reviewed</ns0:t>
        </ns0:is>
      </ns0:c>
      <ns0:c r="K51" s="10" t="n"/>
      <ns0:c r="L51" s="30" t="n"/>
      <ns0:c r="M51" s="10" t="n"/>
      <ns0:c r="N51" s="10" t="inlineStr">
        <ns0:is>
          <ns0:t xml:space="preserve">Not tested</ns0:t>
        </ns0:is>
      </ns0:c>
      <ns0:c r="O51" s="10" t="n"/>
      <ns0:c r="P51" s="30" t="n"/>
      <ns0:c r="Q51" s="10" t="n"/>
      <ns0:c r="R51" s="10" t="str">
        <ns0: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51" s="10" t="n"/>
    </ns0:row>
    <ns0:row r="52" ht="105" customHeight="1">
      <ns0:c r="A52" s="9" t="n">
        <ns0:v>49</ns0:v>
      </ns0:c>
      <ns0:c r="B52" s="9" t="inlineStr">
        <ns0:is>
          <ns0:t xml:space="preserve">FB-034</ns0:t>
        </ns0:is>
      </ns0:c>
      <ns0:c r="C52" s="9" t="inlineStr">
        <ns0:is>
          <ns0:t xml:space="preserve">Stock Management</ns0:t>
        </ns0:is>
      </ns0:c>
      <ns0:c r="D52" s="9" t="inlineStr">
        <ns0:is>
          <ns0:t xml:space="preserve">Build reusable package sizes and product stock items</ns0:t>
        </ns0:is>
      </ns0:c>
      <ns0:c r="E52" s="9" t="inlineStr">
        <ns0:is>
          <ns0: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ns0:t>
        </ns0:is>
      </ns0:c>
      <ns0:c r="F52" s="9" t="str">
        <ns0:v>FB-035</ns0:v>
      </ns0:c>
      <ns0:c r="G52" s="9" t="str">
        <ns0:f>IF(H52="Complete","Complete",IF(I52="Blocked","Blocked",IF(I52="In progress","Ready",IF(F52="","Ready",IF(COUNTIFS($B$4:$B$73,F52,$H$4:$H$73,"Complete")=1,"Ready","Waiting")))))</ns0:f>
        <ns0:v>Waiting</ns0:v>
      </ns0:c>
      <ns0:c r="H52" s="9" t="str">
        <ns0:f>IF(I52="Not started","Not started",IF(I52="Blocked","Blocked",IF(I52="In progress","In progress",IF(J52&lt;&gt;"Passed","Awaiting code review",IF(OR(K52="",NOT(ISNUMBER(L52))),"Awaiting review evidence",IF(N52&lt;&gt;"Passed","Awaiting test",IF(OR(M52="",O52="",NOT(ISNUMBER(P52))),"Awaiting test evidence","Complete")))))))</ns0:f>
        <ns0:v>Not started</ns0:v>
      </ns0:c>
      <ns0:c r="I52" s="11" t="inlineStr">
        <ns0:is>
          <ns0:t xml:space="preserve">Not started</ns0:t>
        </ns0:is>
      </ns0:c>
      <ns0:c r="J52" s="11" t="inlineStr">
        <ns0:is>
          <ns0:t xml:space="preserve">Not reviewed</ns0:t>
        </ns0:is>
      </ns0:c>
      <ns0:c r="K52" s="11" t="n"/>
      <ns0:c r="L52" s="31" t="n"/>
      <ns0:c r="M52" s="11" t="n"/>
      <ns0:c r="N52" s="11" t="inlineStr">
        <ns0:is>
          <ns0:t xml:space="preserve">Not tested</ns0:t>
        </ns0:is>
      </ns0:c>
      <ns0:c r="O52" s="11" t="n"/>
      <ns0:c r="P52" s="31" t="n"/>
      <ns0:c r="Q52" s="11" t="inlineStr">
        <ns0:is>
          <ns0: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ns0:t>
        </ns0:is>
      </ns0:c>
      <ns0:c r="R52" s="11" t="str">
        <ns0:v>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52" s="11" t="n"/>
    </ns0:row>
    <ns0:row r="53" ht="105" customHeight="1">
      <ns0:c r="A53" s="9" t="n">
        <ns0:v>50</ns0:v>
      </ns0:c>
      <ns0:c r="B53" s="9" t="inlineStr">
        <ns0:is>
          <ns0:t xml:space="preserve">FB-049</ns0:t>
        </ns0:is>
      </ns0:c>
      <ns0:c r="C53" s="9" t="inlineStr">
        <ns0:is>
          <ns0:t xml:space="preserve">Receive</ns0:t>
        </ns0:is>
      </ns0:c>
      <ns0:c r="D53" s="9" t="inlineStr">
        <ns0:is>
          <ns0:t xml:space="preserve">Display and lay out a multi-product Receive form</ns0:t>
        </ns0:is>
      </ns0:c>
      <ns0:c r="E53" s="9" t="inlineStr">
        <ns0:is>
          <ns0:t xml:space="preserve">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53" s="9" t="inlineStr">
        <ns0:is>
          <ns0:t xml:space="preserve">FB-034</ns0:t>
        </ns0:is>
      </ns0:c>
      <ns0:c r="G53" s="9" t="str">
        <ns0:f>IF(H53="Complete","Complete",IF(I53="Blocked","Blocked",IF(I53="In progress","Ready",IF(F53="","Ready",IF(COUNTIFS($B$4:$B$73,F53,$H$4:$H$73,"Complete")=1,"Ready","Waiting")))))</ns0:f>
        <ns0:v>Waiting</ns0:v>
      </ns0:c>
      <ns0:c r="H53" s="9" t="str">
        <ns0:f>IF(I53="Not started","Not started",IF(I53="Blocked","Blocked",IF(I53="In progress","In progress",IF(J53&lt;&gt;"Passed","Awaiting code review",IF(OR(K53="",NOT(ISNUMBER(L53))),"Awaiting review evidence",IF(N53&lt;&gt;"Passed","Awaiting test",IF(OR(M53="",O53="",NOT(ISNUMBER(P53))),"Awaiting test evidence","Complete")))))))</ns0:f>
        <ns0:v>Not started</ns0:v>
      </ns0:c>
      <ns0:c r="I53" s="11" t="inlineStr">
        <ns0:is>
          <ns0:t xml:space="preserve">Not started</ns0:t>
        </ns0:is>
      </ns0:c>
      <ns0:c r="J53" s="11" t="inlineStr">
        <ns0:is>
          <ns0:t xml:space="preserve">Not reviewed</ns0:t>
        </ns0:is>
      </ns0:c>
      <ns0:c r="K53" s="11" t="n"/>
      <ns0:c r="L53" s="31" t="n"/>
      <ns0:c r="M53" s="11" t="n"/>
      <ns0:c r="N53" s="11" t="inlineStr">
        <ns0:is>
          <ns0:t xml:space="preserve">Not tested</ns0:t>
        </ns0:is>
      </ns0:c>
      <ns0:c r="O53" s="11" t="n"/>
      <ns0:c r="P53" s="31" t="n"/>
      <ns0:c r="Q53" s="11" t="n"/>
      <ns0:c r="R53"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3" s="11" t="n"/>
    </ns0:row>
    <ns0:row r="54" ht="105" customHeight="1">
      <ns0:c r="A54" s="4" t="n">
        <ns0:v>51</ns0:v>
      </ns0:c>
      <ns0:c r="B54" s="4" t="inlineStr">
        <ns0:is>
          <ns0:t xml:space="preserve">FB-050</ns0:t>
        </ns0:is>
      </ns0:c>
      <ns0:c r="C54" s="4" t="inlineStr">
        <ns0:is>
          <ns0:t xml:space="preserve">Receive</ns0:t>
        </ns0:is>
      </ns0:c>
      <ns0:c r="D54" s="4" t="inlineStr">
        <ns0:is>
          <ns0:t xml:space="preserve">Add reactive product rows and whole quantities</ns0:t>
        </ns0:is>
      </ns0:c>
      <ns0:c r="E54" s="4" t="inlineStr">
        <ns0:is>
          <ns0:t xml:space="preserve">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54" s="4" t="inlineStr">
        <ns0:is>
          <ns0:t xml:space="preserve">FB-049</ns0:t>
        </ns0:is>
      </ns0:c>
      <ns0:c r="G54" s="4" t="str">
        <ns0:f>IF(H54="Complete","Complete",IF(I54="Blocked","Blocked",IF(I54="In progress","Ready",IF(F54="","Ready",IF(COUNTIFS($B$4:$B$73,F54,$H$4:$H$73,"Complete")=1,"Ready","Waiting")))))</ns0:f>
        <ns0:v>Waiting</ns0:v>
      </ns0:c>
      <ns0:c r="H54" s="4" t="str">
        <ns0:f>IF(I54="Not started","Not started",IF(I54="Blocked","Blocked",IF(I54="In progress","In progress",IF(J54&lt;&gt;"Passed","Awaiting code review",IF(OR(K54="",NOT(ISNUMBER(L54))),"Awaiting review evidence",IF(N54&lt;&gt;"Passed","Awaiting test",IF(OR(M54="",O54="",NOT(ISNUMBER(P54))),"Awaiting test evidence","Complete")))))))</ns0:f>
        <ns0:v>Not started</ns0:v>
      </ns0:c>
      <ns0:c r="I54" s="10" t="inlineStr">
        <ns0:is>
          <ns0:t xml:space="preserve">Not started</ns0:t>
        </ns0:is>
      </ns0:c>
      <ns0:c r="J54" s="10" t="inlineStr">
        <ns0:is>
          <ns0:t xml:space="preserve">Not reviewed</ns0:t>
        </ns0:is>
      </ns0:c>
      <ns0:c r="K54" s="10" t="n"/>
      <ns0:c r="L54" s="30" t="n"/>
      <ns0:c r="M54" s="10" t="n"/>
      <ns0:c r="N54" s="10" t="inlineStr">
        <ns0:is>
          <ns0:t xml:space="preserve">Not tested</ns0:t>
        </ns0:is>
      </ns0:c>
      <ns0:c r="O54" s="10" t="n"/>
      <ns0:c r="P54" s="30" t="n"/>
      <ns0:c r="Q54" s="10" t="n"/>
      <ns0:c r="R54"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4" s="10" t="n"/>
    </ns0:row>
    <ns0:row r="55" ht="105" customHeight="1">
      <ns0:c r="A55" s="9" t="n">
        <ns0:v>52</ns0:v>
      </ns0:c>
      <ns0:c r="B55" s="9" t="inlineStr">
        <ns0:is>
          <ns0:t xml:space="preserve">FB-051</ns0:t>
        </ns0:is>
      </ns0:c>
      <ns0:c r="C55" s="9" t="inlineStr">
        <ns0:is>
          <ns0:t xml:space="preserve">Receive</ns0:t>
        </ns0:is>
      </ns0:c>
      <ns0:c r="D55" s="9" t="inlineStr">
        <ns0:is>
          <ns0:t xml:space="preserve">Save an entire receipt and record stock changes</ns0:t>
        </ns0:is>
      </ns0:c>
      <ns0:c r="E55" s="9" t="inlineStr">
        <ns0:is>
          <ns0: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55" s="9" t="inlineStr">
        <ns0:is>
          <ns0:t xml:space="preserve">FB-050</ns0:t>
        </ns0:is>
      </ns0:c>
      <ns0:c r="G55" s="9" t="str">
        <ns0:f>IF(H55="Complete","Complete",IF(I55="Blocked","Blocked",IF(I55="In progress","Ready",IF(F55="","Ready",IF(COUNTIFS($B$4:$B$73,F55,$H$4:$H$73,"Complete")=1,"Ready","Waiting")))))</ns0:f>
        <ns0:v>Waiting</ns0:v>
      </ns0:c>
      <ns0:c r="H55" s="9" t="str">
        <ns0:f>IF(I55="Not started","Not started",IF(I55="Blocked","Blocked",IF(I55="In progress","In progress",IF(J55&lt;&gt;"Passed","Awaiting code review",IF(OR(K55="",NOT(ISNUMBER(L55))),"Awaiting review evidence",IF(N55&lt;&gt;"Passed","Awaiting test",IF(OR(M55="",O55="",NOT(ISNUMBER(P55))),"Awaiting test evidence","Complete")))))))</ns0:f>
        <ns0:v>Not started</ns0:v>
      </ns0:c>
      <ns0:c r="I55" s="11" t="inlineStr">
        <ns0:is>
          <ns0:t xml:space="preserve">Not started</ns0:t>
        </ns0:is>
      </ns0:c>
      <ns0:c r="J55" s="11" t="inlineStr">
        <ns0:is>
          <ns0:t xml:space="preserve">Not reviewed</ns0:t>
        </ns0:is>
      </ns0:c>
      <ns0:c r="K55" s="11" t="n"/>
      <ns0:c r="L55" s="31" t="n"/>
      <ns0:c r="M55" s="11" t="n"/>
      <ns0:c r="N55" s="11" t="inlineStr">
        <ns0:is>
          <ns0:t xml:space="preserve">Not tested</ns0:t>
        </ns0:is>
      </ns0:c>
      <ns0:c r="O55" s="11" t="n"/>
      <ns0:c r="P55" s="31" t="n"/>
      <ns0:c r="Q55" s="11" t="n"/>
      <ns0:c r="R55"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5" s="11" t="n"/>
    </ns0:row>
    <ns0:row r="56" ht="105" customHeight="1">
      <ns0:c r="A56" s="4" t="n">
        <ns0:v>53</ns0:v>
      </ns0:c>
      <ns0:c r="B56" s="4" t="inlineStr">
        <ns0:is>
          <ns0:t xml:space="preserve">FB-052</ns0:t>
        </ns0:is>
      </ns0:c>
      <ns0:c r="C56" s="4" t="inlineStr">
        <ns0:is>
          <ns0:t xml:space="preserve">Receive</ns0:t>
        </ns0:is>
      </ns0:c>
      <ns0:c r="D56" s="4" t="inlineStr">
        <ns0:is>
          <ns0:t xml:space="preserve">Connect submission feedback and protect stock rules</ns0:t>
        </ns0:is>
      </ns0:c>
      <ns0:c r="E56" s="4" t="inlineStr">
        <ns0:is>
          <ns0:t xml:space="preserve">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56" s="4" t="inlineStr">
        <ns0:is>
          <ns0:t xml:space="preserve">FB-051</ns0:t>
        </ns0:is>
      </ns0:c>
      <ns0:c r="G56" s="4" t="str">
        <ns0:f>IF(H56="Complete","Complete",IF(I56="Blocked","Blocked",IF(I56="In progress","Ready",IF(F56="","Ready",IF(COUNTIFS($B$4:$B$73,F56,$H$4:$H$73,"Complete")=1,"Ready","Waiting")))))</ns0:f>
        <ns0:v>Waiting</ns0:v>
      </ns0:c>
      <ns0:c r="H56" s="4" t="str">
        <ns0:f>IF(I56="Not started","Not started",IF(I56="Blocked","Blocked",IF(I56="In progress","In progress",IF(J56&lt;&gt;"Passed","Awaiting code review",IF(OR(K56="",NOT(ISNUMBER(L56))),"Awaiting review evidence",IF(N56&lt;&gt;"Passed","Awaiting test",IF(OR(M56="",O56="",NOT(ISNUMBER(P56))),"Awaiting test evidence","Complete")))))))</ns0:f>
        <ns0:v>Not started</ns0:v>
      </ns0:c>
      <ns0:c r="I56" s="10" t="inlineStr">
        <ns0:is>
          <ns0:t xml:space="preserve">Not started</ns0:t>
        </ns0:is>
      </ns0:c>
      <ns0:c r="J56" s="10" t="inlineStr">
        <ns0:is>
          <ns0:t xml:space="preserve">Not reviewed</ns0:t>
        </ns0:is>
      </ns0:c>
      <ns0:c r="K56" s="10" t="n"/>
      <ns0:c r="L56" s="30" t="n"/>
      <ns0:c r="M56" s="10" t="n"/>
      <ns0:c r="N56" s="10" t="inlineStr">
        <ns0:is>
          <ns0:t xml:space="preserve">Not tested</ns0:t>
        </ns0:is>
      </ns0:c>
      <ns0:c r="O56" s="10" t="n"/>
      <ns0:c r="P56" s="30" t="n"/>
      <ns0:c r="Q56" s="10" t="n"/>
      <ns0:c r="R56"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6" s="10" t="n"/>
    </ns0:row>
    <ns0:row r="57" ht="105" customHeight="1">
      <ns0:c r="A57" s="9" t="n">
        <ns0:v>54</ns0:v>
      </ns0:c>
      <ns0:c r="B57" s="9" t="inlineStr">
        <ns0:is>
          <ns0:t xml:space="preserve">FB-053</ns0:t>
        </ns0:is>
      </ns0:c>
      <ns0:c r="C57" s="9" t="inlineStr">
        <ns0:is>
          <ns0:t xml:space="preserve">Receive</ns0:t>
        </ns0:is>
      </ns0:c>
      <ns0:c r="D57" s="9" t="inlineStr">
        <ns0:is>
          <ns0:t xml:space="preserve">Verify stock measurement locks and catalogue deactivation guard</ns0:t>
        </ns0:is>
      </ns0:c>
      <ns0:c r="E57" s="9" t="inlineStr">
        <ns0:is>
          <ns0:t xml:space="preserve">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ns0:t>
        </ns0:is>
      </ns0:c>
      <ns0:c r="F57" s="9" t="inlineStr">
        <ns0:is>
          <ns0:t xml:space="preserve">FB-052</ns0:t>
        </ns0:is>
      </ns0:c>
      <ns0:c r="G57" s="9" t="str">
        <ns0:f>IF(H57="Complete","Complete",IF(I57="Blocked","Blocked",IF(I57="In progress","Ready",IF(F57="","Ready",IF(COUNTIFS($B$4:$B$73,F57,$H$4:$H$73,"Complete")=1,"Ready","Waiting")))))</ns0:f>
        <ns0:v>Waiting</ns0:v>
      </ns0:c>
      <ns0:c r="H57" s="9" t="str">
        <ns0:f>IF(I57="Not started","Not started",IF(I57="Blocked","Blocked",IF(I57="In progress","In progress",IF(J57&lt;&gt;"Passed","Awaiting code review",IF(OR(K57="",NOT(ISNUMBER(L57))),"Awaiting review evidence",IF(N57&lt;&gt;"Passed","Awaiting test",IF(OR(M57="",O57="",NOT(ISNUMBER(P57))),"Awaiting test evidence","Complete")))))))</ns0:f>
        <ns0:v>Not started</ns0:v>
      </ns0:c>
      <ns0:c r="I57" s="11" t="inlineStr">
        <ns0:is>
          <ns0:t xml:space="preserve">Not started</ns0:t>
        </ns0:is>
      </ns0:c>
      <ns0:c r="J57" s="11" t="inlineStr">
        <ns0:is>
          <ns0:t xml:space="preserve">Not reviewed</ns0:t>
        </ns0:is>
      </ns0:c>
      <ns0:c r="K57" s="11" t="n"/>
      <ns0:c r="L57" s="31" t="n"/>
      <ns0:c r="M57" s="11" t="n"/>
      <ns0:c r="N57" s="11" t="inlineStr">
        <ns0:is>
          <ns0:t xml:space="preserve">Not tested</ns0:t>
        </ns0:is>
      </ns0:c>
      <ns0:c r="O57" s="11" t="n"/>
      <ns0:c r="P57" s="31" t="n"/>
      <ns0:c r="Q57" s="11" t="n"/>
      <ns0:c r="R57"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7" s="11" t="n"/>
    </ns0:row>
    <ns0:row r="58" ht="105" customHeight="1">
      <ns0:c r="A58" s="4" t="n">
        <ns0:v>55</ns0:v>
      </ns0:c>
      <ns0:c r="B58" s="4" t="inlineStr">
        <ns0:is>
          <ns0:t xml:space="preserve">FB-054</ns0:t>
        </ns0:is>
      </ns0:c>
      <ns0:c r="C58" s="4" t="inlineStr">
        <ns0:is>
          <ns0:t xml:space="preserve">History</ns0:t>
        </ns0:is>
      </ns0:c>
      <ns0:c r="D58" s="4" t="inlineStr">
        <ns0:is>
          <ns0:t xml:space="preserve">Show stock movement history within Stock Management</ns0:t>
        </ns0:is>
      </ns0:c>
      <ns0:c r="E58" s="4" t="inlineStr">
        <ns0:is>
          <ns0:t xml:space="preserve">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ns0:t>
        </ns0:is>
      </ns0:c>
      <ns0:c r="F58" s="4" t="inlineStr">
        <ns0:is>
          <ns0:t xml:space="preserve">FB-053</ns0:t>
        </ns0:is>
      </ns0:c>
      <ns0:c r="G58" s="4" t="str">
        <ns0:f>IF(H58="Complete","Complete",IF(I58="Blocked","Blocked",IF(I58="In progress","Ready",IF(F58="","Ready",IF(COUNTIFS($B$4:$B$73,F58,$H$4:$H$73,"Complete")=1,"Ready","Waiting")))))</ns0:f>
        <ns0:v>Waiting</ns0:v>
      </ns0:c>
      <ns0:c r="H58" s="4" t="str">
        <ns0:f>IF(I58="Not started","Not started",IF(I58="Blocked","Blocked",IF(I58="In progress","In progress",IF(J58&lt;&gt;"Passed","Awaiting code review",IF(OR(K58="",NOT(ISNUMBER(L58))),"Awaiting review evidence",IF(N58&lt;&gt;"Passed","Awaiting test",IF(OR(M58="",O58="",NOT(ISNUMBER(P58))),"Awaiting test evidence","Complete")))))))</ns0:f>
        <ns0:v>Not started</ns0:v>
      </ns0:c>
      <ns0:c r="I58" s="10" t="inlineStr">
        <ns0:is>
          <ns0:t xml:space="preserve">Not started</ns0:t>
        </ns0:is>
      </ns0:c>
      <ns0:c r="J58" s="10" t="inlineStr">
        <ns0:is>
          <ns0:t xml:space="preserve">Not reviewed</ns0:t>
        </ns0:is>
      </ns0:c>
      <ns0:c r="K58" s="10" t="n"/>
      <ns0:c r="L58" s="30" t="n"/>
      <ns0:c r="M58" s="10" t="n"/>
      <ns0:c r="N58" s="10" t="inlineStr">
        <ns0:is>
          <ns0:t xml:space="preserve">Not tested</ns0:t>
        </ns0:is>
      </ns0:c>
      <ns0:c r="O58" s="10" t="n"/>
      <ns0:c r="P58" s="30" t="n"/>
      <ns0:c r="Q58" s="10" t="n"/>
      <ns0:c r="R58"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8" s="10" t="n"/>
    </ns0:row>
    <ns0:row r="59" ht="105" customHeight="1">
      <ns0:c r="A59" s="9" t="n">
        <ns0:v>56</ns0:v>
      </ns0:c>
      <ns0:c r="B59" s="9" t="inlineStr">
        <ns0:is>
          <ns0:t xml:space="preserve">FB-065</ns0:t>
        </ns0:is>
      </ns0:c>
      <ns0:c r="C59" s="9" t="inlineStr">
        <ns0:is>
          <ns0:t xml:space="preserve">Totals</ns0:t>
        </ns0:is>
      </ns0:c>
      <ns0:c r="D59" s="9" t="inlineStr">
        <ns0:is>
          <ns0:t xml:space="preserve">Calculate stock summaries within Stock Management</ns0:t>
        </ns0:is>
      </ns0:c>
      <ns0:c r="E59" s="9" t="inlineStr">
        <ns0:is>
          <ns0:t xml:space="preserve">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ns0:t>
        </ns0:is>
      </ns0:c>
      <ns0:c r="F59" s="9" t="inlineStr">
        <ns0:is>
          <ns0:t xml:space="preserve">FB-054</ns0:t>
        </ns0:is>
      </ns0:c>
      <ns0:c r="G59" s="9" t="str">
        <ns0:f>IF(H59="Complete","Complete",IF(I59="Blocked","Blocked",IF(I59="In progress","Ready",IF(F59="","Ready",IF(COUNTIFS($B$4:$B$73,F59,$H$4:$H$73,"Complete")=1,"Ready","Waiting")))))</ns0:f>
        <ns0:v>Waiting</ns0:v>
      </ns0:c>
      <ns0:c r="H59" s="9" t="str">
        <ns0:f>IF(I59="Not started","Not started",IF(I59="Blocked","Blocked",IF(I59="In progress","In progress",IF(J59&lt;&gt;"Passed","Awaiting code review",IF(OR(K59="",NOT(ISNUMBER(L59))),"Awaiting review evidence",IF(N59&lt;&gt;"Passed","Awaiting test",IF(OR(M59="",O59="",NOT(ISNUMBER(P59))),"Awaiting test evidence","Complete")))))))</ns0:f>
        <ns0:v>Not started</ns0:v>
      </ns0:c>
      <ns0:c r="I59" s="11" t="inlineStr">
        <ns0:is>
          <ns0:t xml:space="preserve">Not started</ns0:t>
        </ns0:is>
      </ns0:c>
      <ns0:c r="J59" s="11" t="inlineStr">
        <ns0:is>
          <ns0:t xml:space="preserve">Not reviewed</ns0:t>
        </ns0:is>
      </ns0:c>
      <ns0:c r="K59" s="11" t="n"/>
      <ns0:c r="L59" s="31" t="n"/>
      <ns0:c r="M59" s="11" t="n"/>
      <ns0:c r="N59" s="11" t="inlineStr">
        <ns0:is>
          <ns0:t xml:space="preserve">Not tested</ns0:t>
        </ns0:is>
      </ns0:c>
      <ns0:c r="O59" s="11" t="n"/>
      <ns0:c r="P59" s="31" t="n"/>
      <ns0:c r="Q59" s="11" t="n"/>
      <ns0:c r="R59"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9" s="11" t="n"/>
    </ns0:row>
    <ns0:row r="60" ht="105" customHeight="1">
      <ns0:c r="A60" s="4" t="n">
        <ns0:v>57</ns0:v>
      </ns0:c>
      <ns0:c r="B60" s="4" t="inlineStr">
        <ns0:is>
          <ns0:t xml:space="preserve">FB-066</ns0:t>
        </ns0:is>
      </ns0:c>
      <ns0:c r="C60" s="4" t="inlineStr">
        <ns0:is>
          <ns0:t xml:space="preserve">Totals</ns0:t>
        </ns0:is>
      </ns0:c>
      <ns0:c r="D60" s="4" t="inlineStr">
        <ns0:is>
          <ns0:t xml:space="preserve">Display combined totals within Stock Management</ns0:t>
        </ns0:is>
      </ns0:c>
      <ns0:c r="E60" s="4" t="inlineStr">
        <ns0:is>
          <ns0:t xml:space="preserve">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ns0:t>
        </ns0:is>
      </ns0:c>
      <ns0:c r="F60" s="4" t="inlineStr">
        <ns0:is>
          <ns0:t xml:space="preserve">FB-065</ns0:t>
        </ns0:is>
      </ns0:c>
      <ns0:c r="G60" s="4" t="str">
        <ns0:f>IF(H60="Complete","Complete",IF(I60="Blocked","Blocked",IF(I60="In progress","Ready",IF(F60="","Ready",IF(COUNTIFS($B$4:$B$73,F60,$H$4:$H$73,"Complete")=1,"Ready","Waiting")))))</ns0:f>
        <ns0:v>Waiting</ns0:v>
      </ns0:c>
      <ns0:c r="H60" s="4" t="str">
        <ns0:f>IF(I60="Not started","Not started",IF(I60="Blocked","Blocked",IF(I60="In progress","In progress",IF(J60&lt;&gt;"Passed","Awaiting code review",IF(OR(K60="",NOT(ISNUMBER(L60))),"Awaiting review evidence",IF(N60&lt;&gt;"Passed","Awaiting test",IF(OR(M60="",O60="",NOT(ISNUMBER(P60))),"Awaiting test evidence","Complete")))))))</ns0:f>
        <ns0:v>Not started</ns0:v>
      </ns0:c>
      <ns0:c r="I60" s="10" t="inlineStr">
        <ns0:is>
          <ns0:t xml:space="preserve">Not started</ns0:t>
        </ns0:is>
      </ns0:c>
      <ns0:c r="J60" s="10" t="inlineStr">
        <ns0:is>
          <ns0:t xml:space="preserve">Not reviewed</ns0:t>
        </ns0:is>
      </ns0:c>
      <ns0:c r="K60" s="10" t="n"/>
      <ns0:c r="L60" s="30" t="n"/>
      <ns0:c r="M60" s="10" t="n"/>
      <ns0:c r="N60" s="10" t="inlineStr">
        <ns0:is>
          <ns0:t xml:space="preserve">Not tested</ns0:t>
        </ns0:is>
      </ns0:c>
      <ns0:c r="O60" s="10" t="n"/>
      <ns0:c r="P60" s="30" t="n"/>
      <ns0:c r="Q60" s="10" t="n"/>
      <ns0:c r="R60"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0" s="10" t="n"/>
    </ns0:row>
    <ns0:row r="61" ht="105" customHeight="1">
      <ns0:c r="A61" s="9" t="n">
        <ns0:v>58</ns0:v>
      </ns0:c>
      <ns0:c r="B61" s="9" t="inlineStr">
        <ns0:is>
          <ns0:t xml:space="preserve">FB-055</ns0:t>
        </ns0:is>
      </ns0:c>
      <ns0:c r="C61" s="9" t="inlineStr">
        <ns0:is>
          <ns0:t xml:space="preserve">Adjust</ns0:t>
        </ns0:is>
      </ns0:c>
      <ns0:c r="D61" s="9" t="inlineStr">
        <ns0:is>
          <ns0:t xml:space="preserve">Build and lay out the single-product adjustment form</ns0:t>
        </ns0:is>
      </ns0:c>
      <ns0:c r="E61" s="9" t="inlineStr">
        <ns0:is>
          <ns0:t xml:space="preserve">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1" s="9" t="inlineStr">
        <ns0:is>
          <ns0:t xml:space="preserve">FB-066</ns0:t>
        </ns0:is>
      </ns0:c>
      <ns0:c r="G61" s="9" t="str">
        <ns0:f>IF(H61="Complete","Complete",IF(I61="Blocked","Blocked",IF(I61="In progress","Ready",IF(F61="","Ready",IF(COUNTIFS($B$4:$B$73,F61,$H$4:$H$73,"Complete")=1,"Ready","Waiting")))))</ns0:f>
        <ns0:v>Waiting</ns0:v>
      </ns0:c>
      <ns0:c r="H61" s="9" t="str">
        <ns0:f>IF(I61="Not started","Not started",IF(I61="Blocked","Blocked",IF(I61="In progress","In progress",IF(J61&lt;&gt;"Passed","Awaiting code review",IF(OR(K61="",NOT(ISNUMBER(L61))),"Awaiting review evidence",IF(N61&lt;&gt;"Passed","Awaiting test",IF(OR(M61="",O61="",NOT(ISNUMBER(P61))),"Awaiting test evidence","Complete")))))))</ns0:f>
        <ns0:v>Not started</ns0:v>
      </ns0:c>
      <ns0:c r="I61" s="11" t="inlineStr">
        <ns0:is>
          <ns0:t xml:space="preserve">Not started</ns0:t>
        </ns0:is>
      </ns0:c>
      <ns0:c r="J61" s="11" t="inlineStr">
        <ns0:is>
          <ns0:t xml:space="preserve">Not reviewed</ns0:t>
        </ns0:is>
      </ns0:c>
      <ns0:c r="K61" s="11" t="n"/>
      <ns0:c r="L61" s="31" t="n"/>
      <ns0:c r="M61" s="11" t="n"/>
      <ns0:c r="N61" s="11" t="inlineStr">
        <ns0:is>
          <ns0:t xml:space="preserve">Not tested</ns0:t>
        </ns0:is>
      </ns0:c>
      <ns0:c r="O61" s="11" t="n"/>
      <ns0:c r="P61" s="31" t="n"/>
      <ns0:c r="Q61" s="11" t="n"/>
      <ns0:c r="R61"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1" s="11" t="n"/>
    </ns0:row>
    <ns0:row r="62" ht="105" customHeight="1">
      <ns0:c r="A62" s="4" t="n">
        <ns0:v>59</ns0:v>
      </ns0:c>
      <ns0:c r="B62" s="4" t="inlineStr">
        <ns0:is>
          <ns0:t xml:space="preserve">FB-056</ns0:t>
        </ns0:is>
      </ns0:c>
      <ns0:c r="C62" s="4" t="inlineStr">
        <ns0:is>
          <ns0:t xml:space="preserve">Adjust</ns0:t>
        </ns0:is>
      </ns0:c>
      <ns0:c r="D62" s="4" t="inlineStr">
        <ns0:is>
          <ns0:t xml:space="preserve">Save adjustments without negative balances</ns0:t>
        </ns0:is>
      </ns0:c>
      <ns0:c r="E62" s="4" t="inlineStr">
        <ns0:is>
          <ns0: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2" s="4" t="inlineStr">
        <ns0:is>
          <ns0:t xml:space="preserve">FB-055</ns0:t>
        </ns0:is>
      </ns0:c>
      <ns0:c r="G62" s="4" t="str">
        <ns0:f>IF(H62="Complete","Complete",IF(I62="Blocked","Blocked",IF(I62="In progress","Ready",IF(F62="","Ready",IF(COUNTIFS($B$4:$B$73,F62,$H$4:$H$73,"Complete")=1,"Ready","Waiting")))))</ns0:f>
        <ns0:v>Waiting</ns0:v>
      </ns0:c>
      <ns0:c r="H62" s="4" t="str">
        <ns0:f>IF(I62="Not started","Not started",IF(I62="Blocked","Blocked",IF(I62="In progress","In progress",IF(J62&lt;&gt;"Passed","Awaiting code review",IF(OR(K62="",NOT(ISNUMBER(L62))),"Awaiting review evidence",IF(N62&lt;&gt;"Passed","Awaiting test",IF(OR(M62="",O62="",NOT(ISNUMBER(P62))),"Awaiting test evidence","Complete")))))))</ns0:f>
        <ns0:v>Not started</ns0:v>
      </ns0:c>
      <ns0:c r="I62" s="10" t="inlineStr">
        <ns0:is>
          <ns0:t xml:space="preserve">Not started</ns0:t>
        </ns0:is>
      </ns0:c>
      <ns0:c r="J62" s="10" t="inlineStr">
        <ns0:is>
          <ns0:t xml:space="preserve">Not reviewed</ns0:t>
        </ns0:is>
      </ns0:c>
      <ns0:c r="K62" s="10" t="n"/>
      <ns0:c r="L62" s="30" t="n"/>
      <ns0:c r="M62" s="10" t="n"/>
      <ns0:c r="N62" s="10" t="inlineStr">
        <ns0:is>
          <ns0:t xml:space="preserve">Not tested</ns0:t>
        </ns0:is>
      </ns0:c>
      <ns0:c r="O62" s="10" t="n"/>
      <ns0:c r="P62" s="30" t="n"/>
      <ns0:c r="Q62" s="10" t="n"/>
      <ns0:c r="R62"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2" s="10" t="n"/>
    </ns0:row>
    <ns0:row r="63" ht="105" customHeight="1">
      <ns0:c r="A63" s="9" t="n">
        <ns0:v>60</ns0:v>
      </ns0:c>
      <ns0:c r="B63" s="9" t="inlineStr">
        <ns0:is>
          <ns0:t xml:space="preserve">FB-057</ns0:t>
        </ns0:is>
      </ns0:c>
      <ns0:c r="C63" s="9" t="inlineStr">
        <ns0:is>
          <ns0:t xml:space="preserve">Household samples</ns0:t>
        </ns0:is>
      </ns0:c>
      <ns0:c r="D63" s="9" t="inlineStr">
        <ns0:is>
          <ns0:t xml:space="preserve">Prepare and verify 20 fictional households</ns0:t>
        </ns0:is>
      </ns0:c>
      <ns0:c r="E63" s="9" t="inlineStr">
        <ns0:is>
          <ns0:t xml:space="preserve">Unique reference, contact first/last name, address, positive household size, required unique Canadian phone, optional unique supplied email; multiple blanks allowed. No household management screens or automatic allowances. Developer runs explained data-changing commands.</ns0:t>
        </ns0:is>
      </ns0:c>
      <ns0:c r="F63" s="9" t="inlineStr">
        <ns0:is>
          <ns0:t xml:space="preserve">FB-056</ns0:t>
        </ns0:is>
      </ns0:c>
      <ns0:c r="G63" s="9" t="str">
        <ns0:f>IF(H63="Complete","Complete",IF(I63="Blocked","Blocked",IF(I63="In progress","Ready",IF(F63="","Ready",IF(COUNTIFS($B$4:$B$73,F63,$H$4:$H$73,"Complete")=1,"Ready","Waiting")))))</ns0:f>
        <ns0:v>Waiting</ns0:v>
      </ns0:c>
      <ns0:c r="H63" s="9" t="str">
        <ns0:f>IF(I63="Not started","Not started",IF(I63="Blocked","Blocked",IF(I63="In progress","In progress",IF(J63&lt;&gt;"Passed","Awaiting code review",IF(OR(K63="",NOT(ISNUMBER(L63))),"Awaiting review evidence",IF(N63&lt;&gt;"Passed","Awaiting test",IF(OR(M63="",O63="",NOT(ISNUMBER(P63))),"Awaiting test evidence","Complete")))))))</ns0:f>
        <ns0:v>Not started</ns0:v>
      </ns0:c>
      <ns0:c r="I63" s="11" t="inlineStr">
        <ns0:is>
          <ns0:t xml:space="preserve">Not started</ns0:t>
        </ns0:is>
      </ns0:c>
      <ns0:c r="J63" s="11" t="inlineStr">
        <ns0:is>
          <ns0:t xml:space="preserve">Not reviewed</ns0:t>
        </ns0:is>
      </ns0:c>
      <ns0:c r="K63" s="11" t="n"/>
      <ns0:c r="L63" s="31" t="n"/>
      <ns0:c r="M63" s="11" t="n"/>
      <ns0:c r="N63" s="11" t="inlineStr">
        <ns0:is>
          <ns0:t xml:space="preserve">Not tested</ns0:t>
        </ns0:is>
      </ns0:c>
      <ns0:c r="O63" s="11" t="n"/>
      <ns0:c r="P63" s="31" t="n"/>
      <ns0:c r="Q63" s="11" t="n"/>
      <ns0:c r="R63" s="11" t="inlineStr">
        <ns0:is>
          <ns0:t xml:space="preserve">Before starting this item or feature: reread AGENTS.md from disk; apply its teaching and testing rules.
Next: Start this item after the previous item is complete.</ns0:t>
        </ns0:is>
      </ns0:c>
      <ns0:c r="S63" s="11" t="n"/>
    </ns0:row>
    <ns0:row r="64" ht="105" customHeight="1">
      <ns0:c r="A64" s="4" t="n">
        <ns0:v>61</ns0:v>
      </ns0:c>
      <ns0:c r="B64" s="4" t="inlineStr">
        <ns0:is>
          <ns0:t xml:space="preserve">FB-058</ns0:t>
        </ns0:is>
      </ns0:c>
      <ns0:c r="C64" s="4" t="inlineStr">
        <ns0:is>
          <ns0:t xml:space="preserve">Distribute</ns0:t>
        </ns0:is>
      </ns0:c>
      <ns0:c r="D64" s="4" t="inlineStr">
        <ns0:is>
          <ns0:t xml:space="preserve">Search and select one household</ns0:t>
        </ns0:is>
      </ns0:c>
      <ns0:c r="E64" s="4" t="inlineStr">
        <ns0:is>
          <ns0:t xml:space="preserve">All roles performing distribution can search by reference/contact name/phone. Show enough details to distinguish households. Appointments checked outside app; no scheduling/appointment records or account-management access.</ns0:t>
        </ns0:is>
      </ns0:c>
      <ns0:c r="F64" s="4" t="inlineStr">
        <ns0:is>
          <ns0:t xml:space="preserve">FB-057</ns0:t>
        </ns0:is>
      </ns0:c>
      <ns0:c r="G64" s="4" t="str">
        <ns0:f>IF(H64="Complete","Complete",IF(I64="Blocked","Blocked",IF(I64="In progress","Ready",IF(F64="","Ready",IF(COUNTIFS($B$4:$B$73,F64,$H$4:$H$73,"Complete")=1,"Ready","Waiting")))))</ns0:f>
        <ns0:v>Waiting</ns0:v>
      </ns0:c>
      <ns0:c r="H64" s="4" t="str">
        <ns0:f>IF(I64="Not started","Not started",IF(I64="Blocked","Blocked",IF(I64="In progress","In progress",IF(J64&lt;&gt;"Passed","Awaiting code review",IF(OR(K64="",NOT(ISNUMBER(L64))),"Awaiting review evidence",IF(N64&lt;&gt;"Passed","Awaiting test",IF(OR(M64="",O64="",NOT(ISNUMBER(P64))),"Awaiting test evidence","Complete")))))))</ns0:f>
        <ns0:v>Not started</ns0:v>
      </ns0:c>
      <ns0:c r="I64" s="10" t="inlineStr">
        <ns0:is>
          <ns0:t xml:space="preserve">Not started</ns0:t>
        </ns0:is>
      </ns0:c>
      <ns0:c r="J64" s="10" t="inlineStr">
        <ns0:is>
          <ns0:t xml:space="preserve">Not reviewed</ns0:t>
        </ns0:is>
      </ns0:c>
      <ns0:c r="K64" s="10" t="n"/>
      <ns0:c r="L64" s="30" t="n"/>
      <ns0:c r="M64" s="10" t="n"/>
      <ns0:c r="N64" s="10" t="inlineStr">
        <ns0:is>
          <ns0:t xml:space="preserve">Not tested</ns0:t>
        </ns0:is>
      </ns0:c>
      <ns0:c r="O64" s="10" t="n"/>
      <ns0:c r="P64" s="30" t="n"/>
      <ns0:c r="Q64" s="10" t="n"/>
      <ns0:c r="R64" s="10" t="inlineStr">
        <ns0:is>
          <ns0: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ns0:t>
        </ns0:is>
      </ns0:c>
      <ns0:c r="S64" s="10" t="n"/>
    </ns0:row>
    <ns0:row r="65" ht="105" customHeight="1">
      <ns0:c r="A65" s="9" t="n">
        <ns0:v>62</ns0:v>
      </ns0:c>
      <ns0:c r="B65" s="9" t="inlineStr">
        <ns0:is>
          <ns0:t xml:space="preserve">FB-059</ns0:t>
        </ns0:is>
      </ns0:c>
      <ns0:c r="C65" s="9" t="inlineStr">
        <ns0:is>
          <ns0:t xml:space="preserve">Distribute</ns0:t>
        </ns0:is>
      </ns0:c>
      <ns0:c r="D65" s="9" t="inlineStr">
        <ns0:is>
          <ns0:t xml:space="preserve">Choose a subcategory and available package sizes</ns0:t>
        </ns0:is>
      </ns0:c>
      <ns0:c r="E65" s="9" t="inlineStr">
        <ns0:is>
          <ns0:t xml:space="preserve">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5" s="9" t="inlineStr">
        <ns0:is>
          <ns0:t xml:space="preserve">FB-058</ns0:t>
        </ns0:is>
      </ns0:c>
      <ns0:c r="G65" s="9" t="str">
        <ns0:f>IF(H65="Complete","Complete",IF(I65="Blocked","Blocked",IF(I65="In progress","Ready",IF(F65="","Ready",IF(COUNTIFS($B$4:$B$73,F65,$H$4:$H$73,"Complete")=1,"Ready","Waiting")))))</ns0:f>
        <ns0:v>Waiting</ns0:v>
      </ns0:c>
      <ns0:c r="H65" s="9" t="str">
        <ns0:f>IF(I65="Not started","Not started",IF(I65="Blocked","Blocked",IF(I65="In progress","In progress",IF(J65&lt;&gt;"Passed","Awaiting code review",IF(OR(K65="",NOT(ISNUMBER(L65))),"Awaiting review evidence",IF(N65&lt;&gt;"Passed","Awaiting test",IF(OR(M65="",O65="",NOT(ISNUMBER(P65))),"Awaiting test evidence","Complete")))))))</ns0:f>
        <ns0:v>Not started</ns0:v>
      </ns0:c>
      <ns0:c r="I65" s="11" t="inlineStr">
        <ns0:is>
          <ns0:t xml:space="preserve">Not started</ns0:t>
        </ns0:is>
      </ns0:c>
      <ns0:c r="J65" s="11" t="inlineStr">
        <ns0:is>
          <ns0:t xml:space="preserve">Not reviewed</ns0:t>
        </ns0:is>
      </ns0:c>
      <ns0:c r="K65" s="11" t="n"/>
      <ns0:c r="L65" s="31" t="n"/>
      <ns0:c r="M65" s="11" t="n"/>
      <ns0:c r="N65" s="11" t="inlineStr">
        <ns0:is>
          <ns0:t xml:space="preserve">Not tested</ns0:t>
        </ns0:is>
      </ns0:c>
      <ns0:c r="O65" s="11" t="n"/>
      <ns0:c r="P65" s="31" t="n"/>
      <ns0:c r="Q65" s="11" t="str">
        <ns0: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65" s="11" t="str">
        <ns0: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65" s="11" t="n"/>
    </ns0:row>
    <ns0:row r="66" ht="105" customHeight="1">
      <ns0:c r="A66" s="4" t="n">
        <ns0:v>63</ns0:v>
      </ns0:c>
      <ns0:c r="B66" s="4" t="inlineStr">
        <ns0:is>
          <ns0:t xml:space="preserve">FB-060</ns0:t>
        </ns0:is>
      </ns0:c>
      <ns0:c r="C66" s="4" t="inlineStr">
        <ns0:is>
          <ns0:t xml:space="preserve">Distribute</ns0:t>
        </ns0:is>
      </ns0:c>
      <ns0:c r="D66" s="4" t="inlineStr">
        <ns0:is>
          <ns0:t xml:space="preserve">Add product search within selection</ns0:t>
        </ns0:is>
      </ns0:c>
      <ns0:c r="E66" s="4" t="inlineStr">
        <ns0:is>
          <ns0:t xml:space="preserve">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6" s="4" t="inlineStr">
        <ns0:is>
          <ns0:t xml:space="preserve">FB-059</ns0:t>
        </ns0:is>
      </ns0:c>
      <ns0:c r="G66" s="4" t="str">
        <ns0:f>IF(H66="Complete","Complete",IF(I66="Blocked","Blocked",IF(I66="In progress","Ready",IF(F66="","Ready",IF(COUNTIFS($B$4:$B$73,F66,$H$4:$H$73,"Complete")=1,"Ready","Waiting")))))</ns0:f>
        <ns0:v>Waiting</ns0:v>
      </ns0:c>
      <ns0:c r="H66" s="4" t="str">
        <ns0:f>IF(I66="Not started","Not started",IF(I66="Blocked","Blocked",IF(I66="In progress","In progress",IF(J66&lt;&gt;"Passed","Awaiting code review",IF(OR(K66="",NOT(ISNUMBER(L66))),"Awaiting review evidence",IF(N66&lt;&gt;"Passed","Awaiting test",IF(OR(M66="",O66="",NOT(ISNUMBER(P66))),"Awaiting test evidence","Complete")))))))</ns0:f>
        <ns0:v>Not started</ns0:v>
      </ns0:c>
      <ns0:c r="I66" s="10" t="inlineStr">
        <ns0:is>
          <ns0:t xml:space="preserve">Not started</ns0:t>
        </ns0:is>
      </ns0:c>
      <ns0:c r="J66" s="10" t="inlineStr">
        <ns0:is>
          <ns0:t xml:space="preserve">Not reviewed</ns0:t>
        </ns0:is>
      </ns0:c>
      <ns0:c r="K66" s="10" t="n"/>
      <ns0:c r="L66" s="30" t="n"/>
      <ns0:c r="M66" s="10" t="n"/>
      <ns0:c r="N66" s="10" t="inlineStr">
        <ns0:is>
          <ns0:t xml:space="preserve">Not tested</ns0:t>
        </ns0:is>
      </ns0:c>
      <ns0:c r="O66" s="10" t="n"/>
      <ns0:c r="P66" s="30" t="n"/>
      <ns0:c r="Q66" s="10" t="str">
        <ns0: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66" s="10" t="str">
        <ns0: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66" s="10" t="n"/>
    </ns0:row>
    <ns0:row r="67" ht="105" customHeight="1">
      <ns0:c r="A67" s="9" t="n">
        <ns0:v>64</ns0:v>
      </ns0:c>
      <ns0:c r="B67" s="9" t="inlineStr">
        <ns0:is>
          <ns0:t xml:space="preserve">FB-061</ns0:t>
        </ns0:is>
      </ns0:c>
      <ns0:c r="C67" s="9" t="inlineStr">
        <ns0:is>
          <ns0:t xml:space="preserve">Distribute</ns0:t>
        </ns0:is>
      </ns0:c>
      <ns0:c r="D67" s="9" t="inlineStr">
        <ns0:is>
          <ns0:t xml:space="preserve">Build a multi-product distribution selection</ns0:t>
        </ns0:is>
      </ns0:c>
      <ns0:c r="E67" s="9" t="inlineStr">
        <ns0:is>
          <ns0:t xml:space="preserve">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7" s="9" t="inlineStr">
        <ns0:is>
          <ns0:t xml:space="preserve">FB-060</ns0:t>
        </ns0:is>
      </ns0:c>
      <ns0:c r="G67" s="9" t="str">
        <ns0:f>IF(H67="Complete","Complete",IF(I67="Blocked","Blocked",IF(I67="In progress","Ready",IF(F67="","Ready",IF(COUNTIFS($B$4:$B$73,F67,$H$4:$H$73,"Complete")=1,"Ready","Waiting")))))</ns0:f>
        <ns0:v>Waiting</ns0:v>
      </ns0:c>
      <ns0:c r="H67" s="9" t="str">
        <ns0:f>IF(I67="Not started","Not started",IF(I67="Blocked","Blocked",IF(I67="In progress","In progress",IF(J67&lt;&gt;"Passed","Awaiting code review",IF(OR(K67="",NOT(ISNUMBER(L67))),"Awaiting review evidence",IF(N67&lt;&gt;"Passed","Awaiting test",IF(OR(M67="",O67="",NOT(ISNUMBER(P67))),"Awaiting test evidence","Complete")))))))</ns0:f>
        <ns0:v>Not started</ns0:v>
      </ns0:c>
      <ns0:c r="I67" s="11" t="inlineStr">
        <ns0:is>
          <ns0:t xml:space="preserve">Not started</ns0:t>
        </ns0:is>
      </ns0:c>
      <ns0:c r="J67" s="11" t="inlineStr">
        <ns0:is>
          <ns0:t xml:space="preserve">Not reviewed</ns0:t>
        </ns0:is>
      </ns0:c>
      <ns0:c r="K67" s="11" t="n"/>
      <ns0:c r="L67" s="31" t="n"/>
      <ns0:c r="M67" s="11" t="n"/>
      <ns0:c r="N67" s="11" t="inlineStr">
        <ns0:is>
          <ns0:t xml:space="preserve">Not tested</ns0:t>
        </ns0:is>
      </ns0:c>
      <ns0:c r="O67" s="11" t="n"/>
      <ns0:c r="P67" s="31" t="n"/>
      <ns0:c r="Q67" s="11" t="n"/>
      <ns0:c r="R67"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7" s="11" t="n"/>
    </ns0:row>
    <ns0:row r="68" ht="105" customHeight="1">
      <ns0:c r="A68" s="4" t="n">
        <ns0:v>65</ns0:v>
      </ns0:c>
      <ns0:c r="B68" s="4" t="inlineStr">
        <ns0:is>
          <ns0:t xml:space="preserve">FB-062</ns0:t>
        </ns0:is>
      </ns0:c>
      <ns0:c r="C68" s="4" t="inlineStr">
        <ns0:is>
          <ns0:t xml:space="preserve">Distribute</ns0:t>
        </ns0:is>
      </ns0:c>
      <ns0:c r="D68" s="4" t="inlineStr">
        <ns0:is>
          <ns0:t xml:space="preserve">Review and confirm the distribution</ns0:t>
        </ns0:is>
      </ns0:c>
      <ns0:c r="E68" s="4" t="inlineStr">
        <ns0:is>
          <ns0:t xml:space="preserve">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8" s="4" t="inlineStr">
        <ns0:is>
          <ns0:t xml:space="preserve">FB-061</ns0:t>
        </ns0:is>
      </ns0:c>
      <ns0:c r="G68" s="4" t="str">
        <ns0:f>IF(H68="Complete","Complete",IF(I68="Blocked","Blocked",IF(I68="In progress","Ready",IF(F68="","Ready",IF(COUNTIFS($B$4:$B$73,F68,$H$4:$H$73,"Complete")=1,"Ready","Waiting")))))</ns0:f>
        <ns0:v>Waiting</ns0:v>
      </ns0:c>
      <ns0:c r="H68" s="4" t="str">
        <ns0:f>IF(I68="Not started","Not started",IF(I68="Blocked","Blocked",IF(I68="In progress","In progress",IF(J68&lt;&gt;"Passed","Awaiting code review",IF(OR(K68="",NOT(ISNUMBER(L68))),"Awaiting review evidence",IF(N68&lt;&gt;"Passed","Awaiting test",IF(OR(M68="",O68="",NOT(ISNUMBER(P68))),"Awaiting test evidence","Complete")))))))</ns0:f>
        <ns0:v>Not started</ns0:v>
      </ns0:c>
      <ns0:c r="I68" s="10" t="inlineStr">
        <ns0:is>
          <ns0:t xml:space="preserve">Not started</ns0:t>
        </ns0:is>
      </ns0:c>
      <ns0:c r="J68" s="10" t="inlineStr">
        <ns0:is>
          <ns0:t xml:space="preserve">Not reviewed</ns0:t>
        </ns0:is>
      </ns0:c>
      <ns0:c r="K68" s="10" t="n"/>
      <ns0:c r="L68" s="30" t="n"/>
      <ns0:c r="M68" s="10" t="n"/>
      <ns0:c r="N68" s="10" t="inlineStr">
        <ns0:is>
          <ns0:t xml:space="preserve">Not tested</ns0:t>
        </ns0:is>
      </ns0:c>
      <ns0:c r="O68" s="10" t="n"/>
      <ns0:c r="P68" s="30" t="n"/>
      <ns0:c r="Q68" s="10" t="n"/>
      <ns0:c r="R68"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8" s="10" t="n"/>
    </ns0:row>
    <ns0:row r="69" ht="105" customHeight="1">
      <ns0:c r="A69" s="9" t="n">
        <ns0:v>66</ns0:v>
      </ns0:c>
      <ns0:c r="B69" s="9" t="inlineStr">
        <ns0:is>
          <ns0:t xml:space="preserve">FB-063</ns0:t>
        </ns0:is>
      </ns0:c>
      <ns0:c r="C69" s="9" t="inlineStr">
        <ns0:is>
          <ns0:t xml:space="preserve">Distribute</ns0:t>
        </ns0:is>
      </ns0:c>
      <ns0:c r="D69" s="9" t="inlineStr">
        <ns0:is>
          <ns0:t xml:space="preserve">Save distribution with a final stock recheck</ns0:t>
        </ns0:is>
      </ns0:c>
      <ns0:c r="E69" s="9" t="inlineStr">
        <ns0:is>
          <ns0: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9" s="9" t="inlineStr">
        <ns0:is>
          <ns0:t xml:space="preserve">FB-062</ns0:t>
        </ns0:is>
      </ns0:c>
      <ns0:c r="G69" s="9" t="str">
        <ns0:f>IF(H69="Complete","Complete",IF(I69="Blocked","Blocked",IF(I69="In progress","Ready",IF(F69="","Ready",IF(COUNTIFS($B$4:$B$73,F69,$H$4:$H$73,"Complete")=1,"Ready","Waiting")))))</ns0:f>
        <ns0:v>Waiting</ns0:v>
      </ns0:c>
      <ns0:c r="H69" s="9" t="str">
        <ns0:f>IF(I69="Not started","Not started",IF(I69="Blocked","Blocked",IF(I69="In progress","In progress",IF(J69&lt;&gt;"Passed","Awaiting code review",IF(OR(K69="",NOT(ISNUMBER(L69))),"Awaiting review evidence",IF(N69&lt;&gt;"Passed","Awaiting test",IF(OR(M69="",O69="",NOT(ISNUMBER(P69))),"Awaiting test evidence","Complete")))))))</ns0:f>
        <ns0:v>Not started</ns0:v>
      </ns0:c>
      <ns0:c r="I69" s="11" t="inlineStr">
        <ns0:is>
          <ns0:t xml:space="preserve">Not started</ns0:t>
        </ns0:is>
      </ns0:c>
      <ns0:c r="J69" s="11" t="inlineStr">
        <ns0:is>
          <ns0:t xml:space="preserve">Not reviewed</ns0:t>
        </ns0:is>
      </ns0:c>
      <ns0:c r="K69" s="11" t="n"/>
      <ns0:c r="L69" s="31" t="n"/>
      <ns0:c r="M69" s="11" t="n"/>
      <ns0:c r="N69" s="11" t="inlineStr">
        <ns0:is>
          <ns0:t xml:space="preserve">Not tested</ns0:t>
        </ns0:is>
      </ns0:c>
      <ns0:c r="O69" s="11" t="n"/>
      <ns0:c r="P69" s="31" t="n"/>
      <ns0:c r="Q69" s="11" t="n"/>
      <ns0:c r="R69"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9" s="11" t="n"/>
    </ns0:row>
    <ns0:row r="70" ht="105" customHeight="1">
      <ns0:c r="A70" s="4" t="n">
        <ns0:v>67</ns0:v>
      </ns0:c>
      <ns0:c r="B70" s="4" t="inlineStr">
        <ns0:is>
          <ns0:t xml:space="preserve">FB-064</ns0:t>
        </ns0:is>
      </ns0:c>
      <ns0:c r="C70" s="4" t="inlineStr">
        <ns0:is>
          <ns0:t xml:space="preserve">Distribute</ns0:t>
        </ns0:is>
      </ns0:c>
      <ns0:c r="D70" s="4" t="inlineStr">
        <ns0:is>
          <ns0:t xml:space="preserve">Show result, preserve errors and verify access</ns0:t>
        </ns0:is>
      </ns0:c>
      <ns0:c r="E70" s="4" t="inlineStr">
        <ns0:is>
          <ns0: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70" s="4" t="inlineStr">
        <ns0:is>
          <ns0:t xml:space="preserve">FB-063</ns0:t>
        </ns0:is>
      </ns0:c>
      <ns0:c r="G70" s="4" t="str">
        <ns0:f>IF(H70="Complete","Complete",IF(I70="Blocked","Blocked",IF(I70="In progress","Ready",IF(F70="","Ready",IF(COUNTIFS($B$4:$B$73,F70,$H$4:$H$73,"Complete")=1,"Ready","Waiting")))))</ns0:f>
        <ns0:v>Waiting</ns0:v>
      </ns0:c>
      <ns0:c r="H70" s="4" t="str">
        <ns0:f>IF(I70="Not started","Not started",IF(I70="Blocked","Blocked",IF(I70="In progress","In progress",IF(J70&lt;&gt;"Passed","Awaiting code review",IF(OR(K70="",NOT(ISNUMBER(L70))),"Awaiting review evidence",IF(N70&lt;&gt;"Passed","Awaiting test",IF(OR(M70="",O70="",NOT(ISNUMBER(P70))),"Awaiting test evidence","Complete")))))))</ns0:f>
        <ns0:v>Not started</ns0:v>
      </ns0:c>
      <ns0:c r="I70" s="10" t="inlineStr">
        <ns0:is>
          <ns0:t xml:space="preserve">Not started</ns0:t>
        </ns0:is>
      </ns0:c>
      <ns0:c r="J70" s="10" t="inlineStr">
        <ns0:is>
          <ns0:t xml:space="preserve">Not reviewed</ns0:t>
        </ns0:is>
      </ns0:c>
      <ns0:c r="K70" s="10" t="n"/>
      <ns0:c r="L70" s="30" t="n"/>
      <ns0:c r="M70" s="10" t="n"/>
      <ns0:c r="N70" s="10" t="inlineStr">
        <ns0:is>
          <ns0:t xml:space="preserve">Not tested</ns0:t>
        </ns0:is>
      </ns0:c>
      <ns0:c r="O70" s="10" t="n"/>
      <ns0:c r="P70" s="30" t="n"/>
      <ns0:c r="Q70" s="10" t="n"/>
      <ns0:c r="R70"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70" s="10" t="n"/>
    </ns0:row>
    <ns0:row r="71" ht="105" customHeight="1">
      <ns0:c r="A71" s="9" t="n">
        <ns0:v>68</ns0:v>
      </ns0:c>
      <ns0:c r="B71" s="9" t="inlineStr">
        <ns0:is>
          <ns0:t xml:space="preserve">FB-068</ns0:t>
        </ns0:is>
      </ns0:c>
      <ns0:c r="C71" s="9" t="inlineStr">
        <ns0:is>
          <ns0:t xml:space="preserve">Verification</ns0:t>
        </ns0:is>
      </ns0:c>
      <ns0:c r="D71" s="9" t="inlineStr">
        <ns0:is>
          <ns0:t xml:space="preserve">Verify movement integrity and complete journeys</ns0:t>
        </ns0:is>
      </ns0:c>
      <ns0:c r="E71" s="9" t="inlineStr">
        <ns0:is>
          <ns0: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71" s="9" t="inlineStr">
        <ns0:is>
          <ns0:t xml:space="preserve">FB-064</ns0:t>
        </ns0:is>
      </ns0:c>
      <ns0:c r="G71" s="9" t="str">
        <ns0:f>IF(H71="Complete","Complete",IF(I71="Blocked","Blocked",IF(I71="In progress","Ready",IF(F71="","Ready",IF(COUNTIFS($B$4:$B$73,F71,$H$4:$H$73,"Complete")=1,"Ready","Waiting")))))</ns0:f>
        <ns0:v>Waiting</ns0:v>
      </ns0:c>
      <ns0:c r="H71" s="9" t="str">
        <ns0:f>IF(I71="Not started","Not started",IF(I71="Blocked","Blocked",IF(I71="In progress","In progress",IF(J71&lt;&gt;"Passed","Awaiting code review",IF(OR(K71="",NOT(ISNUMBER(L71))),"Awaiting review evidence",IF(N71&lt;&gt;"Passed","Awaiting test",IF(OR(M71="",O71="",NOT(ISNUMBER(P71))),"Awaiting test evidence","Complete")))))))</ns0:f>
        <ns0:v>Not started</ns0:v>
      </ns0:c>
      <ns0:c r="I71" s="11" t="inlineStr">
        <ns0:is>
          <ns0:t xml:space="preserve">Not started</ns0:t>
        </ns0:is>
      </ns0:c>
      <ns0:c r="J71" s="11" t="inlineStr">
        <ns0:is>
          <ns0:t xml:space="preserve">Not reviewed</ns0:t>
        </ns0:is>
      </ns0:c>
      <ns0:c r="K71" s="11" t="n"/>
      <ns0:c r="L71" s="31" t="n"/>
      <ns0:c r="M71" s="11" t="n"/>
      <ns0:c r="N71" s="11" t="inlineStr">
        <ns0:is>
          <ns0:t xml:space="preserve">Not tested</ns0:t>
        </ns0:is>
      </ns0:c>
      <ns0:c r="O71" s="11" t="n"/>
      <ns0:c r="P71" s="31" t="n"/>
      <ns0:c r="Q71" s="11" t="n"/>
      <ns0:c r="R71"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71" s="11" t="n"/>
    </ns0:row>
    <ns0:row r="72" ht="105" customHeight="1">
      <ns0:c r="A72" s="4" t="n">
        <ns0:v>69</ns0:v>
      </ns0:c>
      <ns0:c r="B72" s="4" t="inlineStr">
        <ns0:is>
          <ns0:t xml:space="preserve">FB-069</ns0:t>
        </ns0:is>
      </ns0:c>
      <ns0:c r="C72" s="4" t="inlineStr">
        <ns0:is>
          <ns0:t xml:space="preserve">Verification</ns0:t>
        </ns0:is>
      </ns0:c>
      <ns0:c r="D72" s="4" t="inlineStr">
        <ns0:is>
          <ns0:t xml:space="preserve">Verify the combined first-version experience</ns0:t>
        </ns0:is>
      </ns0:c>
      <ns0:c r="E72" s="4" t="inlineStr">
        <ns0:is>
          <ns0: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ns0:t>
        </ns0:is>
      </ns0:c>
      <ns0:c r="F72" s="4" t="inlineStr">
        <ns0:is>
          <ns0:t xml:space="preserve">FB-023</ns0:t>
        </ns0:is>
      </ns0:c>
      <ns0:c r="G72" s="4" t="str">
        <ns0:f>IF(H72="Complete","Complete",IF(I72="Blocked","Blocked",IF(I72="In progress","Ready",IF(F72="","Ready",IF(COUNTIFS($B$4:$B$73,F72,$H$4:$H$73,"Complete")=1,"Ready","Waiting")))))</ns0:f>
        <ns0:v>Waiting</ns0:v>
      </ns0:c>
      <ns0:c r="H72" s="4" t="str">
        <ns0:f>IF(I72="Not started","Not started",IF(I72="Blocked","Blocked",IF(I72="In progress","In progress",IF(J72&lt;&gt;"Passed","Awaiting code review",IF(OR(K72="",NOT(ISNUMBER(L72))),"Awaiting review evidence",IF(N72&lt;&gt;"Passed","Awaiting test",IF(OR(M72="",O72="",NOT(ISNUMBER(P72))),"Awaiting test evidence","Complete")))))))</ns0:f>
        <ns0:v>Not started</ns0:v>
      </ns0:c>
      <ns0:c r="I72" s="10" t="inlineStr">
        <ns0:is>
          <ns0:t xml:space="preserve">Not started</ns0:t>
        </ns0:is>
      </ns0:c>
      <ns0:c r="J72" s="10" t="inlineStr">
        <ns0:is>
          <ns0:t xml:space="preserve">Not reviewed</ns0:t>
        </ns0:is>
      </ns0:c>
      <ns0:c r="K72" s="10" t="n"/>
      <ns0:c r="L72" s="30" t="n"/>
      <ns0:c r="M72" s="10" t="n"/>
      <ns0:c r="N72" s="10" t="inlineStr">
        <ns0:is>
          <ns0:t xml:space="preserve">Not tested</ns0:t>
        </ns0:is>
      </ns0:c>
      <ns0:c r="O72" s="10" t="n"/>
      <ns0:c r="P72" s="30" t="n"/>
      <ns0:c r="Q72" s="10" t="inlineStr">
        <ns0:is>
          <ns0: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ns0:t>
        </ns0:is>
      </ns0:c>
      <ns0:c r="R72" s="10" t="inlineStr">
        <ns0:is>
          <ns0: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72" s="10" t="n"/>
    </ns0:row>
    <ns0:row r="73" ht="105" customHeight="1">
      <ns0:c r="A73" s="9" t="n">
        <ns0:v>70</ns0:v>
      </ns0:c>
      <ns0:c r="B73" s="9" t="inlineStr">
        <ns0:is>
          <ns0:t xml:space="preserve">FB-070</ns0:t>
        </ns0:is>
      </ns0:c>
      <ns0:c r="C73" s="9" t="inlineStr">
        <ns0:is>
          <ns0:t xml:space="preserve">Super Admin recovery — LAST</ns0:t>
        </ns0:is>
      </ns0:c>
      <ns0:c r="D73" s="9" t="inlineStr">
        <ns0:is>
          <ns0:t xml:space="preserve">Implement server-only recovery after all other work</ns0:t>
        </ns0:is>
      </ns0:c>
      <ns0:c r="E73" s="9" t="inlineStr">
        <ns0:is>
          <ns0: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ns0:t>
        </ns0:is>
      </ns0:c>
      <ns0:c r="F73" s="9" t="inlineStr">
        <ns0:is>
          <ns0:t xml:space="preserve">FB-069</ns0:t>
        </ns0:is>
      </ns0:c>
      <ns0:c r="G73" s="9" t="str">
        <ns0:f>IF(H73="Complete","Complete",IF(I73="Blocked","Blocked",IF(I73="In progress","Ready",IF(F73="","Ready",IF(COUNTIFS($B$4:$B$73,F73,$H$4:$H$73,"Complete")=1,"Ready","Waiting")))))</ns0:f>
        <ns0:v>Waiting</ns0:v>
      </ns0:c>
      <ns0:c r="H73" s="9" t="str">
        <ns0:f>IF(I73="Not started","Not started",IF(I73="Blocked","Blocked",IF(I73="In progress","In progress",IF(J73&lt;&gt;"Passed","Awaiting code review",IF(OR(K73="",NOT(ISNUMBER(L73))),"Awaiting review evidence",IF(N73&lt;&gt;"Passed","Awaiting test",IF(OR(M73="",O73="",NOT(ISNUMBER(P73))),"Awaiting test evidence","Complete")))))))</ns0:f>
        <ns0:v>Not started</ns0:v>
      </ns0:c>
      <ns0:c r="I73" s="11" t="inlineStr">
        <ns0:is>
          <ns0:t xml:space="preserve">Not started</ns0:t>
        </ns0:is>
      </ns0:c>
      <ns0:c r="J73" s="11" t="inlineStr">
        <ns0:is>
          <ns0:t xml:space="preserve">Not reviewed</ns0:t>
        </ns0:is>
      </ns0:c>
      <ns0:c r="K73" s="11" t="n"/>
      <ns0:c r="L73" s="31" t="n"/>
      <ns0:c r="M73" s="11" t="n"/>
      <ns0:c r="N73" s="11" t="inlineStr">
        <ns0:is>
          <ns0:t xml:space="preserve">Not tested</ns0:t>
        </ns0:is>
      </ns0:c>
      <ns0:c r="O73" s="11" t="n"/>
      <ns0:c r="P73" s="31" t="n"/>
      <ns0:c r="Q73" s="11" t="n"/>
      <ns0:c r="R73" s="11" t="inlineStr">
        <ns0:is>
          <ns0:t xml:space="preserve">Before starting this item or feature: reread AGENTS.md from disk; apply its teaching and testing rules.
Next: Start this item after the previous item is complete.</ns0:t>
        </ns0:is>
      </ns0:c>
      <ns0:c r="S73" s="11" t="n"/>
    </ns0:row>
  </ns0:sheetData>
  <ns0:mergeCells>
    <ns0:mergeCell ref="A1:H1"/>
  </ns0:mergeCells>
  <ns0:conditionalFormatting sqref="H4:H73">
    <ns0:cfRule type="containsText" dxfId="0" priority="1" operator="containsText" text="Complete"/>
    <ns0:cfRule type="containsText" dxfId="2" priority="3" operator="containsText" text="Blocked"/>
  </ns0:conditionalFormatting>
  <ns0:conditionalFormatting sqref="G4:G73">
    <ns0:cfRule type="containsText" dxfId="1" priority="2" operator="containsText" text="Ready"/>
  </ns0:conditionalFormatting>
  <ns0:dataValidations count="4">
    <ns0:dataValidation type="list" allowBlank="0" showDropDown="0" showInputMessage="0" showErrorMessage="0" sqref="I4:I73">
      <ns0:formula1>"Not started,In progress,Ready for review,Blocked"</ns0:formula1>
    </ns0:dataValidation>
    <ns0:dataValidation type="list" allowBlank="0" showDropDown="0" showInputMessage="0" showErrorMessage="0" sqref="J4:J73">
      <ns0:formula1>"Not reviewed,Changes needed,Passed"</ns0:formula1>
    </ns0:dataValidation>
    <ns0:dataValidation type="list" allowBlank="0" showDropDown="0" showInputMessage="0" showErrorMessage="0" sqref="M4:M73">
      <ns0:formula1>"Developer,Assistant (delegated)"</ns0:formula1>
    </ns0:dataValidation>
    <ns0:dataValidation type="list" allowBlank="0" showDropDown="0" showInputMessage="0" showErrorMessage="0" sqref="N4:N73">
      <ns0:formula1>"Not tested,Failed,Passed"</ns0:formula1>
    </ns0:dataValidation>
  </ns0:dataValidations>
  <ns0:pageMargins left="0.7" right="0.7" top="0.75" bottom="0.75" header="0.3" footer="0.3"/>
  <ns0:tableParts count="1">
    <ns0:tablePart ns1:id="R1d9b8b46002643f8"/>
  </ns0:tableParts>
</ns0: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inlineStr">
        <x:is>
          <x: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x:t>
        </x:is>
      </x:c>
      <x:c r="E23" s="28" t="inlineStr">
        <x:is>
          <x:t xml:space="preserve">FB-004, FB-019, FB-021</x:t>
        </x:is>
      </x:c>
      <x:c r="F23" s="28" t="inlineStr">
        <x:is>
          <x:t xml:space="preserve">Stories!B7</x:t>
        </x:is>
      </x:c>
    </x:row>
    <x:row r="24" ht="52" customHeight="1">
      <x:c r="A24" s="4" t="inlineStr">
        <x:is>
          <x:t xml:space="preserve">REQ-021</x:t>
        </x:is>
      </x:c>
      <x:c r="B24" s="4" t="inlineStr">
        <x:is>
          <x:t xml:space="preserve">1. Roles and account creation</x:t>
        </x:is>
      </x:c>
      <x:c r="C24" s="4" t="inlineStr">
        <x:is>
          <x:t xml:space="preserve">Current scope</x:t>
        </x:is>
      </x:c>
      <x:c r="D24" s="4"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24" s="4" t="inlineStr">
        <x:is>
          <x:t xml:space="preserve">FB-021</x:t>
        </x:is>
      </x:c>
      <x:c r="F24" s="4" t="inlineStr">
        <x:is>
          <x:t xml:space="preserve">Stories!B25</x:t>
        </x:is>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Stories!B7</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inlineStr">
        <x:is>
          <x: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x:t>
        </x:is>
      </x:c>
      <x:c r="E32" s="4" t="inlineStr">
        <x:is>
          <x:t xml:space="preserve">FB-019, FB-020, FB-021, FB-025</x:t>
        </x:is>
      </x:c>
      <x:c r="F32" s="4" t="inlineStr">
        <x:is>
          <x:t xml:space="preserve">Stories!B13</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inlineStr">
        <x:is>
          <x: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inlineStr">
        <x:is>
          <x: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inlineStr">
        <x:is>
          <x: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x:t>
        </x:is>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Stories!B9</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Stories!B9</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inlineStr">
        <x:is>
          <x: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inlineStr">
        <x:is>
          <x: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Stories!B9</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Stories!B9</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Stories!B9</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Stories!B9</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x:t>
        </x:is>
      </x:c>
      <x:c r="E73" s="28" t="inlineStr">
        <x:is>
          <x:t xml:space="preserve">FB-008, FB-024</x:t>
        </x:is>
      </x:c>
      <x:c r="F73" s="28" t="inlineStr">
        <x:is>
          <x:t xml:space="preserve">Stories!B24</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Stories!B24</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Stories!B24</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inlineStr">
        <x:is>
          <x: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inlineStr">
        <x:is>
          <x: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inlineStr">
        <x:is>
          <x: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inlineStr">
        <x:is>
          <x: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inlineStr">
        <x:is>
          <x: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6" s="4" t="inlineStr">
        <x:is>
          <x:t xml:space="preserve">FB-007, FB-024, FB-069,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str">
        <x:v>Deferred decision after catalogue</x:v>
      </x:c>
      <x:c r="D100" s="4" t="str">
        <x: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Previous agreed design retained for discussion only: unique permanent automatically generated PRD-000001 onward, sequential at least six digits/growing beyond999999, never edited/reused, independent of classification and package sizes. Do not implement automatically.</x:v>
      </x:c>
      <x:c r="E100" s="4" t="str">
        <x:v>FB-035 (after FB-067, before FB-034)</x:v>
      </x:c>
      <x:c r="F100" s="4" t="inlineStr">
        <x:is>
          <x:t xml:space="preserve">Stories!B37</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Deleting departments, categories or subcategories. Category department changes and Subcategory moves across Categories/Departments are approved current scope; see their edit requirements.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str">
        <x:v>Tags are shared across the product catalogue: create a tag once and reuse it on multiple products. A product can have multiple tags or none.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x:v>
      </x:c>
      <x:c r="E107" s="28" t="str">
        <x:v>FB-031, FB-037, FB-040, FB-044, FB-048</x:v>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str">
        <x:v>2026-10-30 revised: Product Catalogue form fields: required product name, full Department/Category/Subcategory selection and status (default Active); optional brand and tags. Build this phase without product codes or code generation. Keep internal database id. Reconsider user-facing codes after functional catalogue verification at FB-035. No package size, counting/contents/summary unit, stock quantity, balance or total in catalogue storage/forms/screens; these belong to Stock Management.
2026-10-30 developer explicitly changed PRODUCT Status UI from radio buttons to paired Active/Inactive checkboxes. Follow existing FoodBank User Create pattern: both bind same boolean is_active, Active true-value=true/false-value=false, Inactive inverted values. Exactly one remains checked, Active default preserved. Supersedes Product-form radio UI only; no other account requirement changed.</x:v>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x:t>
        </x:is>
      </x:c>
      <x:c r="E112" s="4" t="inlineStr">
        <x:is>
          <x:t xml:space="preserve">FB-036</x:t>
        </x:is>
      </x:c>
      <x:c r="F112" s="4" t="inlineStr">
        <x:is>
          <x:t xml:space="preserve">Stories!B38</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2026-10-29 approved module separation: Stock Management counting-unit choices: bag, box, can, bottle, carton, jar, packet and individual item. No counting-unit field in catalogue.</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2026-10-29 approved module separation: In Stock Management, multiply each stock package count by its contents and sum compatible measurements; for example rice bags contribute kilograms and cartons contribute eggs. These totals are absent from catalogue screens.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2026-10-29 approved module separation: Stock summaries do not replace individual stock package balances. All balances/totals are owned and displayed by Stock Management only.</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str">
        <x:v>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Code display/search in this later stock workflow must be reconciled with the post-catalogue decision before implementation; all other agreed workflow safeguards remain.</x:v>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stock_item may appear once per Receive or Distribute entry. Update its existing quantity instead of duplicate rows. The same catalogue product can appear on separate rows with different package_sizes. Quantities/packages belong exclusively to Stock Management.</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stock_item (a product/package-size combination), Add or Remove, positive whole-number quantity and mandatory reason. Prevent negative balance. All packaging/quantities stay in Stock Management.</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2026-10-29 approved module separation: Within Stock Management, Managers/Super Admin can view movement history with movement type, quantity added/removed, save time, resulting balance, recorder and receipt/household/reason details. No stock history on catalogue product details.</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2026-10-29 approved module separation: Creating a catalogue product creates no stock quantity. Stock Management starts its stock records at zero and records opening stock through Receive so each quantity has an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x:t>
        </x:is>
      </x:c>
      <x:c r="E140" s="4" t="inlineStr">
        <x:is>
          <x:t xml:space="preserve">FB-048, FB-053</x:t>
        </x:is>
      </x:c>
      <x:c r="F140" s="4" t="inlineStr">
        <x:is>
          <x:t xml:space="preserve">Stories!B50</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2026-10-29 approved module separation: Consistent stock measurement and readable summary formatting belong exclusively to Stock Management. General unit conversion/loose-weight movements remain future scope.</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str">
        <x:v>2026-10-30 revised: Catalogue list shows product name, category path, optional brand/tags and status; no user-facing product code. All roles can search by product name and filter by Department, Category, Subcategory, tag and status. No sizes, units, quantities, available stock or totals. Reconsider product codes only after catalogue verification at FB-035.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x:v>
      </x:c>
      <x:c r="E145" s="28" t="inlineStr">
        <x:is>
          <x:t xml:space="preserve">FB-037–FB-046</x:t>
        </x:is>
      </x:c>
      <x:c r="F145" s="28" t="inlineStr">
        <x:is>
          <x:t xml:space="preserve">Stories!B39</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Stories!B39</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Stories!B51</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Stories!B51</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Stories!B50</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Stories!B51</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Stories!B51</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inlineStr">
        <x:is>
          <x:t xml:space="preserve">1. Roles and account creation</x:t>
        </x:is>
      </x:c>
      <x:c r="C169" s="28" t="inlineStr">
        <x:is>
          <x:t xml:space="preserve">Current scope</x:t>
        </x:is>
      </x:c>
      <x:c r="D169" s="28"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169" s="28" t="inlineStr">
        <x:is>
          <x:t xml:space="preserve">FB-021</x:t>
        </x:is>
      </x:c>
      <x:c r="F169" s="28" t="inlineStr">
        <x:is>
          <x:t xml:space="preserve">Stories!B25</x:t>
        </x:is>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inlineStr">
        <x:is>
          <x:t xml:space="preserve">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row r="183">
      <x:c r="A183" t="inlineStr">
        <x:is>
          <x:t xml:space="preserve">REQ-180</x:t>
        </x:is>
      </x:c>
      <x:c r="B183" t="inlineStr">
        <x:is>
          <x:t xml:space="preserve">User details and navigation</x:t>
        </x:is>
      </x:c>
      <x:c r="C183" t="inlineStr">
        <x:is>
          <x:t xml:space="preserve">Current scope</x:t>
        </x:is>
      </x:c>
      <x:c r="D183" t="inlineStr">
        <x:is>
          <x: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x:t>
        </x:is>
      </x:c>
      <x:c r="E183" t="inlineStr">
        <x:is>
          <x:t xml:space="preserve">FB-020</x:t>
        </x:is>
      </x:c>
      <x:c r="F183" t="inlineStr">
        <x:is>
          <x:t xml:space="preserve">Stories!B12</x:t>
        </x:is>
      </x:c>
    </x:row>
    <x:row r="184">
      <x:c r="A184" t="inlineStr">
        <x:is>
          <x:t xml:space="preserve">REQ-181</x:t>
        </x:is>
      </x:c>
      <x:c r="B184" t="inlineStr">
        <x:is>
          <x:t xml:space="preserve">Department list search</x:t>
        </x:is>
      </x:c>
      <x:c r="C184" t="inlineStr">
        <x:is>
          <x:t xml:space="preserve">Current scope</x:t>
        </x:is>
      </x:c>
      <x:c r="D184" t="inlineStr">
        <x:is>
          <x:t xml:space="preserve">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x:t>
        </x:is>
      </x:c>
      <x:c r="E184" t="inlineStr">
        <x:is>
          <x:t xml:space="preserve">FB-027</x:t>
        </x:is>
      </x:c>
      <x:c r="F184" t="inlineStr">
        <x:is>
          <x:t xml:space="preserve">Stories!B30</x:t>
        </x:is>
      </x:c>
    </x:row>
    <x:row r="185">
      <x:c r="A185" t="inlineStr">
        <x:is>
          <x:t xml:space="preserve">REQ-182</x:t>
        </x:is>
      </x:c>
      <x:c r="B185" t="inlineStr">
        <x:is>
          <x:t xml:space="preserve">Inventory management — first version</x:t>
        </x:is>
      </x:c>
      <x:c r="C185" t="inlineStr">
        <x:is>
          <x:t xml:space="preserve">Current scope</x:t>
        </x:is>
      </x:c>
      <x:c r="D185" t="inlineStr">
        <x:is>
          <x:t xml:space="preserve">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x:t>
        </x:is>
      </x:c>
      <x:c r="E185" t="inlineStr">
        <x:is>
          <x:t xml:space="preserve">FB-028</x:t>
        </x:is>
      </x:c>
      <x:c r="F185" t="inlineStr">
        <x:is>
          <x:t xml:space="preserve">Stories!B31</x:t>
        </x:is>
      </x:c>
    </x:row>
    <x:row r="186">
      <x:c r="A186" t="inlineStr">
        <x:is>
          <x:t xml:space="preserve">REQ-183</x:t>
        </x:is>
      </x:c>
      <x:c r="B186" t="inlineStr">
        <x:is>
          <x:t xml:space="preserve">Inventory management — first version</x:t>
        </x:is>
      </x:c>
      <x:c r="C186" t="inlineStr">
        <x:is>
          <x:t xml:space="preserve">Current scope</x:t>
        </x:is>
      </x:c>
      <x:c r="D186" t="inlineStr">
        <x:is>
          <x:t xml:space="preserve">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 are now approved separately in REQ-188; deletions remain FUTURE.</x:t>
        </x:is>
      </x:c>
      <x:c r="E186" t="inlineStr">
        <x:is>
          <x:t xml:space="preserve">FB-028</x:t>
        </x:is>
      </x:c>
      <x:c r="F186" t="inlineStr">
        <x:is>
          <x:t xml:space="preserve">Stories!B31</x:t>
        </x:is>
      </x:c>
    </x:row>
    <x:row r="187">
      <x:c r="A187" t="inlineStr">
        <x:is>
          <x:t xml:space="preserve">REQ-184</x:t>
        </x:is>
      </x:c>
      <x:c r="B187" t="inlineStr">
        <x:is>
          <x:t xml:space="preserve">Module separation</x:t>
        </x:is>
      </x:c>
      <x:c r="C187" t="inlineStr">
        <x:is>
          <x:t xml:space="preserve">Current scope</x:t>
        </x:is>
      </x:c>
      <x:c r="D187" t="inlineStr">
        <x:is>
          <x:t xml:space="preserve">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x:t>
        </x:is>
      </x:c>
      <x:c r="E187" t="inlineStr">
        <x:is>
          <x:t xml:space="preserve">FB-029–FB-068</x:t>
        </x:is>
      </x:c>
      <x:c r="F187" t="inlineStr">
        <x:is>
          <x:t xml:space="preserve">Stories!B32</x:t>
        </x:is>
      </x:c>
    </x:row>
    <x:row r="188">
      <x:c r="A188" t="inlineStr">
        <x:is>
          <x:t xml:space="preserve">REQ-185</x:t>
        </x:is>
      </x:c>
      <x:c r="B188" t="inlineStr">
        <x:is>
          <x:t xml:space="preserve">Stock Management — shared package definitions</x:t>
        </x:is>
      </x:c>
      <x:c r="C188" t="inlineStr">
        <x:is>
          <x:t xml:space="preserve">Current scope</x:t>
        </x:is>
      </x:c>
      <x:c r="D188"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E188" t="inlineStr">
        <x:is>
          <x:t xml:space="preserve">FB-034, FB-049–FB-056, FB-059–FB-068</x:t>
        </x:is>
      </x:c>
      <x:c r="F188" t="inlineStr">
        <x:is>
          <x:t xml:space="preserve">Stories!B52</x:t>
        </x:is>
      </x:c>
    </x:row>
    <x:row r="189">
      <x:c r="A189" t="inlineStr">
        <x:is>
          <x:t xml:space="preserve">REQ-186</x:t>
        </x:is>
      </x:c>
      <x:c r="B189" t="inlineStr">
        <x:is>
          <x:t xml:space="preserve">Product Catalogue — Subcategory creation</x:t>
        </x:is>
      </x:c>
      <x:c r="C189" t="inlineStr">
        <x:is>
          <x:t xml:space="preserve">Current scope</x:t>
        </x:is>
      </x:c>
      <x:c r="D189" t="inlineStr">
        <x:is>
          <x:t xml:space="preserve">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x:t>
        </x:is>
      </x:c>
      <x:c r="E189" t="inlineStr">
        <x:is>
          <x:t xml:space="preserve">FB-029</x:t>
        </x:is>
      </x:c>
      <x:c r="F189" t="inlineStr">
        <x:is>
          <x:t xml:space="preserve">Stories!B32</x:t>
        </x:is>
      </x:c>
    </x:row>
    <x:row r="190">
      <x:c r="A190" t="inlineStr">
        <x:is>
          <x:t xml:space="preserve">REQ-187</x:t>
        </x:is>
      </x:c>
      <x:c r="B190" t="inlineStr">
        <x:is>
          <x:t xml:space="preserve">Product Catalogue — Subcategory list</x:t>
        </x:is>
      </x:c>
      <x:c r="C190" t="inlineStr">
        <x:is>
          <x:t xml:space="preserve">Current scope</x:t>
        </x:is>
      </x:c>
      <x:c r="D190" t="inlineStr">
        <x:is>
          <x:t xml:space="preserve">2026-10-29 explicitly approved: Subcategory list displays Department, Category and Subcategory names only; one partial-name search matches ANY of the three names (OR). Follow Category/Department search pattern: filter full dataset before alphabetical ten-row pagination, retain search in pagination, 300ms typing pause and immediate Enter, clearing returns list. Manager/Super Admin list access enforced server-side. No stock fields or new edit behavior.</x:t>
        </x:is>
      </x:c>
      <x:c r="E190" t="inlineStr">
        <x:is>
          <x:t xml:space="preserve">FB-029</x:t>
        </x:is>
      </x:c>
      <x:c r="F190" t="inlineStr">
        <x:is>
          <x:t xml:space="preserve">Stories!B32</x:t>
        </x:is>
      </x:c>
    </x:row>
    <x:row r="191">
      <x:c r="A191" t="inlineStr">
        <x:is>
          <x:t xml:space="preserve">REQ-188</x:t>
        </x:is>
      </x:c>
      <x:c r="B191" t="inlineStr">
        <x:is>
          <x:t xml:space="preserve">Product Catalogue — Subcategory moves</x:t>
        </x:is>
      </x:c>
      <x:c r="C191" t="inlineStr">
        <x:is>
          <x:t xml:space="preserve">Current scope</x:t>
        </x:is>
      </x:c>
      <x:c r="D191"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x:t>
        </x:is>
      </x:c>
      <x:c r="E191" t="inlineStr">
        <x:is>
          <x:t xml:space="preserve">FB-030</x:t>
        </x:is>
      </x:c>
      <x:c r="F191" t="inlineStr">
        <x:is>
          <x:t xml:space="preserve">Stories!B33</x:t>
        </x:is>
      </x:c>
    </x:row>
    <x:row r="192">
      <x:c r="A192" t="str">
        <x:v>REQ-189</x:v>
      </x:c>
      <x:c r="B192" t="str">
        <x:v>Product Catalogue — Create form tag search</x:v>
      </x:c>
      <x:c r="C192" t="str">
        <x:v>Current scope</x:v>
      </x:c>
      <x:c r="D192" t="str">
        <x:v>2026-10-30 developer approved Product creation tag search: labelled Search tags input filters the already-loaded tag list locally with case-insensitive partial name matching, ignoring outer search spaces. Apply300ms after typing stops or immediately on Enter; Enter must not submit Product form, and cancels pending timer. Clear search restores all tags. Hidden checked tags stay selected. Show No matching tags found for zero matches; distinguish No tags available when catalogue has none. Cancel timer on leaving page. No server requests or persistence added.
2026-10-30 developer requested tag width same as Department; implemented as tag SEARCH field width. Added grid gap-4 lg:grid-cols-3 search row containing existing grid gap-2 label/input group, matching hierarchy parent columns/gap exactly on wide screens; full width on smaller screens. Tag checkbox list remains full-width. Changed only products/Create.vue layout. Formatter/build/whitespace PASS; no browser check performed. Await developer confirmation of intended width/search behaviour.</x:v>
      </x:c>
      <x:c r="E192" t="str">
        <x:v>FB-032, FB-033, FB-037</x:v>
      </x:c>
      <x:c r="F192" t="str">
        <x:v>Stories!B35</x:v>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040b1ade40b8441f"/>
  </x:tableParts>
</x:worksheet>
</file>