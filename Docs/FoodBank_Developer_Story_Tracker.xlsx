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3d8e2cb0422418b" /></Relationships>
</file>

<file path=xl/workbook.xml><?xml version="1.0" encoding="utf-8"?>
<x:workbook xmlns:x="http://schemas.openxmlformats.org/spreadsheetml/2006/main">
  <x:sheets>
    <x:sheet xmlns:r="http://schemas.openxmlformats.org/officeDocument/2006/relationships" name="Start Here" sheetId="1" r:id="R4c61cace19624628"/>
    <x:sheet xmlns:r="http://schemas.openxmlformats.org/officeDocument/2006/relationships" name="Stories" sheetId="2" r:id="R36ef70e7877c4e95"/>
    <x:sheet xmlns:r="http://schemas.openxmlformats.org/officeDocument/2006/relationships" name="Requirements" sheetId="3" r:id="Rc2aec4cffe574ac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29">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200" fontId="4" fillId="3"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vertical="center"/>
    </x:xf>
    <x:xf numFmtId="0" fontId="6"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5"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8" fillId="0"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9" fillId="0" borderId="0" xfId="0" applyNumberFormat="1" applyFont="1" applyFill="1" applyBorder="1"/>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vertical="center" wrapText="1"/>
    </x:xf>
    <x:xf numFmtId="0" fontId="1" fillId="6" borderId="0" xfId="0" applyNumberFormat="1" applyFont="1" applyFill="1" applyBorder="1"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2603d2f30c488f" /><Relationship Type="http://schemas.openxmlformats.org/officeDocument/2006/relationships/theme" Target="/xl/theme/theme1.xml" Id="Rc6169a7076914ed8" /><Relationship Type="http://schemas.openxmlformats.org/officeDocument/2006/relationships/sharedStrings" Target="/xl/sharedStrings.xml" Id="Re119a03e24c547b4" /><Relationship Type="http://schemas.openxmlformats.org/officeDocument/2006/relationships/worksheet" Target="/xl/worksheets/sheet1.xml" Id="R4c61cace19624628" /><Relationship Type="http://schemas.openxmlformats.org/officeDocument/2006/relationships/worksheet" Target="/xl/worksheets/sheet2.xml" Id="R36ef70e7877c4e95" /><Relationship Type="http://schemas.openxmlformats.org/officeDocument/2006/relationships/worksheet" Target="/xl/worksheets/sheet3.xml" Id="Rc2aec4cffe574acf"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2a58866a3e64fff" /></Relationships>
</file>

<file path=xl/worksheets/_rels/sheet3.xml.rels>&#65279;<?xml version="1.0" encoding="utf-8"?><Relationships xmlns="http://schemas.openxmlformats.org/package/2006/relationships"><Relationship Type="http://schemas.openxmlformats.org/officeDocument/2006/relationships/table" Target="/xl/tables/table2.xml" Id="Rcca64a1fb04a40da" /></Relationships>
</file>

<file path=xl/worksheets/sheet1.xml><?xml version="1.0" encoding="utf-8"?>
<x:worksheet xmlns:x="http://schemas.openxmlformats.org/spreadsheetml/2006/main">
  <x:sheetPr>
    <x:tabColor rgb="FF17324D"/>
  </x:sheetPr>
  <x:sheetViews>
    <x:sheetView showGridLines="0" workbookViewId="0"/>
  </x:sheetViews>
  <x:sheetFormatPr defaultRowHeight="15"/>
  <x:cols>
    <x:col min="1" max="1" width="27" hidden="0" customWidth="1"/>
    <x:col min="2" max="2" width="20" hidden="0" customWidth="1"/>
    <x:col min="3" max="3" width="3" hidden="0" customWidth="1"/>
    <x:col min="4" max="4" width="18" hidden="0" customWidth="1"/>
    <x:col min="5" max="5" width="18" hidden="0" customWidth="1"/>
    <x:col min="6" max="6" width="18" hidden="0" customWidth="1"/>
    <x:col min="7" max="7" width="18" hidden="0" customWidth="1"/>
    <x:col min="8" max="8" width="18" hidden="0" customWidth="1"/>
  </x:cols>
  <x:sheetData>
    <x:row r="1">
      <x:c r="A1" s="15"/>
      <x:c r="B1" s="15"/>
      <x:c r="C1" s="15"/>
      <x:c r="D1" s="15"/>
      <x:c r="E1" s="15"/>
      <x:c r="F1" s="15"/>
      <x:c r="G1" s="15"/>
      <x:c r="H1" s="15"/>
    </x:row>
    <x:row r="2" ht="32" customHeight="1">
      <x:c r="A2" s="16" t="str">
        <x:v>FoodBank developer story tracker</x:v>
      </x:c>
      <x:c r="B2" s="15"/>
      <x:c r="C2" s="15"/>
      <x:c r="D2" s="15"/>
      <x:c r="E2" s="15"/>
      <x:c r="F2" s="15"/>
      <x:c r="G2" s="15"/>
      <x:c r="H2" s="15"/>
    </x:row>
    <x:row r="3">
      <x:c r="A3" s="15"/>
      <x:c r="B3" s="15"/>
      <x:c r="C3" s="15"/>
      <x:c r="D3" s="15"/>
      <x:c r="E3" s="15"/>
      <x:c r="F3" s="15"/>
      <x:c r="G3" s="15"/>
      <x:c r="H3" s="15"/>
    </x:row>
    <x:row r="4" ht="26" customHeight="1">
      <x:c r="A4" s="20" t="str">
        <x:v>Progress</x:v>
      </x:c>
      <x:c r="B4" s="20" t="str">
        <x:v>Items</x:v>
      </x:c>
      <x:c r="C4" s="15"/>
      <x:c r="D4" s="18" t="str">
        <x:v>Owner: assistant maintains this workbook; developer writes application code.</x:v>
      </x:c>
      <x:c r="E4" s="18"/>
      <x:c r="F4" s="18"/>
      <x:c r="G4" s="18"/>
      <x:c r="H4" s="18"/>
    </x:row>
    <x:row r="5" ht="24" customHeight="1">
      <x:c r="A5" s="15" t="str">
        <x:v>Total learning items</x:v>
      </x:c>
      <x:c r="B5" s="15" t="n">
        <x:v>70</x:v>
      </x:c>
      <x:c r="C5" s="15"/>
      <x:c r="D5" s="18"/>
      <x:c r="E5" s="18"/>
      <x:c r="F5" s="18"/>
      <x:c r="G5" s="18"/>
      <x:c r="H5" s="18"/>
    </x:row>
    <x:row r="6" ht="24" customHeight="1">
      <x:c r="A6" s="15" t="str">
        <x:v>Complete</x:v>
      </x:c>
      <x:c r="B6" s="15" t="n">
        <x:f>COUNTIF(Stories!H4:H73,"Complete")</x:f>
        <x:v>3</x:v>
      </x:c>
      <x:c r="C6" s="15"/>
      <x:c r="D6" s="18" t="str">
        <x:v>Complete requires code review AND a passed behaviour test, with evidence and dates.</x:v>
      </x:c>
      <x:c r="E6" s="18"/>
      <x:c r="F6" s="18"/>
      <x:c r="G6" s="18"/>
      <x:c r="H6" s="18"/>
    </x:row>
    <x:row r="7" ht="24" customHeight="1">
      <x:c r="A7" s="15" t="str">
        <x:v>In progress</x:v>
      </x:c>
      <x:c r="B7" s="15" t="n">
        <x:f>COUNTIF(Stories!H4:H73,"In progress")</x:f>
        <x:v>2</x:v>
      </x:c>
      <x:c r="C7" s="15"/>
      <x:c r="D7" s="18"/>
      <x:c r="E7" s="18"/>
      <x:c r="F7" s="18"/>
      <x:c r="G7" s="18"/>
      <x:c r="H7" s="18"/>
    </x:row>
    <x:row r="8" ht="24" customHeight="1">
      <x:c r="A8" s="15" t="str">
        <x:v>Awaiting review/test</x:v>
      </x:c>
      <x:c r="B8" s="15" t="n">
        <x:f>COUNTIF(Stories!H4:H73,"Awaiting*")</x:f>
        <x:v>0</x:v>
      </x:c>
      <x:c r="C8" s="15"/>
      <x:c r="D8" s="18" t="str">
        <x:v>Ask the developer to test first. “Done” after the test request confirms it worked.</x:v>
      </x:c>
      <x:c r="E8" s="18"/>
      <x:c r="F8" s="18"/>
      <x:c r="G8" s="18"/>
      <x:c r="H8" s="18"/>
    </x:row>
    <x:row r="9" ht="24" customHeight="1">
      <x:c r="A9" s="15" t="str">
        <x:v>Blocked</x:v>
      </x:c>
      <x:c r="B9" s="15" t="n">
        <x:f>COUNTIF(Stories!H4:H73,"Blocked")</x:f>
        <x:v>0</x:v>
      </x:c>
      <x:c r="C9" s="15"/>
      <x:c r="D9" s="18"/>
      <x:c r="E9" s="18"/>
      <x:c r="F9" s="18"/>
      <x:c r="G9" s="18"/>
      <x:c r="H9" s="18"/>
    </x:row>
    <x:row r="10" ht="24" customHeight="1">
      <x:c r="A10" s="15" t="str">
        <x:v>Ready to start</x:v>
      </x:c>
      <x:c r="B10" s="15" t="n">
        <x:f>COUNTIFS(Stories!G4:G73,"Ready",Stories!H4:H73,"Not started")</x:f>
        <x:v>0</x:v>
      </x:c>
      <x:c r="C10" s="15"/>
      <x:c r="D10" s="18" t="str">
        <x:v>Only test application behaviour yourself after the developer delegates it.</x:v>
      </x:c>
      <x:c r="E10" s="18"/>
      <x:c r="F10" s="18"/>
      <x:c r="G10" s="18"/>
      <x:c r="H10" s="18"/>
    </x:row>
    <x:row r="11" ht="24" customHeight="1">
      <x:c r="A11" s="15" t="str">
        <x:v>Verified progress</x:v>
      </x:c>
      <x:c r="B11" s="17" t="n">
        <x:f>B6/B5</x:f>
        <x:v>0.04285714285714286</x:v>
      </x:c>
      <x:c r="C11" s="15"/>
      <x:c r="D11" s="18"/>
      <x:c r="E11" s="18"/>
      <x:c r="F11" s="18"/>
      <x:c r="G11" s="18"/>
      <x:c r="H11" s="18"/>
    </x:row>
    <x:row r="12">
      <x:c r="A12" s="15"/>
      <x:c r="B12" s="15"/>
      <x:c r="C12" s="15"/>
      <x:c r="D12" s="15"/>
      <x:c r="E12" s="15"/>
      <x:c r="F12" s="15"/>
      <x:c r="G12" s="15"/>
      <x:c r="H12" s="15"/>
    </x:row>
    <x:row r="13" ht="40" customHeight="1">
      <x:c r="A13" s="21" t="str">
        <x:v>Current item ID</x:v>
      </x:c>
      <x:c r="B13" s="22" t="str">
        <x:v>FB-004</x:v>
      </x:c>
      <x:c r="C13" s="22"/>
      <x:c r="D13" s="22"/>
      <x:c r="E13" s="22"/>
      <x:c r="F13" s="22"/>
      <x:c r="G13" s="22"/>
      <x:c r="H13" s="22"/>
    </x:row>
    <x:row r="14" ht="100" customHeight="1">
      <x:c r="A14" s="21" t="str">
        <x:v>Current lesson</x:v>
      </x:c>
      <x:c r="B14" s="22" t="str">
        <x:v>2026-10-26: Basic password login implemented; developer reports blank-input validation, incorrect-password rejection and correct-password login passed. Single shared error above button reviewed; developer reported login feature done after shared-error test instructions. Username login, logout/protected URL, Remember me and inactive-account scenarios remain unverified. FB-004 remains open; no completion inferred.</x:v>
      </x:c>
      <x:c r="C14" s="22"/>
      <x:c r="D14" s="22"/>
      <x:c r="E14" s="22"/>
      <x:c r="F14" s="22"/>
      <x:c r="G14" s="22"/>
      <x:c r="H14" s="22"/>
    </x:row>
    <x:row r="15" ht="100" customHeight="1">
      <x:c r="A15" s="21" t="str">
        <x:v>Next action</x:v>
      </x:c>
      <x:c r="B15" s="22" t="str">
        <x:v>Before starting this item or feature: reread AGENTS.md from disk; apply its teaching and testing rules. Ask developer to log out and sign in using existing Super Admin username and personal password. Then teach/verify logout and private URL protection, Remember me, and active-session restrictions separately. Keep existing Super Admin password and must_change_password=0 unchanged; no Tinker testing or extra Test User. New-manager/volunteer setup checks remain deferred to FB-019. Complete outstanding FB-004 review before advancing beyond access work.</x:v>
      </x:c>
      <x:c r="C15" s="22"/>
      <x:c r="D15" s="22"/>
      <x:c r="E15" s="22"/>
      <x:c r="F15" s="22"/>
      <x:c r="G15" s="22"/>
      <x:c r="H15" s="22"/>
    </x:row>
    <x:row r="16" ht="65" customHeight="1">
      <x:c r="A16" s="21" t="str">
        <x:v>Waiting on</x:v>
      </x:c>
      <x:c r="B16" s="22" t="str">
        <x:v>Awaiting developer username-login check. FB-004 foundation remains open; current connected login lesson/evidence recorded at FB-005.</x:v>
      </x:c>
      <x:c r="C16" s="22"/>
      <x:c r="D16" s="22"/>
      <x:c r="E16" s="22"/>
      <x:c r="F16" s="22"/>
      <x:c r="G16" s="22"/>
      <x:c r="H16" s="22"/>
    </x:row>
    <x:row r="17" ht="65" customHeight="1">
      <x:c r="A17" s="21" t="str">
        <x:v>Last reviewed revision</x:v>
      </x:c>
      <x:c r="B17" s="22" t="str">
        <x:v>2026-10-26 working tree base d8cdf4497ae4f0976152ed48eadf4adfed78f34d: login form and password callback reviewed; detailed evidence and remaining access findings in Stories FB-005. FB-004 whole-foundation review remains pending.</x:v>
      </x:c>
      <x:c r="C17" s="22"/>
      <x:c r="D17" s="22"/>
      <x:c r="E17" s="22"/>
      <x:c r="F17" s="22"/>
      <x:c r="G17" s="22"/>
      <x:c r="H17" s="22"/>
    </x:row>
    <x:row r="18" ht="40" customHeight="1">
      <x:c r="A18" s="21" t="str">
        <x:v>Current item status</x:v>
      </x:c>
      <x:c r="B18" s="18" t="str">
        <x:v>In progress</x:v>
      </x:c>
      <x:c r="C18" s="18"/>
      <x:c r="D18" s="18"/>
      <x:c r="E18" s="18"/>
      <x:c r="F18" s="18"/>
      <x:c r="G18" s="18"/>
      <x:c r="H18" s="18"/>
    </x:row>
    <x:row r="19">
      <x:c r="A19" s="15"/>
      <x:c r="B19" s="15"/>
      <x:c r="C19" s="15"/>
      <x:c r="D19" s="15"/>
      <x:c r="E19" s="15"/>
      <x:c r="F19" s="15"/>
      <x:c r="G19" s="15"/>
      <x:c r="H19" s="15"/>
    </x:row>
    <x:row r="20" ht="44" customHeight="1">
      <x:c r="A20" s="21" t="str">
        <x:v>Completion process</x:v>
      </x:c>
      <x:c r="B20" s="18" t="str">
        <x:v>Build small step → assistant reviews code → assistant gives explicit test steps → developer says done or delegates testing → record evidence → Complete.</x:v>
      </x:c>
      <x:c r="C20" s="18"/>
      <x:c r="D20" s="18"/>
      <x:c r="E20" s="18"/>
      <x:c r="F20" s="18"/>
      <x:c r="G20" s="18"/>
      <x:c r="H20" s="18"/>
    </x:row>
    <x:row r="21" ht="44" customHeight="1">
      <x:c r="A21" s="21" t="str">
        <x:v>Meaning of done</x:v>
      </x:c>
      <x:c r="B21" s="18" t="str">
        <x:v>After an explicit test request, done means the developer tested that item and it worked. Otherwise it means continue the lesson; it never bypasses code review.</x:v>
      </x:c>
      <x:c r="C21" s="18"/>
      <x:c r="D21" s="18"/>
      <x:c r="E21" s="18"/>
      <x:c r="F21" s="18"/>
      <x:c r="G21" s="18"/>
      <x:c r="H21" s="18"/>
    </x:row>
    <x:row r="22" ht="44" customHeight="1">
      <x:c r="A22" s="21" t="str">
        <x:v>What to record</x:v>
      </x:c>
      <x:c r="B22" s="18" t="str">
        <x:v>Keep current item, lesson, next action and blocker current. Record review/test evidence and dates in Stories. Save inspected Poker paths and pattern findings with the relevant item for reuse.</x:v>
      </x:c>
      <x:c r="C22" s="18"/>
      <x:c r="D22" s="18"/>
      <x:c r="E22" s="18"/>
      <x:c r="F22" s="18"/>
      <x:c r="G22" s="18"/>
      <x:c r="H22" s="18"/>
    </x:row>
    <x:row r="23" ht="44" customHeight="1">
      <x:c r="A23" s="21" t="str">
        <x:v>How completion works</x:v>
      </x:c>
      <x:c r="B23" s="18" t="str">
        <x:v>Set Work stage to Ready for review; record Passed review and test with evidence/dates. Status is calculated. Never overwrite it to claim completion.</x:v>
      </x:c>
      <x:c r="C23" s="18"/>
      <x:c r="D23" s="18"/>
      <x:c r="E23" s="18"/>
      <x:c r="F23" s="18"/>
      <x:c r="G23" s="18"/>
      <x:c r="H23" s="18"/>
    </x:row>
    <x:row r="24" ht="65" customHeight="1">
      <x:c r="A24" s="21" t="str">
        <x:v>Dependencies</x:v>
      </x:c>
      <x:c r="B24" s="18" t="str">
        <x:v>Follow the # column for learning order. Stable FB IDs are unchanged. Previous item follows that order and readiness requires verified completion. Requirements links point to current row locations.</x:v>
      </x:c>
      <x:c r="C24" s="18"/>
      <x:c r="D24" s="18"/>
      <x:c r="E24" s="18"/>
      <x:c r="F24" s="18"/>
      <x:c r="G24" s="18"/>
      <x:c r="H24" s="18"/>
    </x:row>
    <x:row r="25" ht="65" customHeight="1">
      <x:c r="A25" s="21" t="str">
        <x:v>One lesson at a time</x:v>
      </x:c>
      <x:c r="B25" s="18" t="str">
        <x:v>Understanding comes first. Apply teaching examples where useful and use judgment to adapt the sequence. One tracker row may take several small lessons. Build prerequisites and connect dependent behaviour as needed; verify before moving on.</x:v>
      </x:c>
      <x:c r="C25" s="18"/>
      <x:c r="D25" s="18"/>
      <x:c r="E25" s="18"/>
      <x:c r="F25" s="18"/>
      <x:c r="G25" s="18"/>
      <x:c r="H25" s="18"/>
    </x:row>
    <x:row r="26" ht="44" customHeight="1">
      <x:c r="A26" s="21" t="str">
        <x:v>Teaching emphasis</x:v>
      </x:c>
      <x:c r="B26" s="18" t="str">
        <x:v>Vue, Inertia and Tailwind layout: parent/child relationships, flex/grid, sizing, spacing, overflow and responsive behaviour. Reuse existing colours/typography.</x:v>
      </x:c>
      <x:c r="C26" s="18"/>
      <x:c r="D26" s="18"/>
      <x:c r="E26" s="18"/>
      <x:c r="F26" s="18"/>
      <x:c r="G26" s="18"/>
      <x:c r="H26" s="18"/>
    </x:row>
    <x:row r="27" ht="44" customHeight="1">
      <x:c r="A27" s="21" t="str">
        <x:v>Final implementation item</x:v>
      </x:c>
      <x:c r="B27" s="18" t="str">
        <x:v>FB-070 — Super Admin recovery remains last, including its own review and delegated/user testing.</x:v>
      </x:c>
      <x:c r="C27" s="18"/>
      <x:c r="D27" s="18"/>
      <x:c r="E27" s="18"/>
      <x:c r="F27" s="18"/>
      <x:c r="G27" s="18"/>
      <x:c r="H27" s="18"/>
    </x:row>
    <x:row r="28" ht="44" customHeight="1">
      <x:c r="A28" s="21" t="str">
        <x:v>Future work</x:v>
      </x:c>
      <x:c r="B28" s="18" t="str">
        <x:v>Rules marked ##FUTURE on Requirements remain deferred and are excluded from Stories and completion totals. Unresolved future details do not authorize implementation.</x:v>
      </x:c>
      <x:c r="C28" s="18"/>
      <x:c r="D28" s="18"/>
      <x:c r="E28" s="18"/>
      <x:c r="F28" s="18"/>
      <x:c r="G28" s="18"/>
      <x:c r="H28" s="18"/>
    </x:row>
    <x:row r="29" ht="44" customHeight="1">
      <x:c r="A29" s="21" t="str">
        <x:v>Source of requirements</x:v>
      </x:c>
      <x:c r="B29" s="18" t="str">
        <x:v>Requirements is the authoritative scope record, with detailed rules and related FB item IDs. Stories tracks implementation/evidence; Start Here records where to resume.</x:v>
      </x:c>
      <x:c r="C29" s="18"/>
      <x:c r="D29" s="18"/>
      <x:c r="E29" s="18"/>
      <x:c r="F29" s="18"/>
      <x:c r="G29" s="18"/>
      <x:c r="H29" s="18"/>
    </x:row>
    <x:row r="30" ht="65" customHeight="1">
      <x:c r="A30" s="21" t="str">
        <x:v>Reference format</x:v>
      </x:c>
      <x:c r="B30" s="18" t="str">
        <x:v>Order revised 2026-10-25: FB-024 after FB-007; FB-008 after FB-015; FB-020 before FB-019; FB-067 after FB-048; FB-065/FB-066 after FB-054. Department, Category, Subcategory and Product order retained; model/relationship-first steps made explicit.</x:v>
      </x:c>
      <x:c r="C30" s="18"/>
      <x:c r="D30" s="18"/>
      <x:c r="E30" s="18"/>
      <x:c r="F30" s="18"/>
      <x:c r="G30" s="18"/>
      <x:c r="H30" s="18"/>
    </x:row>
    <x:row r="31" ht="44" customHeight="1">
      <x:c r="A31" s="21" t="str">
        <x:v>Resume in a new chat</x:v>
      </x:c>
      <x:c r="B31" s="18" t="str">
        <x:v>Read AGENTS.md and this workbook: Start Here, the current Stories row, and its Requirements. Inspect relevant Poker conventions at new-chat start or on request. Reread AGENTS.md before each item.</x:v>
      </x:c>
      <x:c r="C31" s="18"/>
      <x:c r="D31" s="18"/>
      <x:c r="E31" s="18"/>
      <x:c r="F31" s="18"/>
      <x:c r="G31" s="18"/>
      <x:c r="H31" s="18"/>
    </x:row>
    <x:row r="32" ht="44" customHeight="1">
      <x:c r="A32" s="21" t="str">
        <x:v>Changes after verification</x:v>
      </x:c>
      <x:c r="B32" s="18" t="str">
        <x:v>If later edits invalidate a passed item, reopen it and retest affected behaviour. Preserve previous evidence in notes; never silently keep a stale Complete status.</x:v>
      </x:c>
      <x:c r="C32" s="18"/>
      <x:c r="D32" s="18"/>
      <x:c r="E32" s="18"/>
      <x:c r="F32" s="18"/>
      <x:c r="G32" s="18"/>
      <x:c r="H32" s="18"/>
    </x:row>
    <x:row r="33" ht="44" customHeight="1">
      <x:c r="A33" s="21" t="str">
        <x:v>Workbook maintenance</x:v>
      </x:c>
      <x:c r="B33" s="18" t="str">
        <x:v>Maintain this same workbook. Update Requirements for agreed scope changes, Stories for evidence/progress, and Start Here for handoff. Do not maintain separate feature-list or resume files.</x:v>
      </x:c>
      <x:c r="C33" s="18"/>
      <x:c r="D33" s="18"/>
      <x:c r="E33" s="18"/>
      <x:c r="F33" s="18"/>
      <x:c r="G33" s="18"/>
      <x:c r="H33" s="18"/>
    </x:row>
    <x:row r="34" ht="44" customHeight="1">
      <x:c r="A34" s="21" t="str">
        <x:v>Commit checkpoints</x:v>
      </x:c>
      <x:c r="B34" s="18" t="str">
        <x:v>After a coherent verified feature, suggest an accurate commit message. The developer commits unless explicitly requesting otherwise.</x:v>
      </x:c>
      <x:c r="C34" s="18"/>
      <x:c r="D34" s="18"/>
      <x:c r="E34" s="18"/>
      <x:c r="F34" s="18"/>
      <x:c r="G34" s="18"/>
      <x:c r="H34" s="18"/>
    </x:row>
    <x:row r="35" ht="65" customHeight="1">
      <x:c r="A35" s="21" t="str">
        <x:v>Application test status</x:v>
      </x:c>
      <x:c r="B35" s="18" t="str">
        <x:v>FB-001–FB-003 complete. FB-005 partial developer checks: blank fields, wrong password, correct password and shared-error display passed. Remaining access checks unverified. No assistant application/browser tests.</x:v>
      </x:c>
      <x:c r="C35" s="18"/>
      <x:c r="D35" s="18"/>
      <x:c r="E35" s="18"/>
      <x:c r="F35" s="18"/>
      <x:c r="G35" s="18"/>
      <x:c r="H35" s="18"/>
    </x:row>
    <x:row r="36">
      <x:c r="A36" s="15"/>
      <x:c r="B36" s="15"/>
      <x:c r="C36" s="15"/>
      <x:c r="D36" s="15"/>
      <x:c r="E36" s="15"/>
      <x:c r="F36" s="15"/>
      <x:c r="G36" s="15"/>
      <x:c r="H36" s="15"/>
    </x:row>
    <x:row r="37">
      <x:c r="A37" s="15"/>
      <x:c r="B37" s="15"/>
      <x:c r="C37" s="15"/>
      <x:c r="D37" s="15"/>
      <x:c r="E37" s="15"/>
      <x:c r="F37" s="15"/>
      <x:c r="G37" s="15"/>
      <x:c r="H37" s="15"/>
    </x:row>
    <x:row r="38">
      <x:c r="A38" s="15"/>
      <x:c r="B38" s="15"/>
      <x:c r="C38" s="15"/>
      <x:c r="D38" s="15"/>
      <x:c r="E38" s="15"/>
      <x:c r="F38" s="15"/>
      <x:c r="G38" s="15"/>
      <x:c r="H38" s="15"/>
    </x:row>
    <x:row r="39">
      <x:c r="A39" s="15"/>
      <x:c r="B39" s="15"/>
      <x:c r="C39" s="15"/>
      <x:c r="D39" s="15"/>
      <x:c r="E39" s="15"/>
      <x:c r="F39" s="15"/>
      <x:c r="G39" s="15"/>
      <x:c r="H39" s="15"/>
    </x:row>
    <x:row r="40">
      <x:c r="A40" s="15"/>
      <x:c r="B40" s="15"/>
      <x:c r="C40" s="15"/>
      <x:c r="D40" s="15"/>
      <x:c r="E40" s="15"/>
      <x:c r="F40" s="15"/>
      <x:c r="G40" s="15"/>
      <x:c r="H40" s="15"/>
    </x:row>
  </x:sheetData>
  <x:mergeCells>
    <x:mergeCell ref="A2:H2"/>
    <x:mergeCell ref="D4:H5"/>
    <x:mergeCell ref="D6:H7"/>
    <x:mergeCell ref="D8:H9"/>
    <x:mergeCell ref="D10:H11"/>
    <x:mergeCell ref="B13:H13"/>
    <x:mergeCell ref="B14:H14"/>
    <x:mergeCell ref="B15:H15"/>
    <x:mergeCell ref="B16:H16"/>
    <x:mergeCell ref="B17:H17"/>
    <x:mergeCell ref="B18:H18"/>
    <x:mergeCell ref="B20:H20"/>
    <x:mergeCell ref="B21:H21"/>
    <x:mergeCell ref="B22:H22"/>
    <x:mergeCell ref="B23:H23"/>
    <x:mergeCell ref="B24:H24"/>
    <x:mergeCell ref="B25:H25"/>
    <x:mergeCell ref="B26:H26"/>
    <x:mergeCell ref="B27:H27"/>
    <x:mergeCell ref="B28:H28"/>
    <x:mergeCell ref="B29:H29"/>
    <x:mergeCell ref="B30:H30"/>
    <x:mergeCell ref="B31:H31"/>
    <x:mergeCell ref="B32:H32"/>
    <x:mergeCell ref="B33:H33"/>
    <x:mergeCell ref="B34:H34"/>
    <x:mergeCell ref="B35:H35"/>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defaultRowHeight="15"/>
  <x:cols>
    <x:col min="1" max="1" width="5" hidden="0" customWidth="1"/>
    <x:col min="2" max="2" width="12" hidden="0" customWidth="1"/>
    <x:col min="3" max="3" width="22" hidden="0" customWidth="1"/>
    <x:col min="4" max="4" width="42" hidden="0" customWidth="1"/>
    <x:col min="5" max="5" width="78" hidden="0" customWidth="1"/>
    <x:col min="6" max="6" width="14" hidden="0" customWidth="1"/>
    <x:col min="7" max="7" width="14" hidden="0" customWidth="1"/>
    <x:col min="8" max="8" width="26" hidden="0" customWidth="1"/>
    <x:col min="9" max="9" width="20" hidden="0" customWidth="1"/>
    <x:col min="10" max="10" width="18" hidden="0" customWidth="1"/>
    <x:col min="11" max="11" width="55" hidden="0" customWidth="1"/>
    <x:col min="12" max="12" width="15" hidden="0" customWidth="1"/>
    <x:col min="13" max="13" width="19" hidden="0" customWidth="1"/>
    <x:col min="14" max="14" width="17" hidden="0" customWidth="1"/>
    <x:col min="15" max="15" width="55" hidden="0" customWidth="1"/>
    <x:col min="16" max="16" width="15" hidden="0" customWidth="1"/>
    <x:col min="17" max="17" width="45" hidden="0" customWidth="1"/>
    <x:col min="18" max="18" width="48" hidden="0" customWidth="1"/>
    <x:col min="19" max="19" width="40" hidden="0" customWidth="1"/>
  </x:cols>
  <x:sheetData>
    <x:row r="1" ht="30" customHeight="1">
      <x:c r="A1" s="2" t="str">
        <x:v>FoodBank learning tracker — complete one small item before continuing</x:v>
      </x:c>
      <x:c r="B1" s="1"/>
      <x:c r="C1" s="1"/>
      <x:c r="D1" s="1"/>
      <x:c r="E1" s="1"/>
      <x:c r="F1" s="1"/>
      <x:c r="G1" s="1"/>
      <x:c r="H1" s="1"/>
      <x:c r="I1" s="1"/>
      <x:c r="J1" s="1"/>
      <x:c r="K1" s="1"/>
      <x:c r="L1" s="1"/>
      <x:c r="M1" s="1"/>
      <x:c r="N1" s="1"/>
      <x:c r="O1" s="1"/>
      <x:c r="P1" s="1"/>
      <x:c r="Q1" s="1"/>
      <x:c r="R1" s="1"/>
      <x:c r="S1" s="1"/>
    </x:row>
    <x:row r="2">
      <x:c r="A2" s="1"/>
      <x:c r="B2" s="1"/>
      <x:c r="C2" s="1"/>
      <x:c r="D2" s="1"/>
      <x:c r="E2" s="1"/>
      <x:c r="F2" s="1"/>
      <x:c r="G2" s="1"/>
      <x:c r="H2" s="1"/>
      <x:c r="I2" s="1"/>
      <x:c r="J2" s="1"/>
      <x:c r="K2" s="1"/>
      <x:c r="L2" s="1"/>
      <x:c r="M2" s="1"/>
      <x:c r="N2" s="1"/>
      <x:c r="O2" s="1"/>
      <x:c r="P2" s="1"/>
      <x:c r="Q2" s="1"/>
      <x:c r="R2" s="1"/>
      <x:c r="S2" s="1"/>
    </x:row>
    <x:row r="3" ht="30" customHeight="1">
      <x:c r="A3" s="8" t="str">
        <x:v>#</x:v>
      </x:c>
      <x:c r="B3" s="8" t="str">
        <x:v>Item ID</x:v>
      </x:c>
      <x:c r="C3" s="8" t="str">
        <x:v>Feature</x:v>
      </x:c>
      <x:c r="D3" s="8" t="str">
        <x:v>Learning item</x:v>
      </x:c>
      <x:c r="E3" s="8" t="str">
        <x:v>Acceptance checks</x:v>
      </x:c>
      <x:c r="F3" s="8" t="str">
        <x:v>Previous item</x:v>
      </x:c>
      <x:c r="G3" s="8" t="str">
        <x:v>Readiness</x:v>
      </x:c>
      <x:c r="H3" s="8" t="str">
        <x:v>Status</x:v>
      </x:c>
      <x:c r="I3" s="8" t="str">
        <x:v>Work stage</x:v>
      </x:c>
      <x:c r="J3" s="8" t="str">
        <x:v>Code review</x:v>
      </x:c>
      <x:c r="K3" s="8" t="str">
        <x:v>Review evidence</x:v>
      </x:c>
      <x:c r="L3" s="8" t="str">
        <x:v>Review date</x:v>
      </x:c>
      <x:c r="M3" s="8" t="str">
        <x:v>Tested by</x:v>
      </x:c>
      <x:c r="N3" s="8" t="str">
        <x:v>Test result</x:v>
      </x:c>
      <x:c r="O3" s="8" t="str">
        <x:v>Test evidence</x:v>
      </x:c>
      <x:c r="P3" s="8" t="str">
        <x:v>Test date</x:v>
      </x:c>
      <x:c r="Q3" s="8" t="str">
        <x:v>Lesson / last step</x:v>
      </x:c>
      <x:c r="R3" s="8" t="str">
        <x:v>Next action</x:v>
      </x:c>
      <x:c r="S3" s="8" t="str">
        <x:v>Blocker</x:v>
      </x:c>
    </x:row>
    <x:row r="4" ht="400" customHeight="1">
      <x:c r="A4" s="4" t="n">
        <x:v>1</x:v>
      </x:c>
      <x:c r="B4" s="4" t="str">
        <x:v>FB-001</x:v>
      </x:c>
      <x:c r="C4" s="4" t="str">
        <x:v>Starting point</x:v>
      </x:c>
      <x:c r="D4" s="4" t="str">
        <x:v>Inspect the projects and confirm the local starting point</x:v>
      </x:c>
      <x:c r="E4" s="4" t="str">
        <x:v>Review existing FoodBank code and relevant Poker workflows; explain how the current page runs; developer verifies the local page and database connection. Record actual findings before marking complete.</x:v>
      </x:c>
      <x:c r="F4" s="4"/>
      <x:c r="G4" s="4" t="str">
        <x:f>IF(H4="Complete","Complete",IF(I4="Blocked","Blocked",IF(F4="","Ready",IF(COUNTIFS($B$4:$B$73,F4,$H$4:$H$73,"Complete")=1,"Ready","Waiting"))))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str">
        <x:v>Ready for review</x:v>
      </x:c>
      <x:c r="J4" s="10" t="str">
        <x:v>Passed</x:v>
      </x:c>
      <x:c r="K4" s="10" t="str">
        <x:v>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v>
      </x:c>
      <x:c r="L4" s="12" t="d">
        <x:v>2026-10-25T00:00:00.000Z</x:v>
      </x:c>
      <x:c r="M4" s="10" t="str">
        <x:v>Developer</x:v>
      </x:c>
      <x:c r="N4" s="10" t="str">
        <x:v>Passed</x:v>
      </x:c>
      <x:c r="O4" s="10" t="str">
        <x:v>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v>
      </x:c>
      <x:c r="P4" s="12" t="d">
        <x:v>2026-10-25T00:00:00.000Z</x:v>
      </x:c>
      <x:c r="Q4" s="10" t="str">
        <x:v>2026-10-25: FB-001 complete after source review and developer-confirmed local page, Light/Dark refresh persistence and MySQL connection checks. Initial commit d8cdf44 already contains setup; no new tracked application changes.</x:v>
      </x:c>
      <x:c r="R4" s="10" t="str">
        <x:v>Before starting this item or feature: reread AGENTS.md from disk; apply its teaching and testing rules. Completed; continue with FB-002 shared login page.</x:v>
      </x:c>
      <x:c r="S4" s="10"/>
    </x:row>
    <x:row r="5" ht="105" customHeight="1">
      <x:c r="A5" s="9" t="n">
        <x:v>2</x:v>
      </x:c>
      <x:c r="B5" s="9" t="str">
        <x:v>FB-002</x:v>
      </x:c>
      <x:c r="C5" s="9" t="str">
        <x:v>Access</x:v>
      </x:c>
      <x:c r="D5" s="9" t="str">
        <x:v>Display the shared login page</x:v>
      </x:c>
      <x:c r="E5" s="9" t="str">
        <x:v>Show one login page for all roles, with username/email and password fields. Explain URL-to-page flow and inherited components; use local fictional accounts. Include approved Remember me checkbox (REQ-178) and verify the selected centered-card appearance (REQ-176).</x:v>
      </x:c>
      <x:c r="F5" s="9" t="str">
        <x:v>FB-001</x:v>
      </x:c>
      <x:c r="G5" s="9" t="str">
        <x:f>IF(H5="Complete","Complete",IF(I5="Blocked","Blocked",IF(F5="","Ready",IF(COUNTIFS($B$4:$B$73,F5,$H$4:$H$73,"Complete")=1,"Ready","Waiting"))))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str">
        <x:v>Ready for review</x:v>
      </x:c>
      <x:c r="J5" s="11" t="str">
        <x:v>Passed</x:v>
      </x:c>
      <x:c r="K5" s="11" t="str">
        <x:v>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v>
      </x:c>
      <x:c r="L5" s="13" t="d">
        <x:v>2026-10-25T00:00:00.000Z</x:v>
      </x:c>
      <x:c r="M5" s="11" t="str">
        <x:v>Developer</x:v>
      </x:c>
      <x:c r="N5" s="11" t="str">
        <x:v>Passed</x:v>
      </x:c>
      <x:c r="O5" s="11" t="str">
        <x:v>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v>
      </x:c>
      <x:c r="P5" s="13" t="d">
        <x:v>2026-10-25T00:00:00.000Z</x:v>
      </x:c>
      <x:c r="Q5" s="11" t="str">
        <x:v>2026-10-25: Reopened display work complete after final review and developer narrow/short viewport checks. Remember me display included, authentication not connected.</x:v>
      </x:c>
      <x:c r="R5" s="11" t="str">
        <x:v>Before starting this item or feature: reread AGENTS.md from disk; apply its teaching and testing rules. Display verified; continue FB-003 keyboard checks. Commit checkpoint: Build centered login screen with sprout branding and Remember me.</x:v>
      </x:c>
      <x:c r="S5" s="11"/>
    </x:row>
    <x:row r="6" ht="105" customHeight="1">
      <x:c r="A6" s="4" t="n">
        <x:v>3</x:v>
      </x:c>
      <x:c r="B6" s="4" t="str">
        <x:v>FB-003</x:v>
      </x:c>
      <x:c r="C6" s="4" t="str">
        <x:v>Access</x:v>
      </x:c>
      <x:c r="D6" s="4" t="str">
        <x:v>Arrange the login form for narrow and wide screens</x:v>
      </x:c>
      <x:c r="E6" s="4" t="str">
        <x:v>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v>
      </x:c>
      <x:c r="F6" s="4" t="str">
        <x:v>FB-002</x:v>
      </x:c>
      <x:c r="G6" s="4" t="str">
        <x:f>IF(H6="Complete","Complete",IF(I6="Blocked","Blocked",IF(F6="","Ready",IF(COUNTIFS($B$4:$B$73,F6,$H$4:$H$73,"Complete")=1,"Ready","Waiting"))))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str">
        <x:v>Ready for review</x:v>
      </x:c>
      <x:c r="J6" s="10" t="str">
        <x:v>Passed</x:v>
      </x:c>
      <x:c r="K6" s="10" t="str">
        <x:v>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v>
      </x:c>
      <x:c r="L6" s="12" t="d">
        <x:v>2026-10-25T00:00:00.000Z</x:v>
      </x:c>
      <x:c r="M6" s="10" t="str">
        <x:v>Developer</x:v>
      </x:c>
      <x:c r="N6" s="10" t="str">
        <x:v>Passed</x:v>
      </x:c>
      <x:c r="O6" s="10" t="str">
        <x:v>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v>
      </x:c>
      <x:c r="P6" s="12" t="d">
        <x:v>2026-10-25T00:00:00.000Z</x:v>
      </x:c>
      <x:c r="Q6" s="10" t="str">
        <x:v>Layout and approved keyboard checks complete 2026-10-25.</x:v>
      </x:c>
      <x:c r="R6" s="10" t="str">
        <x:v>Before starting this item or feature: reread AGENTS.md from disk; apply its teaching and testing rules. Continue FB-004 account prerequisites. Commit checkpoint: Build centered login screen with sprout branding and Remember me.</x:v>
      </x:c>
      <x:c r="S6" s="10"/>
    </x:row>
    <x:row r="7" ht="105" customHeight="1">
      <x:c r="A7" s="9" t="n">
        <x:v>4</x:v>
      </x:c>
      <x:c r="B7" s="9" t="str">
        <x:v>FB-004</x:v>
      </x:c>
      <x:c r="C7" s="9" t="str">
        <x:v>Access</x:v>
      </x:c>
      <x:c r="D7" s="9" t="str">
        <x:v>Create the initial account and fixed roles</x:v>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str">
        <x:v>FB-003</x:v>
      </x:c>
      <x:c r="G7" s="9" t="str">
        <x:f>IF(H7="Complete","Complete",IF(I7="Blocked","Blocked",IF(F7="","Ready",IF(COUNTIFS($B$4:$B$73,F7,$H$4:$H$73,"Complete")=1,"Ready","Waiting"))))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str">
        <x:v>In progress</x:v>
      </x:c>
      <x:c r="J7" s="11" t="str">
        <x:v>Passed</x:v>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x:t>
        </x:is>
      </x:c>
      <x:c r="L7" s="13" t="d">
        <x:v>2026-10-26T00:00:00.000Z</x:v>
      </x:c>
      <x:c r="M7" s="11" t="str">
        <x:v>Developer</x:v>
      </x:c>
      <x:c r="N7" s="11" t="str">
        <x:v>Passed</x:v>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13" t="d">
        <x:v>2026-10-26T00:00:00.000Z</x:v>
      </x:c>
      <x:c r="Q7" s="11" t="str">
        <x:v>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x:v>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x:row>
    <x:row r="8" ht="105" customHeight="1">
      <x:c r="A8" s="4" t="n">
        <x:v>5</x:v>
      </x:c>
      <x:c r="B8" s="4" t="str">
        <x:v>FB-005</x:v>
      </x:c>
      <x:c r="C8" s="4" t="str">
        <x:v>Access</x:v>
      </x:c>
      <x:c r="D8" s="4" t="str">
        <x:v>Connect login, logout and protected access</x:v>
      </x:c>
      <x:c r="E8" s="4" t="str">
        <x:v>All roles sign in with username or email. Invalid credentials fail clearly; inactive users are denied; logout ends the current session. Direct private URLs require login. Connect Remember me and verify checked/unchecked behavior with logout and account restrictions (REQ-178).</x:v>
      </x:c>
      <x:c r="F8" s="4" t="str">
        <x:v>FB-004</x:v>
      </x:c>
      <x:c r="G8" s="4" t="str">
        <x:f>IF(H8="Complete","Complete",IF(I8="Blocked","Blocked",IF(F8="","Ready",IF(COUNTIFS($B$4:$B$73,F8,$H$4:$H$73,"Complete")=1,"Ready","Waiting"))))</x:f>
        <x:v>Waiting</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str">
        <x:v>In progress</x:v>
      </x:c>
      <x:c r="J8" s="10" t="str">
        <x:v>Needs changes</x:v>
      </x:c>
      <x:c r="K8" s="10" t="str">
        <x:v>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x:v>
      </x:c>
      <x:c r="L8" s="12" t="d">
        <x:v>2026-10-26T00:00:00.000Z</x:v>
      </x:c>
      <x:c r="M8" s="10" t="str">
        <x:v>Developer</x:v>
      </x:c>
      <x:c r="N8" s="10" t="str">
        <x:v>Not tested</x:v>
      </x:c>
      <x:c r="O8" s="10" t="str">
        <x:v>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x:v>
      </x:c>
      <x:c r="P8" s="12" t="d">
        <x:v>2026-10-26T00:00:00.000Z</x:v>
      </x:c>
      <x:c r="Q8" s="10" t="str">
        <x:v>2026-10-26: Basic password login implemented; developer reports blank-input validation, incorrect-password rejection and correct-password login passed. Single shared error above button reviewed; developer reported login feature done after shared-error test instructions. Username login, logout/protected URL, Remember me and inactive-account scenarios remain unverified. FB-004 remains open; no completion inferred.</x:v>
      </x:c>
      <x:c r="R8" s="10" t="str">
        <x:v>Before starting this item or feature: reread AGENTS.md from disk; apply its teaching and testing rules. Ask developer to log out and sign in using existing Super Admin username and personal password. Then teach/verify logout and private URL protection, Remember me, and active-session restrictions separately. Keep existing Super Admin password and must_change_password=0 unchanged; no Tinker testing or extra Test User. New-manager/volunteer setup checks remain deferred to FB-019. Complete outstanding FB-004 review before advancing beyond access work.</x:v>
      </x:c>
      <x:c r="S8" s="10"/>
    </x:row>
    <x:row r="9" ht="105" customHeight="1">
      <x:c r="A9" s="9" t="n">
        <x:v>6</x:v>
      </x:c>
      <x:c r="B9" s="9" t="str">
        <x:v>FB-006</x:v>
      </x:c>
      <x:c r="C9" s="9" t="str">
        <x:v>Access</x:v>
      </x:c>
      <x:c r="D9" s="9" t="str">
        <x:v>Build the required personal-password setup screen</x:v>
      </x:c>
      <x:c r="E9" s="9"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9" s="9" t="str">
        <x:v>FB-005</x:v>
      </x:c>
      <x:c r="G9" s="9" t="str">
        <x:f>IF(H9="Complete","Complete",IF(I9="Blocked","Blocked",IF(F9="","Ready",IF(COUNTIFS($B$4:$B$73,F9,$H$4:$H$73,"Complete")=1,"Ready","Waiting"))))</x:f>
        <x:v>Waiting</x:v>
      </x:c>
      <x:c r="H9" s="9" t="str">
        <x:f>IF(I9="Not started","Not started",IF(I9="Blocked","Blocked",IF(I9="In progress","In progress",IF(J9&lt;&gt;"Passed","Awaiting code review",IF(OR(K9="",NOT(ISNUMBER(L9))),"Awaiting review evidence",IF(N9&lt;&gt;"Passed","Awaiting test",IF(OR(M9="",O9="",NOT(ISNUMBER(P9))),"Awaiting test evidence","Complete")))))))</x:f>
        <x:v>Not started</x:v>
      </x:c>
      <x:c r="I9" s="11" t="str">
        <x:v>Not started</x:v>
      </x:c>
      <x:c r="J9" s="11" t="str">
        <x:v>Not reviewed</x:v>
      </x:c>
      <x:c r="K9" s="11"/>
      <x:c r="L9" s="13"/>
      <x:c r="M9" s="11"/>
      <x:c r="N9" s="11" t="str">
        <x:v>Not tested</x:v>
      </x:c>
      <x:c r="O9" s="11"/>
      <x:c r="P9" s="13"/>
      <x:c r="Q9" s="11"/>
      <x:c r="R9" s="11" t="inlineStr">
        <x:is>
          <x:t xml:space="preserve">Before starting this item or feature: reread AGENTS.md from disk; apply its teaching and testing rules. Build the setup screen after login prerequisites, one visible behaviour at a time.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9" s="11"/>
    </x:row>
    <x:row r="10" ht="105" customHeight="1">
      <x:c r="A10" s="4" t="n">
        <x:v>7</x:v>
      </x:c>
      <x:c r="B10" s="4" t="str">
        <x:v>FB-007</x:v>
      </x:c>
      <x:c r="C10" s="4" t="str">
        <x:v>Access</x:v>
      </x:c>
      <x:c r="D10" s="4" t="str">
        <x:v>Save the initial personal password and require login again</x:v>
      </x:c>
      <x:c r="E10" s="4" t="str">
        <x:v>Validate 12–128 characters, spaces allowed, matching confirmation, no mandatory character mixture; reject common initial/current password. Save, logout, require new password. Initial password stops working. Config changes do not reset personal passwords.</x:v>
      </x:c>
      <x:c r="F10" s="4" t="str">
        <x:v>FB-006</x:v>
      </x:c>
      <x:c r="G10" s="4" t="str">
        <x:f>IF(H10="Complete","Complete",IF(I10="Blocked","Blocked",IF(F10="","Ready",IF(COUNTIFS($B$4:$B$73,F10,$H$4:$H$73,"Complete")=1,"Ready","Waiting"))))</x:f>
        <x:v>Waiting</x:v>
      </x:c>
      <x:c r="H10" s="4" t="str">
        <x:f>IF(I10="Not started","Not started",IF(I10="Blocked","Blocked",IF(I10="In progress","In progress",IF(J10&lt;&gt;"Passed","Awaiting code review",IF(OR(K10="",NOT(ISNUMBER(L10))),"Awaiting review evidence",IF(N10&lt;&gt;"Passed","Awaiting test",IF(OR(M10="",O10="",NOT(ISNUMBER(P10))),"Awaiting test evidence","Complete")))))))</x:f>
        <x:v>Not started</x:v>
      </x:c>
      <x:c r="I10" s="10" t="str">
        <x:v>Not started</x:v>
      </x:c>
      <x:c r="J10" s="10" t="str">
        <x:v>Not reviewed</x:v>
      </x:c>
      <x:c r="K10" s="10"/>
      <x:c r="L10" s="12"/>
      <x:c r="M10" s="10"/>
      <x:c r="N10" s="10" t="str">
        <x:v>Not tested</x:v>
      </x:c>
      <x:c r="O10" s="10"/>
      <x:c r="P10" s="12"/>
      <x:c r="Q10" s="10"/>
      <x:c r="R10" s="10" t="inlineStr">
        <x:is>
          <x:t xml:space="preserve">Before starting this item or feature: reread AGENTS.md from disk; apply its teaching and testing rules. Build password save and re-login after prerequisites.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10" s="10"/>
    </x:row>
    <x:row r="11" ht="105" customHeight="1">
      <x:c r="A11" s="9" t="n">
        <x:v>8</x:v>
      </x:c>
      <x:c r="B11" s="9" t="str">
        <x:v>FB-024</x:v>
      </x:c>
      <x:c r="C11" s="9" t="str">
        <x:v>Accounts</x:v>
      </x:c>
      <x:c r="D11" s="9" t="str">
        <x:v>Change the signed-in user’s password</x:v>
      </x:c>
      <x:c r="E11" s="9" t="str">
        <x:v>All roles supply correct current password plus matching new password. Enforce agreed rules; logout all sessions and require new login. No self-service name/email/phone editing.</x:v>
      </x:c>
      <x:c r="F11" s="9" t="str">
        <x:v>FB-007</x:v>
      </x:c>
      <x:c r="G11" s="9" t="str">
        <x:f>IF(H11="Complete","Complete",IF(I11="Blocked","Blocked",IF(F11="","Ready",IF(COUNTIFS($B$4:$B$73,F11,$H$4:$H$73,"Complete")=1,"Ready","Waiting"))))</x:f>
        <x:v>Waiting</x:v>
      </x:c>
      <x:c r="H11" s="9" t="str">
        <x:f>IF(I11="Not started","Not started",IF(I11="Blocked","Blocked",IF(I11="In progress","In progress",IF(J11&lt;&gt;"Passed","Awaiting code review",IF(OR(K11="",NOT(ISNUMBER(L11))),"Awaiting review evidence",IF(N11&lt;&gt;"Passed","Awaiting test",IF(OR(M11="",O11="",NOT(ISNUMBER(P11))),"Awaiting test evidence","Complete")))))))</x:f>
        <x:v>Not started</x:v>
      </x:c>
      <x:c r="I11" s="11" t="str">
        <x:v>Not started</x:v>
      </x:c>
      <x:c r="J11" s="11" t="str">
        <x:v>Not reviewed</x:v>
      </x:c>
      <x:c r="K11" s="11"/>
      <x:c r="L11" s="13"/>
      <x:c r="M11" s="11"/>
      <x:c r="N11" s="11" t="str">
        <x:v>Not tested</x:v>
      </x:c>
      <x:c r="O11" s="11"/>
      <x:c r="P11" s="13"/>
      <x:c r="Q11" s="11"/>
      <x:c r="R11" s="11" t="str">
        <x:v>Before starting this item or feature: reread AGENTS.md from disk; apply its teaching and testing rules.
Next: After initial password setup works, reuse the understood form pattern for changing a personal password. Teach current-password validation, saving and ending sessions separately. Verify all roles before linking this action from FB-008.</x:v>
      </x:c>
      <x:c r="S11" s="11"/>
    </x:row>
    <x:row r="12" ht="105" customHeight="1">
      <x:c r="A12" s="4" t="n">
        <x:v>9</x:v>
      </x:c>
      <x:c r="B12" s="4" t="str">
        <x:v>FB-009</x:v>
      </x:c>
      <x:c r="C12" s="4" t="str">
        <x:v>Accounts</x:v>
      </x:c>
      <x:c r="D12" s="4" t="str">
        <x:v>Display the unfiltered user lists</x:v>
      </x:c>
      <x:c r="E12" s="4" t="str">
        <x:v>Manager sees volunteers; Super Admin sees managers and volunteers. Render fictional records first and explain props/loops/stable keys. No volunteer access to others’ account records.</x:v>
      </x:c>
      <x:c r="F12" s="4" t="str">
        <x:v>FB-024</x:v>
      </x:c>
      <x:c r="G12" s="4" t="str">
        <x:f>IF(H12="Complete","Complete",IF(I12="Blocked","Blocked",IF(F12="","Ready",IF(COUNTIFS($B$4:$B$73,F12,$H$4:$H$73,"Complete")=1,"Ready","Waiting"))))</x:f>
        <x:v>Waiting</x:v>
      </x:c>
      <x:c r="H12" s="4" t="str">
        <x:f>IF(I12="Not started","Not started",IF(I12="Blocked","Blocked",IF(I12="In progress","In progress",IF(J12&lt;&gt;"Passed","Awaiting code review",IF(OR(K12="",NOT(ISNUMBER(L12))),"Awaiting review evidence",IF(N12&lt;&gt;"Passed","Awaiting test",IF(OR(M12="",O12="",NOT(ISNUMBER(P12))),"Awaiting test evidence","Complete")))))))</x:f>
        <x:v>Not started</x:v>
      </x:c>
      <x:c r="I12" s="10" t="str">
        <x:v>Not started</x:v>
      </x:c>
      <x:c r="J12" s="10" t="str">
        <x:v>Not reviewed</x:v>
      </x:c>
      <x:c r="K12" s="10"/>
      <x:c r="L12" s="12"/>
      <x:c r="M12" s="10"/>
      <x:c r="N12" s="10" t="str">
        <x:v>Not tested</x:v>
      </x:c>
      <x:c r="O12" s="10"/>
      <x:c r="P12" s="12"/>
      <x:c r="Q12" s="10"/>
      <x:c r="R12" s="10" t="str">
        <x:v>Before starting this item or feature: reread AGENTS.md from disk; apply its teaching and testing rules.
Next: Establish the User fields needed by this list, a small fictional dataset and the unfiltered query. Trace controller props into Vue and render one row, then a keyed loop. Use direct local URLs until FB-008. Identify list policy abilities now; the scaffold stays local until FB-015.</x:v>
      </x:c>
      <x:c r="S12" s="10"/>
    </x:row>
    <x:row r="13" ht="105" customHeight="1">
      <x:c r="A13" s="9" t="n">
        <x:v>10</x:v>
      </x:c>
      <x:c r="B13" s="9" t="str">
        <x:v>FB-010</x:v>
      </x:c>
      <x:c r="C13" s="9" t="str">
        <x:v>Accounts</x:v>
      </x:c>
      <x:c r="D13" s="9" t="str">
        <x:v>Lay out the lists and toolbar</x:v>
      </x:c>
      <x:c r="E13" s="9" t="str">
        <x:v>Teach list/table overflow and parent layout. Toolbar and rows remain usable at narrow and wide widths; reuse colours and typography.</x:v>
      </x:c>
      <x:c r="F13" s="9" t="str">
        <x:v>FB-009</x:v>
      </x:c>
      <x:c r="G13" s="9" t="str">
        <x:f>IF(H13="Complete","Complete",IF(I13="Blocked","Blocked",IF(F13="","Ready",IF(COUNTIFS($B$4:$B$73,F13,$H$4:$H$73,"Complete")=1,"Ready","Waiting"))))</x:f>
        <x:v>Waiting</x:v>
      </x:c>
      <x:c r="H13" s="9" t="str">
        <x:f>IF(I13="Not started","Not started",IF(I13="Blocked","Blocked",IF(I13="In progress","In progress",IF(J13&lt;&gt;"Passed","Awaiting code review",IF(OR(K13="",NOT(ISNUMBER(L13))),"Awaiting review evidence",IF(N13&lt;&gt;"Passed","Awaiting test",IF(OR(M13="",O13="",NOT(ISNUMBER(P13))),"Awaiting test evidence","Complete")))))))</x:f>
        <x:v>Not started</x:v>
      </x:c>
      <x:c r="I13" s="11" t="str">
        <x:v>Not started</x:v>
      </x:c>
      <x:c r="J13" s="11" t="str">
        <x:v>Not reviewed</x:v>
      </x:c>
      <x:c r="K13" s="11"/>
      <x:c r="L13" s="13"/>
      <x:c r="M13" s="11"/>
      <x:c r="N13" s="11" t="str">
        <x:v>Not tested</x:v>
      </x:c>
      <x:c r="O13" s="11"/>
      <x:c r="P13" s="13"/>
      <x:c r="Q13" s="11"/>
      <x:c r="R13" s="11" t="str">
        <x:v>Before starting this item or feature: reread AGENTS.md from disk; apply its teaching and testing rules.
Next: Start this item after the previous item is complete.</x:v>
      </x:c>
      <x:c r="S13" s="11"/>
    </x:row>
    <x:row r="14" ht="105" customHeight="1">
      <x:c r="A14" s="4" t="n">
        <x:v>11</x:v>
      </x:c>
      <x:c r="B14" s="4" t="str">
        <x:v>FB-011</x:v>
      </x:c>
      <x:c r="C14" s="4" t="str">
        <x:v>Accounts</x:v>
      </x:c>
      <x:c r="D14" s="4" t="str">
        <x:v>Add account search</x:v>
      </x:c>
      <x:c r="E14" s="4" t="str">
        <x:v>Search by name, username or email across the full permitted dataset. Explain one input-to-request-to-results cycle and empty results.</x:v>
      </x:c>
      <x:c r="F14" s="4" t="str">
        <x:v>FB-010</x:v>
      </x:c>
      <x:c r="G14" s="4" t="str">
        <x:f>IF(H14="Complete","Complete",IF(I14="Blocked","Blocked",IF(F14="","Ready",IF(COUNTIFS($B$4:$B$73,F14,$H$4:$H$73,"Complete")=1,"Ready","Waiting"))))</x:f>
        <x:v>Waiting</x:v>
      </x:c>
      <x:c r="H14" s="4" t="str">
        <x:f>IF(I14="Not started","Not started",IF(I14="Blocked","Blocked",IF(I14="In progress","In progress",IF(J14&lt;&gt;"Passed","Awaiting code review",IF(OR(K14="",NOT(ISNUMBER(L14))),"Awaiting review evidence",IF(N14&lt;&gt;"Passed","Awaiting test",IF(OR(M14="",O14="",NOT(ISNUMBER(P14))),"Awaiting test evidence","Complete")))))))</x:f>
        <x:v>Not started</x:v>
      </x:c>
      <x:c r="I14" s="10" t="str">
        <x:v>Not started</x:v>
      </x:c>
      <x:c r="J14" s="10" t="str">
        <x:v>Not reviewed</x:v>
      </x:c>
      <x:c r="K14" s="10"/>
      <x:c r="L14" s="12"/>
      <x:c r="M14" s="10"/>
      <x:c r="N14" s="10" t="str">
        <x:v>Not tested</x:v>
      </x:c>
      <x:c r="O14" s="10"/>
      <x:c r="P14" s="12"/>
      <x:c r="Q14" s="10"/>
      <x:c r="R14" s="10" t="str">
        <x:v>Before starting this item or feature: reread AGENTS.md from disk; apply its teaching and testing rules.
Next: Start this item after the previous item is complete.</x:v>
      </x:c>
      <x:c r="S14" s="10"/>
    </x:row>
    <x:row r="15" ht="105" customHeight="1">
      <x:c r="A15" s="9" t="n">
        <x:v>12</x:v>
      </x:c>
      <x:c r="B15" s="9" t="str">
        <x:v>FB-012</x:v>
      </x:c>
      <x:c r="C15" s="9" t="str">
        <x:v>Accounts</x:v>
      </x:c>
      <x:c r="D15" s="9" t="str">
        <x:v>Add the account status filter</x:v>
      </x:c>
      <x:c r="E15" s="9" t="str">
        <x:v>All/Active/Inactive works alone and with search on the full dataset. Add only this filter in this lesson.</x:v>
      </x:c>
      <x:c r="F15" s="9" t="str">
        <x:v>FB-011</x:v>
      </x:c>
      <x:c r="G15" s="9" t="str">
        <x:f>IF(H15="Complete","Complete",IF(I15="Blocked","Blocked",IF(F15="","Ready",IF(COUNTIFS($B$4:$B$73,F15,$H$4:$H$73,"Complete")=1,"Ready","Waiting"))))</x:f>
        <x:v>Waiting</x:v>
      </x:c>
      <x:c r="H15" s="9" t="str">
        <x:f>IF(I15="Not started","Not started",IF(I15="Blocked","Blocked",IF(I15="In progress","In progress",IF(J15&lt;&gt;"Passed","Awaiting code review",IF(OR(K15="",NOT(ISNUMBER(L15))),"Awaiting review evidence",IF(N15&lt;&gt;"Passed","Awaiting test",IF(OR(M15="",O15="",NOT(ISNUMBER(P15))),"Awaiting test evidence","Complete")))))))</x:f>
        <x:v>Not started</x:v>
      </x:c>
      <x:c r="I15" s="11" t="str">
        <x:v>Not started</x:v>
      </x:c>
      <x:c r="J15" s="11" t="str">
        <x:v>Not reviewed</x:v>
      </x:c>
      <x:c r="K15" s="11"/>
      <x:c r="L15" s="13"/>
      <x:c r="M15" s="11"/>
      <x:c r="N15" s="11" t="str">
        <x:v>Not tested</x:v>
      </x:c>
      <x:c r="O15" s="11"/>
      <x:c r="P15" s="13"/>
      <x:c r="Q15" s="11"/>
      <x:c r="R15" s="11" t="str">
        <x:v>Before starting this item or feature: reread AGENTS.md from disk; apply its teaching and testing rules.
Next: Start this item after the previous item is complete.</x:v>
      </x:c>
      <x:c r="S15" s="11"/>
    </x:row>
    <x:row r="16" ht="105" customHeight="1">
      <x:c r="A16" s="4" t="n">
        <x:v>13</x:v>
      </x:c>
      <x:c r="B16" s="4" t="str">
        <x:v>FB-013</x:v>
      </x:c>
      <x:c r="C16" s="4" t="str">
        <x:v>Accounts</x:v>
      </x:c>
      <x:c r="D16" s="4" t="str">
        <x:v>Add the Super Admin role filter</x:v>
      </x:c>
      <x:c r="E16" s="4" t="str">
        <x:v>All/Managers/Volunteers works with search and status. Managers remain restricted to volunteers.</x:v>
      </x:c>
      <x:c r="F16" s="4" t="str">
        <x:v>FB-012</x:v>
      </x:c>
      <x:c r="G16" s="4" t="str">
        <x:f>IF(H16="Complete","Complete",IF(I16="Blocked","Blocked",IF(F16="","Ready",IF(COUNTIFS($B$4:$B$73,F16,$H$4:$H$73,"Complete")=1,"Ready","Waiting"))))</x:f>
        <x:v>Waiting</x:v>
      </x:c>
      <x:c r="H16" s="4" t="str">
        <x:f>IF(I16="Not started","Not started",IF(I16="Blocked","Blocked",IF(I16="In progress","In progress",IF(J16&lt;&gt;"Passed","Awaiting code review",IF(OR(K16="",NOT(ISNUMBER(L16))),"Awaiting review evidence",IF(N16&lt;&gt;"Passed","Awaiting test",IF(OR(M16="",O16="",NOT(ISNUMBER(P16))),"Awaiting test evidence","Complete")))))))</x:f>
        <x:v>Not started</x:v>
      </x:c>
      <x:c r="I16" s="10" t="str">
        <x:v>Not started</x:v>
      </x:c>
      <x:c r="J16" s="10" t="str">
        <x:v>Not reviewed</x:v>
      </x:c>
      <x:c r="K16" s="10"/>
      <x:c r="L16" s="12"/>
      <x:c r="M16" s="10"/>
      <x:c r="N16" s="10" t="str">
        <x:v>Not tested</x:v>
      </x:c>
      <x:c r="O16" s="10"/>
      <x:c r="P16" s="12"/>
      <x:c r="Q16" s="10"/>
      <x:c r="R16" s="10" t="str">
        <x:v>Before starting this item or feature: reread AGENTS.md from disk; apply its teaching and testing rules.
Next: Start this item after the previous item is complete.</x:v>
      </x:c>
      <x:c r="S16" s="10"/>
    </x:row>
    <x:row r="17" ht="105" customHeight="1">
      <x:c r="A17" s="9" t="n">
        <x:v>14</x:v>
      </x:c>
      <x:c r="B17" s="9" t="str">
        <x:v>FB-014</x:v>
      </x:c>
      <x:c r="C17" s="9" t="str">
        <x:v>Accounts</x:v>
      </x:c>
      <x:c r="D17" s="9" t="str">
        <x:v>Paginate the user lists</x:v>
      </x:c>
      <x:c r="E17" s="9" t="str">
        <x:v>10 records per page with Previous/Next. Apply search and filters before pagination; preserve selections across pages.</x:v>
      </x:c>
      <x:c r="F17" s="9" t="str">
        <x:v>FB-013</x:v>
      </x:c>
      <x:c r="G17" s="9" t="str">
        <x:f>IF(H17="Complete","Complete",IF(I17="Blocked","Blocked",IF(F17="","Ready",IF(COUNTIFS($B$4:$B$73,F17,$H$4:$H$73,"Complete")=1,"Ready","Waiting"))))</x:f>
        <x:v>Waiting</x:v>
      </x:c>
      <x:c r="H17" s="9" t="str">
        <x:f>IF(I17="Not started","Not started",IF(I17="Blocked","Blocked",IF(I17="In progress","In progress",IF(J17&lt;&gt;"Passed","Awaiting code review",IF(OR(K17="",NOT(ISNUMBER(L17))),"Awaiting review evidence",IF(N17&lt;&gt;"Passed","Awaiting test",IF(OR(M17="",O17="",NOT(ISNUMBER(P17))),"Awaiting test evidence","Complete")))))))</x:f>
        <x:v>Not started</x:v>
      </x:c>
      <x:c r="I17" s="11" t="str">
        <x:v>Not started</x:v>
      </x:c>
      <x:c r="J17" s="11" t="str">
        <x:v>Not reviewed</x:v>
      </x:c>
      <x:c r="K17" s="11"/>
      <x:c r="L17" s="13"/>
      <x:c r="M17" s="11"/>
      <x:c r="N17" s="11" t="str">
        <x:v>Not tested</x:v>
      </x:c>
      <x:c r="O17" s="11"/>
      <x:c r="P17" s="13"/>
      <x:c r="Q17" s="11"/>
      <x:c r="R17" s="11" t="str">
        <x:v>Before starting this item or feature: reread AGENTS.md from disk; apply its teaching and testing rules.
Next: Start this item after the previous item is complete.</x:v>
      </x:c>
      <x:c r="S17" s="11"/>
    </x:row>
    <x:row r="18" ht="105" customHeight="1">
      <x:c r="A18" s="4" t="n">
        <x:v>15</x:v>
      </x:c>
      <x:c r="B18" s="4" t="str">
        <x:v>FB-015</x:v>
      </x:c>
      <x:c r="C18" s="4" t="str">
        <x:v>Accounts</x:v>
      </x:c>
      <x:c r="D18" s="4" t="str">
        <x:v>Verify list access on the server</x:v>
      </x:c>
      <x:c r="E18" s="4" t="str">
        <x:v>Super Admin lists managers/volunteers; managers list all volunteers regardless of creator; volunteers cannot access user lists by direct URL. Attach real data only after checks are enforced.</x:v>
      </x:c>
      <x:c r="F18" s="4" t="str">
        <x:v>FB-014</x:v>
      </x:c>
      <x:c r="G18" s="4" t="str">
        <x:f>IF(H18="Complete","Complete",IF(I18="Blocked","Blocked",IF(F18="","Ready",IF(COUNTIFS($B$4:$B$73,F18,$H$4:$H$73,"Complete")=1,"Ready","Waiting"))))</x:f>
        <x:v>Waiting</x:v>
      </x:c>
      <x:c r="H18" s="4" t="str">
        <x:f>IF(I18="Not started","Not started",IF(I18="Blocked","Blocked",IF(I18="In progress","In progress",IF(J18&lt;&gt;"Passed","Awaiting code review",IF(OR(K18="",NOT(ISNUMBER(L18))),"Awaiting review evidence",IF(N18&lt;&gt;"Passed","Awaiting test",IF(OR(M18="",O18="",NOT(ISNUMBER(P18))),"Awaiting test evidence","Complete")))))))</x:f>
        <x:v>Not started</x:v>
      </x:c>
      <x:c r="I18" s="10" t="str">
        <x:v>Not started</x:v>
      </x:c>
      <x:c r="J18" s="10" t="str">
        <x:v>Not reviewed</x:v>
      </x:c>
      <x:c r="K18" s="10"/>
      <x:c r="L18" s="12"/>
      <x:c r="M18" s="10"/>
      <x:c r="N18" s="10" t="str">
        <x:v>Not tested</x:v>
      </x:c>
      <x:c r="O18" s="10"/>
      <x:c r="P18" s="12"/>
      <x:c r="Q18" s="10"/>
      <x:c r="R18" s="10" t="str">
        <x:v>Before starting this item or feature: reread AGENTS.md from disk; apply its teaching and testing rules.
Next: Start this item after the previous item is complete.</x:v>
      </x:c>
      <x:c r="S18" s="10"/>
    </x:row>
    <x:row r="19" ht="105" customHeight="1">
      <x:c r="A19" s="9" t="n">
        <x:v>16</x:v>
      </x:c>
      <x:c r="B19" s="9" t="str">
        <x:v>FB-008</x:v>
      </x:c>
      <x:c r="C19" s="9" t="str">
        <x:v>Access</x:v>
      </x:c>
      <x:c r="D19" s="9" t="str">
        <x:v>Display role landing pages and navigation</x:v>
      </x:c>
      <x:c r="E19" s="9" t="str">
        <x:v>After normal login: manager volunteer list, Super Admin combined list, volunteer welcome page. Setup takes priority. Welcome offers password change/logout; add inventory links as those features become available.</x:v>
      </x:c>
      <x:c r="F19" s="9" t="str">
        <x:v>FB-015</x:v>
      </x:c>
      <x:c r="G19" s="9" t="str">
        <x:f>IF(H19="Complete","Complete",IF(I19="Blocked","Blocked",IF(F19="","Ready",IF(COUNTIFS($B$4:$B$73,F19,$H$4:$H$73,"Complete")=1,"Ready","Waiting"))))</x:f>
        <x:v>Waiting</x:v>
      </x:c>
      <x:c r="H19" s="9" t="str">
        <x:f>IF(I19="Not started","Not started",IF(I19="Blocked","Blocked",IF(I19="In progress","In progress",IF(J19&lt;&gt;"Passed","Awaiting code review",IF(OR(K19="",NOT(ISNUMBER(L19))),"Awaiting review evidence",IF(N19&lt;&gt;"Passed","Awaiting test",IF(OR(M19="",O19="",NOT(ISNUMBER(P19))),"Awaiting test evidence","Complete")))))))</x:f>
        <x:v>Not started</x:v>
      </x:c>
      <x:c r="I19" s="11" t="str">
        <x:v>Not started</x:v>
      </x:c>
      <x:c r="J19" s="11" t="str">
        <x:v>Not reviewed</x:v>
      </x:c>
      <x:c r="K19" s="11"/>
      <x:c r="L19" s="13"/>
      <x:c r="M19" s="11"/>
      <x:c r="N19" s="11" t="str">
        <x:v>Not tested</x:v>
      </x:c>
      <x:c r="O19" s="11"/>
      <x:c r="P19" s="13"/>
      <x:c r="Q19" s="11"/>
      <x:c r="R19" s="11" t="str">
        <x:v>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x:v>
      </x:c>
      <x:c r="S19" s="11"/>
    </x:row>
    <x:row r="20" ht="105" customHeight="1">
      <x:c r="A20" s="4" t="n">
        <x:v>17</x:v>
      </x:c>
      <x:c r="B20" s="4" t="str">
        <x:v>FB-016</x:v>
      </x:c>
      <x:c r="C20" s="4" t="str">
        <x:v>Accounts</x:v>
      </x:c>
      <x:c r="D20" s="4" t="str">
        <x:v>Display a create-user page and reactive fields</x:v>
      </x:c>
      <x:c r="E20" s="4" t="str">
        <x:v>Separate page, not a popup. First/last name, email, phone, status; default Active with Inactive choice. Role creation choices follow actor permissions. Explain form ownership/binding before persistence.</x:v>
      </x:c>
      <x:c r="F20" s="4" t="str">
        <x:v>FB-008</x:v>
      </x:c>
      <x:c r="G20" s="4" t="str">
        <x:f>IF(H20="Complete","Complete",IF(I20="Blocked","Blocked",IF(F20="","Ready",IF(COUNTIFS($B$4:$B$73,F20,$H$4:$H$73,"Complete")=1,"Ready","Waiting"))))</x:f>
        <x:v>Waiting</x:v>
      </x:c>
      <x:c r="H20" s="4" t="str">
        <x:f>IF(I20="Not started","Not started",IF(I20="Blocked","Blocked",IF(I20="In progress","In progress",IF(J20&lt;&gt;"Passed","Awaiting code review",IF(OR(K20="",NOT(ISNUMBER(L20))),"Awaiting review evidence",IF(N20&lt;&gt;"Passed","Awaiting test",IF(OR(M20="",O20="",NOT(ISNUMBER(P20))),"Awaiting test evidence","Complete")))))))</x:f>
        <x:v>Not started</x:v>
      </x:c>
      <x:c r="I20" s="10" t="str">
        <x:v>Not started</x:v>
      </x:c>
      <x:c r="J20" s="10" t="str">
        <x:v>Not reviewed</x:v>
      </x:c>
      <x:c r="K20" s="10"/>
      <x:c r="L20" s="12"/>
      <x:c r="M20" s="10"/>
      <x:c r="N20" s="10" t="str">
        <x:v>Not tested</x:v>
      </x:c>
      <x:c r="O20" s="10"/>
      <x:c r="P20" s="12"/>
      <x:c r="Q20" s="10"/>
      <x:c r="R20" s="10" t="str">
        <x:v>Before starting this item or feature: reread AGENTS.md from disk; apply its teaching and testing rules.
Next: Identify create policy ability and both route checks. Display the minimal create page, add plain fields, then teach one binding at a time. Keep fictional local input until authorized submission is implemented in FB-019.</x:v>
      </x:c>
      <x:c r="S20" s="10"/>
    </x:row>
    <x:row r="21" ht="105" customHeight="1">
      <x:c r="A21" s="9" t="n">
        <x:v>18</x:v>
      </x:c>
      <x:c r="B21" s="9" t="str">
        <x:v>FB-017</x:v>
      </x:c>
      <x:c r="C21" s="9" t="str">
        <x:v>Accounts</x:v>
      </x:c>
      <x:c r="D21" s="9" t="str">
        <x:v>Arrange the create form and format Canadian phones</x:v>
      </x:c>
      <x:c r="E21" s="9" t="str">
        <x:v>Teach stacked-to-column layout. While typing, phone becomes +1 506-555-0123; ten digits after +1. Labels and field errors fit without overflow.</x:v>
      </x:c>
      <x:c r="F21" s="9" t="str">
        <x:v>FB-016</x:v>
      </x:c>
      <x:c r="G21" s="9" t="str">
        <x:f>IF(H21="Complete","Complete",IF(I21="Blocked","Blocked",IF(F21="","Ready",IF(COUNTIFS($B$4:$B$73,F21,$H$4:$H$73,"Complete")=1,"Ready","Waiting"))))</x:f>
        <x:v>Waiting</x:v>
      </x:c>
      <x:c r="H21" s="9" t="str">
        <x:f>IF(I21="Not started","Not started",IF(I21="Blocked","Blocked",IF(I21="In progress","In progress",IF(J21&lt;&gt;"Passed","Awaiting code review",IF(OR(K21="",NOT(ISNUMBER(L21))),"Awaiting review evidence",IF(N21&lt;&gt;"Passed","Awaiting test",IF(OR(M21="",O21="",NOT(ISNUMBER(P21))),"Awaiting test evidence","Complete")))))))</x:f>
        <x:v>Not started</x:v>
      </x:c>
      <x:c r="I21" s="11" t="str">
        <x:v>Not started</x:v>
      </x:c>
      <x:c r="J21" s="11" t="str">
        <x:v>Not reviewed</x:v>
      </x:c>
      <x:c r="K21" s="11"/>
      <x:c r="L21" s="13"/>
      <x:c r="M21" s="11"/>
      <x:c r="N21" s="11" t="str">
        <x:v>Not tested</x:v>
      </x:c>
      <x:c r="O21" s="11"/>
      <x:c r="P21" s="13"/>
      <x:c r="Q21" s="11"/>
      <x:c r="R21" s="11" t="str">
        <x:v>Before starting this item or feature: reread AGENTS.md from disk; apply its teaching and testing rules.
Next: Start this item after the previous item is complete.</x:v>
      </x:c>
      <x:c r="S21" s="11"/>
    </x:row>
    <x:row r="22" ht="105" customHeight="1">
      <x:c r="A22" s="4" t="n">
        <x:v>19</x:v>
      </x:c>
      <x:c r="B22" s="4" t="str">
        <x:v>FB-018</x:v>
      </x:c>
      <x:c r="C22" s="4" t="str">
        <x:v>Accounts</x:v>
      </x:c>
      <x:c r="D22" s="4" t="str">
        <x:v>Generate meaningful unique usernames</x:v>
      </x:c>
      <x:c r="E22" s="4" t="str">
        <x:v>Lowercase first.last; remove spaces/hyphens/apostrophes and transliterate accents for username only. Collisions across all roles use .01, .02 etc. Unexpected symbols or unusable name parts block saving; no user.user fallback.</x:v>
      </x:c>
      <x:c r="F22" s="4" t="str">
        <x:v>FB-017</x:v>
      </x:c>
      <x:c r="G22" s="4" t="str">
        <x:f>IF(H22="Complete","Complete",IF(I22="Blocked","Blocked",IF(F22="","Ready",IF(COUNTIFS($B$4:$B$73,F22,$H$4:$H$73,"Complete")=1,"Ready","Waiting"))))</x:f>
        <x:v>Waiting</x:v>
      </x:c>
      <x:c r="H22" s="4" t="str">
        <x:f>IF(I22="Not started","Not started",IF(I22="Blocked","Blocked",IF(I22="In progress","In progress",IF(J22&lt;&gt;"Passed","Awaiting code review",IF(OR(K22="",NOT(ISNUMBER(L22))),"Awaiting review evidence",IF(N22&lt;&gt;"Passed","Awaiting test",IF(OR(M22="",O22="",NOT(ISNUMBER(P22))),"Awaiting test evidence","Complete")))))))</x:f>
        <x:v>Not started</x:v>
      </x:c>
      <x:c r="I22" s="10" t="str">
        <x:v>Not started</x:v>
      </x:c>
      <x:c r="J22" s="10" t="str">
        <x:v>Not reviewed</x:v>
      </x:c>
      <x:c r="K22" s="10"/>
      <x:c r="L22" s="12"/>
      <x:c r="M22" s="10"/>
      <x:c r="N22" s="10" t="str">
        <x:v>Not tested</x:v>
      </x:c>
      <x:c r="O22" s="10"/>
      <x:c r="P22" s="12"/>
      <x:c r="Q22" s="10"/>
      <x:c r="R22" s="10" t="str">
        <x:v>Before starting this item or feature: reread AGENTS.md from disk; apply its teaching and testing rules.
Next: Start this item after the previous item is complete.</x:v>
      </x:c>
      <x:c r="S22" s="10"/>
    </x:row>
    <x:row r="23" ht="105" customHeight="1">
      <x:c r="A23" s="9" t="n">
        <x:v>20</x:v>
      </x:c>
      <x:c r="B23" s="9" t="str">
        <x:v>FB-020</x:v>
      </x:c>
      <x:c r="C23" s="9" t="str">
        <x:v>Accounts</x:v>
      </x:c>
      <x:c r="D23" s="9" t="str">
        <x:v>Build the protected read-only account details page</x:v>
      </x:c>
      <x:c r="E23" s="9" t="str">
        <x:v>Using an existing fictional account, display name, username, email, phone, role and status. Check permitted and denied direct access; volunteers cannot view other accounts. Prepare the success-message area. FB-019 verifies the actual create redirect and message; FB-021–FB-023 connect permitted Edit, status and reset actions as each is implemented.</x:v>
      </x:c>
      <x:c r="F23" s="9" t="str">
        <x:v>FB-018</x:v>
      </x:c>
      <x:c r="G23" s="9" t="str">
        <x:f>IF(H23="Complete","Complete",IF(I23="Blocked","Blocked",IF(F23="","Ready",IF(COUNTIFS($B$4:$B$73,F23,$H$4:$H$73,"Complete")=1,"Ready","Waiting"))))</x:f>
        <x:v>Waiting</x:v>
      </x:c>
      <x:c r="H23" s="9" t="str">
        <x:f>IF(I23="Not started","Not started",IF(I23="Blocked","Blocked",IF(I23="In progress","In progress",IF(J23&lt;&gt;"Passed","Awaiting code review",IF(OR(K23="",NOT(ISNUMBER(L23))),"Awaiting review evidence",IF(N23&lt;&gt;"Passed","Awaiting test",IF(OR(M23="",O23="",NOT(ISNUMBER(P23))),"Awaiting test evidence","Complete")))))))</x:f>
        <x:v>Not started</x:v>
      </x:c>
      <x:c r="I23" s="11" t="str">
        <x:v>Not started</x:v>
      </x:c>
      <x:c r="J23" s="11" t="str">
        <x:v>Not reviewed</x:v>
      </x:c>
      <x:c r="K23" s="11"/>
      <x:c r="L23" s="13"/>
      <x:c r="M23" s="11"/>
      <x:c r="N23" s="11" t="str">
        <x:v>Not tested</x:v>
      </x:c>
      <x:c r="O23" s="11"/>
      <x:c r="P23" s="13"/>
      <x:c r="Q23" s="11"/>
      <x:c r="R23" s="11" t="str">
        <x:v>Before starting this item or feature: reread AGENTS.md from disk; apply its teaching and testing rules.
Next: Build the protected details destination before connecting account creation. Explain the view policy, selected account, Inertia props and read-only fields. Use an existing fictional account. Do not claim create success until FB-019 or display links to unbuilt actions.</x:v>
      </x:c>
      <x:c r="S23" s="11"/>
    </x:row>
    <x:row r="24" ht="105" customHeight="1">
      <x:c r="A24" s="4" t="n">
        <x:v>21</x:v>
      </x:c>
      <x:c r="B24" s="4" t="str">
        <x:v>FB-019</x:v>
      </x:c>
      <x:c r="C24" s="4" t="str">
        <x:v>Accounts</x:v>
      </x:c>
      <x:c r="D24" s="4" t="str">
        <x:v>Save accounts with validation and authorization</x:v>
      </x:c>
      <x:c r="E24" s="4"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x:t>
        </x:is>
      </x:c>
      <x:c r="F24" s="4" t="str">
        <x:v>FB-020</x:v>
      </x:c>
      <x:c r="G24" s="4" t="str">
        <x:f>IF(H24="Complete","Complete",IF(I24="Blocked","Blocked",IF(F24="","Ready",IF(COUNTIFS($B$4:$B$73,F24,$H$4:$H$73,"Complete")=1,"Ready","Waiting"))))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str">
        <x:v>Not started</x:v>
      </x:c>
      <x:c r="J24" s="10" t="str">
        <x:v>Not reviewed</x:v>
      </x:c>
      <x:c r="K24" s="10"/>
      <x:c r="L24" s="12"/>
      <x:c r="M24" s="10"/>
      <x:c r="N24" s="10" t="str">
        <x:v>Not tested</x:v>
      </x:c>
      <x:c r="O24" s="10"/>
      <x:c r="P24" s="12"/>
      <x:c r="Q24" s="10"/>
      <x:c r="R24" s="10" t="inlineStr">
        <x:is>
          <x:t xml:space="preserve">Before starting this item or feature: reread AGENTS.md from disk; apply its teaching and testing rules.
Next: Before enabling Save, implement create checks on display/submission and required storage/validation. Connect persistence to the completed FB-020 details route. Add errors, processing state and success separately; ask the developer to verify before marking complete.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x:t>
        </x:is>
      </x:c>
      <x:c r="S24" s="10"/>
    </x:row>
    <x:row r="25" ht="105" customHeight="1">
      <x:c r="A25" s="9" t="n">
        <x:v>22</x:v>
      </x:c>
      <x:c r="B25" s="9" t="str">
        <x:v>FB-021</x:v>
      </x:c>
      <x:c r="C25" s="9" t="str">
        <x:v>Accounts</x:v>
      </x:c>
      <x:c r="D25" s="9" t="str">
        <x:v>Build and save the separate edit page</x:v>
      </x:c>
      <x:c r="E25" s="9" t="str">
        <x:v>Prefill permitted fields; roles stay fixed. Same validation and cross-role email uniqueness. Name change regenerates unique username and success message includes it. Redirect to details; reject unauthorized display and submit.</x:v>
      </x:c>
      <x:c r="F25" s="9" t="str">
        <x:v>FB-019</x:v>
      </x:c>
      <x:c r="G25" s="9" t="str">
        <x:f>IF(H25="Complete","Complete",IF(I25="Blocked","Blocked",IF(F25="","Ready",IF(COUNTIFS($B$4:$B$73,F25,$H$4:$H$73,"Complete")=1,"Ready","Waiting"))))</x:f>
        <x:v>Waiting</x:v>
      </x:c>
      <x:c r="H25" s="9" t="str">
        <x:f>IF(I25="Not started","Not started",IF(I25="Blocked","Blocked",IF(I25="In progress","In progress",IF(J25&lt;&gt;"Passed","Awaiting code review",IF(OR(K25="",NOT(ISNUMBER(L25))),"Awaiting review evidence",IF(N25&lt;&gt;"Passed","Awaiting test",IF(OR(M25="",O25="",NOT(ISNUMBER(P25))),"Awaiting test evidence","Complete")))))))</x:f>
        <x:v>Not started</x:v>
      </x:c>
      <x:c r="I25" s="11" t="str">
        <x:v>Not started</x:v>
      </x:c>
      <x:c r="J25" s="11" t="str">
        <x:v>Not reviewed</x:v>
      </x:c>
      <x:c r="K25" s="11"/>
      <x:c r="L25" s="13"/>
      <x:c r="M25" s="11"/>
      <x:c r="N25" s="11" t="str">
        <x:v>Not tested</x:v>
      </x:c>
      <x:c r="O25" s="11"/>
      <x:c r="P25" s="13"/>
      <x:c r="Q25" s="11"/>
      <x:c r="R25" s="11" t="str">
        <x:v>Before starting this item or feature: reread AGENTS.md from disk; apply its teaching and testing rules.
Next: Start this item after the previous item is complete.</x:v>
      </x:c>
      <x:c r="S25" s="11"/>
    </x:row>
    <x:row r="26" ht="105" customHeight="1">
      <x:c r="A26" s="4" t="n">
        <x:v>23</x:v>
      </x:c>
      <x:c r="B26" s="4" t="str">
        <x:v>FB-022</x:v>
      </x:c>
      <x:c r="C26" s="4" t="str">
        <x:v>Accounts</x:v>
      </x:c>
      <x:c r="D26" s="4" t="str">
        <x:v>Deactivate and reactivate accounts</x:v>
      </x:c>
      <x:c r="E26" s="4" t="str">
        <x:v>Confirmation explains loss of access and end of all sessions. Managers manage volunteers, Super Admin both roles. Inactive accounts cannot login or continue existing sessions; reactivate without deleting records.</x:v>
      </x:c>
      <x:c r="F26" s="4" t="str">
        <x:v>FB-021</x:v>
      </x:c>
      <x:c r="G26" s="4" t="str">
        <x:f>IF(H26="Complete","Complete",IF(I26="Blocked","Blocked",IF(F26="","Ready",IF(COUNTIFS($B$4:$B$73,F26,$H$4:$H$73,"Complete")=1,"Ready","Waiting"))))</x:f>
        <x:v>Waiting</x:v>
      </x:c>
      <x:c r="H26" s="4" t="str">
        <x:f>IF(I26="Not started","Not started",IF(I26="Blocked","Blocked",IF(I26="In progress","In progress",IF(J26&lt;&gt;"Passed","Awaiting code review",IF(OR(K26="",NOT(ISNUMBER(L26))),"Awaiting review evidence",IF(N26&lt;&gt;"Passed","Awaiting test",IF(OR(M26="",O26="",NOT(ISNUMBER(P26))),"Awaiting test evidence","Complete")))))))</x:f>
        <x:v>Not started</x:v>
      </x:c>
      <x:c r="I26" s="10" t="str">
        <x:v>Not started</x:v>
      </x:c>
      <x:c r="J26" s="10" t="str">
        <x:v>Not reviewed</x:v>
      </x:c>
      <x:c r="K26" s="10"/>
      <x:c r="L26" s="12"/>
      <x:c r="M26" s="10"/>
      <x:c r="N26" s="10" t="str">
        <x:v>Not tested</x:v>
      </x:c>
      <x:c r="O26" s="10"/>
      <x:c r="P26" s="12"/>
      <x:c r="Q26" s="10"/>
      <x:c r="R26" s="10" t="str">
        <x:v>Before starting this item or feature: reread AGENTS.md from disk; apply its teaching and testing rules.
Next: Start this item after the previous item is complete.</x:v>
      </x:c>
      <x:c r="S26" s="10"/>
    </x:row>
    <x:row r="27" ht="105" customHeight="1">
      <x:c r="A27" s="9" t="n">
        <x:v>24</x:v>
      </x:c>
      <x:c r="B27" s="9" t="str">
        <x:v>FB-023</x:v>
      </x:c>
      <x:c r="C27" s="9" t="str">
        <x:v>Accounts</x:v>
      </x:c>
      <x:c r="D27" s="9" t="str">
        <x:v>Reset manager and volunteer passwords</x:v>
      </x:c>
      <x:c r="E27" s="9" t="str">
        <x:v>Confirm reset; managers reset volunteers, Super Admin resets both roles. Set common password, invalidate old password/all sessions, require setup. Preserve Active/Inactive status. Check form/action permissions and next-login cycle.</x:v>
      </x:c>
      <x:c r="F27" s="9" t="str">
        <x:v>FB-022</x:v>
      </x:c>
      <x:c r="G27" s="9" t="str">
        <x:f>IF(H27="Complete","Complete",IF(I27="Blocked","Blocked",IF(F27="","Ready",IF(COUNTIFS($B$4:$B$73,F27,$H$4:$H$73,"Complete")=1,"Ready","Waiting"))))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str">
        <x:v>Not started</x:v>
      </x:c>
      <x:c r="J27" s="11" t="str">
        <x:v>Not reviewed</x:v>
      </x:c>
      <x:c r="K27" s="11"/>
      <x:c r="L27" s="13"/>
      <x:c r="M27" s="11"/>
      <x:c r="N27" s="11" t="str">
        <x:v>Not tested</x:v>
      </x:c>
      <x:c r="O27" s="11"/>
      <x:c r="P27" s="13"/>
      <x:c r="Q27" s="11"/>
      <x:c r="R27" s="11" t="str">
        <x:v>Before starting this item or feature: reread AGENTS.md from disk; apply its teaching and testing rules.
Next: Start this item after the previous item is complete.</x:v>
      </x:c>
      <x:c r="S27" s="11"/>
    </x:row>
    <x:row r="28" ht="105" customHeight="1">
      <x:c r="A28" s="4" t="n">
        <x:v>25</x:v>
      </x:c>
      <x:c r="B28" s="4" t="str">
        <x:v>FB-025</x:v>
      </x:c>
      <x:c r="C28" s="4" t="str">
        <x:v>Accounts</x:v>
      </x:c>
      <x:c r="D28" s="4" t="str">
        <x:v>Verify the complete account journey</x:v>
      </x:c>
      <x:c r="E28" s="4" t="str">
        <x:v>Developer first tests all three roles, creation/edit/details, search/filter/pagination, inactive sessions and password flows; record automated/direct-request checks as applicable. Review code and retain evidence, not assumptions.</x:v>
      </x:c>
      <x:c r="F28" s="4" t="str">
        <x:v>FB-023</x:v>
      </x:c>
      <x:c r="G28" s="4" t="str">
        <x:f>IF(H28="Complete","Complete",IF(I28="Blocked","Blocked",IF(F28="","Ready",IF(COUNTIFS($B$4:$B$73,F28,$H$4:$H$73,"Complete")=1,"Ready","Waiting"))))</x:f>
        <x:v>Waiting</x:v>
      </x:c>
      <x:c r="H28" s="4" t="str">
        <x:f>IF(I28="Not started","Not started",IF(I28="Blocked","Blocked",IF(I28="In progress","In progress",IF(J28&lt;&gt;"Passed","Awaiting code review",IF(OR(K28="",NOT(ISNUMBER(L28))),"Awaiting review evidence",IF(N28&lt;&gt;"Passed","Awaiting test",IF(OR(M28="",O28="",NOT(ISNUMBER(P28))),"Awaiting test evidence","Complete")))))))</x:f>
        <x:v>Not started</x:v>
      </x:c>
      <x:c r="I28" s="10" t="str">
        <x:v>Not started</x:v>
      </x:c>
      <x:c r="J28" s="10" t="str">
        <x:v>Not reviewed</x:v>
      </x:c>
      <x:c r="K28" s="10"/>
      <x:c r="L28" s="12"/>
      <x:c r="M28" s="10"/>
      <x:c r="N28" s="10" t="str">
        <x:v>Not tested</x:v>
      </x:c>
      <x:c r="O28" s="10"/>
      <x:c r="P28" s="12"/>
      <x:c r="Q28" s="10"/>
      <x:c r="R28" s="10" t="str">
        <x:v>Before starting this item or feature: reread AGENTS.md from disk; apply its teaching and testing rules.
Next: Start this item after the previous item is complete.</x:v>
      </x:c>
      <x:c r="S28" s="10"/>
    </x:row>
    <x:row r="29" ht="105" customHeight="1">
      <x:c r="A29" s="9" t="n">
        <x:v>26</x:v>
      </x:c>
      <x:c r="B29" s="9" t="str">
        <x:v>FB-026</x:v>
      </x:c>
      <x:c r="C29" s="9" t="str">
        <x:v>Departments</x:v>
      </x:c>
      <x:c r="D29" s="9" t="str">
        <x:v>Create Department storage and display its list</x:v>
      </x:c>
      <x:c r="E29" s="9" t="str">
        <x:v>First explain and build only Department model and storage. Display a simple unfiltered list from fictional records through controller/Inertia props and a keyed Vue loop. Then add the single-name form scaffold and responsive layout in separate lessons. Identify manager/Super Admin policy abilities; authorize before real private access. Do not create Category or speculative relationships.</x:v>
      </x:c>
      <x:c r="F29" s="9" t="str">
        <x:v>FB-025</x:v>
      </x:c>
      <x:c r="G29" s="9" t="str">
        <x:f>IF(H29="Complete","Complete",IF(I29="Blocked","Blocked",IF(F29="","Ready",IF(COUNTIFS($B$4:$B$73,F29,$H$4:$H$73,"Complete")=1,"Ready","Waiting"))))</x:f>
        <x:v>Waiting</x:v>
      </x:c>
      <x:c r="H29" s="9" t="str">
        <x:f>IF(I29="Not started","Not started",IF(I29="Blocked","Blocked",IF(I29="In progress","In progress",IF(J29&lt;&gt;"Passed","Awaiting code review",IF(OR(K29="",NOT(ISNUMBER(L29))),"Awaiting review evidence",IF(N29&lt;&gt;"Passed","Awaiting test",IF(OR(M29="",O29="",NOT(ISNUMBER(P29))),"Awaiting test evidence","Complete")))))))</x:f>
        <x:v>Not started</x:v>
      </x:c>
      <x:c r="I29" s="11" t="str">
        <x:v>Not started</x:v>
      </x:c>
      <x:c r="J29" s="11" t="str">
        <x:v>Not reviewed</x:v>
      </x:c>
      <x:c r="K29" s="11"/>
      <x:c r="L29" s="13"/>
      <x:c r="M29" s="11"/>
      <x:c r="N29" s="11" t="str">
        <x:v>Not tested</x:v>
      </x:c>
      <x:c r="O29" s="11"/>
      <x:c r="P29" s="13"/>
      <x:c r="Q29" s="11"/>
      <x:c r="R29" s="11" t="str">
        <x:v>Before starting this item or feature: reread AGENTS.md from disk; apply its teaching and testing rules.
Next: Explain what one Department record stores and why it comes first. Teach its model and migration as separate small steps, then show the unfiltered list. Observe each change before adding form structure, binding or layout.</x:v>
      </x:c>
      <x:c r="S29" s="11"/>
    </x:row>
    <x:row r="30" ht="105" customHeight="1">
      <x:c r="A30" s="4" t="n">
        <x:v>27</x:v>
      </x:c>
      <x:c r="B30" s="4" t="str">
        <x:v>FB-027</x:v>
      </x:c>
      <x:c r="C30" s="4" t="str">
        <x:v>Departments</x:v>
      </x:c>
      <x:c r="D30" s="4" t="str">
        <x:v>Create and rename departments with access checks</x:v>
      </x:c>
      <x:c r="E30" s="4" t="str">
        <x:v>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x:v>
      </x:c>
      <x:c r="F30" s="4" t="str">
        <x:v>FB-026</x:v>
      </x:c>
      <x:c r="G30" s="4" t="str">
        <x:f>IF(H30="Complete","Complete",IF(I30="Blocked","Blocked",IF(F30="","Ready",IF(COUNTIFS($B$4:$B$73,F30,$H$4:$H$73,"Complete")=1,"Ready","Waiting"))))</x:f>
        <x:v>Waiting</x:v>
      </x:c>
      <x:c r="H30" s="4" t="str">
        <x:f>IF(I30="Not started","Not started",IF(I30="Blocked","Blocked",IF(I30="In progress","In progress",IF(J30&lt;&gt;"Passed","Awaiting code review",IF(OR(K30="",NOT(ISNUMBER(L30))),"Awaiting review evidence",IF(N30&lt;&gt;"Passed","Awaiting test",IF(OR(M30="",O30="",NOT(ISNUMBER(P30))),"Awaiting test evidence","Complete")))))))</x:f>
        <x:v>Not started</x:v>
      </x:c>
      <x:c r="I30" s="10" t="str">
        <x:v>Not started</x:v>
      </x:c>
      <x:c r="J30" s="10" t="str">
        <x:v>Not reviewed</x:v>
      </x:c>
      <x:c r="K30" s="10"/>
      <x:c r="L30" s="12"/>
      <x:c r="M30" s="10"/>
      <x:c r="N30" s="10" t="str">
        <x:v>Not tested</x:v>
      </x:c>
      <x:c r="O30" s="10"/>
      <x:c r="P30" s="12"/>
      <x:c r="Q30" s="10"/>
      <x:c r="R30" s="10" t="str">
        <x:v>Before starting this item or feature: reread AGENTS.md from disk; apply its teaching and testing rules.
Next: Add create validation and both display/write authorization, connect saving, then verify. Teach rename as the next behaviour. Complete the Department review and developer-first checks before starting Category.</x:v>
      </x:c>
      <x:c r="S30" s="10"/>
    </x:row>
    <x:row r="31" ht="105" customHeight="1">
      <x:c r="A31" s="9" t="n">
        <x:v>28</x:v>
      </x:c>
      <x:c r="B31" s="9" t="str">
        <x:v>FB-028</x:v>
      </x:c>
      <x:c r="C31" s="9" t="str">
        <x:v>Categories</x:v>
      </x:c>
      <x:c r="D31" s="9" t="str">
        <x:v>Build and verify Category within Department</x:v>
      </x:c>
      <x:c r="E31" s="9" t="str">
        <x:v>After Department is verified, introduce Category model/storage and its required Department relationship. Display the basic category list, then build parent selection and create, then rename in separate lessons. Names are required and unique within a department ignoring case/outer spaces. Parent stays fixed; no hierarchy deletion. Enforce manager/Super Admin display/write checks. Verify list/create/rename and Department rename preserving the link before Subcategory.</x:v>
      </x:c>
      <x:c r="F31" s="9" t="str">
        <x:v>FB-027</x:v>
      </x:c>
      <x:c r="G31" s="9" t="str">
        <x:f>IF(H31="Complete","Complete",IF(I31="Blocked","Blocked",IF(F31="","Ready",IF(COUNTIFS($B$4:$B$73,F31,$H$4:$H$73,"Complete")=1,"Ready","Waiting"))))</x:f>
        <x:v>Waiting</x:v>
      </x:c>
      <x:c r="H31" s="9" t="str">
        <x:f>IF(I31="Not started","Not started",IF(I31="Blocked","Blocked",IF(I31="In progress","In progress",IF(J31&lt;&gt;"Passed","Awaiting code review",IF(OR(K31="",NOT(ISNUMBER(L31))),"Awaiting review evidence",IF(N31&lt;&gt;"Passed","Awaiting test",IF(OR(M31="",O31="",NOT(ISNUMBER(P31))),"Awaiting test evidence","Complete")))))))</x:f>
        <x:v>Not started</x:v>
      </x:c>
      <x:c r="I31" s="11" t="str">
        <x:v>Not started</x:v>
      </x:c>
      <x:c r="J31" s="11" t="str">
        <x:v>Not reviewed</x:v>
      </x:c>
      <x:c r="K31" s="11"/>
      <x:c r="L31" s="13"/>
      <x:c r="M31" s="11"/>
      <x:c r="N31" s="11" t="str">
        <x:v>Not tested</x:v>
      </x:c>
      <x:c r="O31" s="11"/>
      <x:c r="P31" s="13"/>
      <x:c r="Q31" s="11"/>
      <x:c r="R31" s="11" t="str">
        <x:v>Before starting this item or feature: reread AGENTS.md from disk; apply its teaching and testing rules.
Next: Explain one Category belonging to one existing Department. Introduce only the storage and relationship this use needs. Show a simple list first; teach parent selection, create and rename one at a time, pausing for checks. No Subcategory relationship yet.</x:v>
      </x:c>
      <x:c r="S31" s="11"/>
    </x:row>
    <x:row r="32" ht="105" customHeight="1">
      <x:c r="A32" s="4" t="n">
        <x:v>29</x:v>
      </x:c>
      <x:c r="B32" s="4" t="str">
        <x:v>FB-029</x:v>
      </x:c>
      <x:c r="C32" s="4" t="str">
        <x:v>Subcategories</x:v>
      </x:c>
      <x:c r="D32" s="4" t="str">
        <x:v>Build Subcategory storage, list and creation</x:v>
      </x:c>
      <x:c r="E32" s="4" t="str">
        <x:v>Introduce Subcategory model/storage and its Category relationship after Category is verified. Display the basic list, then parent selection, then summary-unit selection and create as separate lessons. Required names are unique within category ignoring case/outer spaces. Summary units are kg, litres or individual items; no skipped levels. Enforce manager/Super Admin display/write checks. Do not create Product relationships yet.</x:v>
      </x:c>
      <x:c r="F32" s="4" t="str">
        <x:v>FB-028</x:v>
      </x:c>
      <x:c r="G32" s="4" t="str">
        <x:f>IF(H32="Complete","Complete",IF(I32="Blocked","Blocked",IF(F32="","Ready",IF(COUNTIFS($B$4:$B$73,F32,$H$4:$H$73,"Complete")=1,"Ready","Waiting"))))</x:f>
        <x:v>Waiting</x:v>
      </x:c>
      <x:c r="H32" s="4" t="str">
        <x:f>IF(I32="Not started","Not started",IF(I32="Blocked","Blocked",IF(I32="In progress","In progress",IF(J32&lt;&gt;"Passed","Awaiting code review",IF(OR(K32="",NOT(ISNUMBER(L32))),"Awaiting review evidence",IF(N32&lt;&gt;"Passed","Awaiting test",IF(OR(M32="",O32="",NOT(ISNUMBER(P32))),"Awaiting test evidence","Complete")))))))</x:f>
        <x:v>Not started</x:v>
      </x:c>
      <x:c r="I32" s="10" t="str">
        <x:v>Not started</x:v>
      </x:c>
      <x:c r="J32" s="10" t="str">
        <x:v>Not reviewed</x:v>
      </x:c>
      <x:c r="K32" s="10"/>
      <x:c r="L32" s="12"/>
      <x:c r="M32" s="10"/>
      <x:c r="N32" s="10" t="str">
        <x:v>Not tested</x:v>
      </x:c>
      <x:c r="O32" s="10"/>
      <x:c r="P32" s="12"/>
      <x:c r="Q32" s="10"/>
      <x:c r="R32" s="10" t="str">
        <x:v>Before starting this item or feature: reread AGENTS.md from disk; apply its teaching and testing rules.
Next: Explain one Subcategory belonging to one existing Category. Build only that storage/relationship and a visible list first. Add parent selection, summary unit and save one behaviour at a time. Finish rename and module verification in FB-030.</x:v>
      </x:c>
      <x:c r="S32" s="10"/>
    </x:row>
    <x:row r="33" ht="105" customHeight="1">
      <x:c r="A33" s="9" t="n">
        <x:v>30</x:v>
      </x:c>
      <x:c r="B33" s="9" t="str">
        <x:v>FB-030</x:v>
      </x:c>
      <x:c r="C33" s="9" t="str">
        <x:v>Subcategories</x:v>
      </x:c>
      <x:c r="D33" s="9" t="str">
        <x:v>Rename subcategories and verify catalogue permissions</x:v>
      </x:c>
      <x:c r="E33" s="9" t="str">
        <x:v>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x:v>
      </x:c>
      <x:c r="F33" s="9" t="str">
        <x:v>FB-029</x:v>
      </x:c>
      <x:c r="G33" s="9" t="str">
        <x:f>IF(H33="Complete","Complete",IF(I33="Blocked","Blocked",IF(F33="","Ready",IF(COUNTIFS($B$4:$B$73,F33,$H$4:$H$73,"Complete")=1,"Ready","Waiting"))))</x:f>
        <x:v>Waiting</x:v>
      </x:c>
      <x:c r="H33" s="9" t="str">
        <x:f>IF(I33="Not started","Not started",IF(I33="Blocked","Blocked",IF(I33="In progress","In progress",IF(J33&lt;&gt;"Passed","Awaiting code review",IF(OR(K33="",NOT(ISNUMBER(L33))),"Awaiting review evidence",IF(N33&lt;&gt;"Passed","Awaiting test",IF(OR(M33="",O33="",NOT(ISNUMBER(P33))),"Awaiting test evidence","Complete")))))))</x:f>
        <x:v>Not started</x:v>
      </x:c>
      <x:c r="I33" s="11" t="str">
        <x:v>Not started</x:v>
      </x:c>
      <x:c r="J33" s="11" t="str">
        <x:v>Not reviewed</x:v>
      </x:c>
      <x:c r="K33" s="11"/>
      <x:c r="L33" s="13"/>
      <x:c r="M33" s="11"/>
      <x:c r="N33" s="11" t="str">
        <x:v>Not tested</x:v>
      </x:c>
      <x:c r="O33" s="11"/>
      <x:c r="P33" s="13"/>
      <x:c r="Q33" s="11"/>
      <x:c r="R33" s="11" t="str">
        <x:v>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x:v>
      </x:c>
      <x:c r="S33" s="11"/>
    </x:row>
    <x:row r="34" ht="105" customHeight="1">
      <x:c r="A34" s="4" t="n">
        <x:v>31</x:v>
      </x:c>
      <x:c r="B34" s="4" t="str">
        <x:v>FB-031</x:v>
      </x:c>
      <x:c r="C34" s="4" t="str">
        <x:v>Tags</x:v>
      </x:c>
      <x:c r="D34" s="4" t="str">
        <x:v>Build a reusable tag list and form</x:v>
      </x:c>
      <x:c r="E34" s="4" t="str">
        <x:v>Create/rename shared tags: required catalogue-wide unique name ignoring case/outer spaces. Rename updates every use. Managers/Super Admin only; teach display, input state, save and authorization in small lessons.</x:v>
      </x:c>
      <x:c r="F34" s="4" t="str">
        <x:v>FB-030</x:v>
      </x:c>
      <x:c r="G34" s="4" t="str">
        <x:f>IF(H34="Complete","Complete",IF(I34="Blocked","Blocked",IF(F34="","Ready",IF(COUNTIFS($B$4:$B$73,F34,$H$4:$H$73,"Complete")=1,"Ready","Waiting"))))</x:f>
        <x:v>Waiting</x:v>
      </x:c>
      <x:c r="H34" s="4" t="str">
        <x:f>IF(I34="Not started","Not started",IF(I34="Blocked","Blocked",IF(I34="In progress","In progress",IF(J34&lt;&gt;"Passed","Awaiting code review",IF(OR(K34="",NOT(ISNUMBER(L34))),"Awaiting review evidence",IF(N34&lt;&gt;"Passed","Awaiting test",IF(OR(M34="",O34="",NOT(ISNUMBER(P34))),"Awaiting test evidence","Complete")))))))</x:f>
        <x:v>Not started</x:v>
      </x:c>
      <x:c r="I34" s="10" t="str">
        <x:v>Not started</x:v>
      </x:c>
      <x:c r="J34" s="10" t="str">
        <x:v>Not reviewed</x:v>
      </x:c>
      <x:c r="K34" s="10"/>
      <x:c r="L34" s="12"/>
      <x:c r="M34" s="10"/>
      <x:c r="N34" s="10" t="str">
        <x:v>Not tested</x:v>
      </x:c>
      <x:c r="O34" s="10"/>
      <x:c r="P34" s="12"/>
      <x:c r="Q34" s="10"/>
      <x:c r="R34" s="10" t="str">
        <x:v>Before starting this item or feature: reread AGENTS.md from disk; apply its teaching and testing rules.
Next: Teach the standalone Tag model/storage and list, then create and rename separately with manager/Super Admin checks. Verify these standalone actions before products. Product attachment/removal and deletion restricted to unused tags require Product and remain explicitly in FB-037/FB-048; do not add speculative product relationships here.</x:v>
      </x:c>
      <x:c r="S34" s="10"/>
    </x:row>
    <x:row r="35" ht="105" customHeight="1">
      <x:c r="A35" s="9" t="n">
        <x:v>32</x:v>
      </x:c>
      <x:c r="B35" s="9" t="str">
        <x:v>FB-032</x:v>
      </x:c>
      <x:c r="C35" s="9" t="str">
        <x:v>Products</x:v>
      </x:c>
      <x:c r="D35" s="9" t="str">
        <x:v>Introduce Product storage and its hierarchy form</x:v>
      </x:c>
      <x:c r="E35" s="9" t="str">
        <x:v>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x:v>
      </x:c>
      <x:c r="F35" s="9" t="str">
        <x:v>FB-031</x:v>
      </x:c>
      <x:c r="G35" s="9" t="str">
        <x:f>IF(H35="Complete","Complete",IF(I35="Blocked","Blocked",IF(F35="","Ready",IF(COUNTIFS($B$4:$B$73,F35,$H$4:$H$73,"Complete")=1,"Ready","Waiting"))))</x:f>
        <x:v>Waiting</x:v>
      </x:c>
      <x:c r="H35" s="9" t="str">
        <x:f>IF(I35="Not started","Not started",IF(I35="Blocked","Blocked",IF(I35="In progress","In progress",IF(J35&lt;&gt;"Passed","Awaiting code review",IF(OR(K35="",NOT(ISNUMBER(L35))),"Awaiting review evidence",IF(N35&lt;&gt;"Passed","Awaiting test",IF(OR(M35="",O35="",NOT(ISNUMBER(P35))),"Awaiting test evidence","Complete")))))))</x:f>
        <x:v>Not started</x:v>
      </x:c>
      <x:c r="I35" s="11" t="str">
        <x:v>Not started</x:v>
      </x:c>
      <x:c r="J35" s="11" t="str">
        <x:v>Not reviewed</x:v>
      </x:c>
      <x:c r="K35" s="11"/>
      <x:c r="L35" s="13"/>
      <x:c r="M35" s="11"/>
      <x:c r="N35" s="11" t="str">
        <x:v>Not tested</x:v>
      </x:c>
      <x:c r="O35" s="11"/>
      <x:c r="P35" s="13"/>
      <x:c r="Q35" s="11"/>
      <x:c r="R35" s="11" t="str">
        <x:v>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x:v>
      </x:c>
      <x:c r="S35" s="11"/>
    </x:row>
    <x:row r="36" ht="105" customHeight="1">
      <x:c r="A36" s="4" t="n">
        <x:v>33</x:v>
      </x:c>
      <x:c r="B36" s="4" t="str">
        <x:v>FB-033</x:v>
      </x:c>
      <x:c r="C36" s="4" t="str">
        <x:v>Products</x:v>
      </x:c>
      <x:c r="D36" s="4" t="str">
        <x:v>Lay out the product form and bind its inputs</x:v>
      </x:c>
      <x:c r="E36" s="4" t="str">
        <x:v>Explain parent grid/flex, spacing, width and phone-to-desktop arrangement. Introduce local form state gradually; package preview reflects entered values before saving.</x:v>
      </x:c>
      <x:c r="F36" s="4" t="str">
        <x:v>FB-032</x:v>
      </x:c>
      <x:c r="G36" s="4" t="str">
        <x:f>IF(H36="Complete","Complete",IF(I36="Blocked","Blocked",IF(F36="","Ready",IF(COUNTIFS($B$4:$B$73,F36,$H$4:$H$73,"Complete")=1,"Ready","Waiting"))))</x:f>
        <x:v>Waiting</x:v>
      </x:c>
      <x:c r="H36" s="4" t="str">
        <x:f>IF(I36="Not started","Not started",IF(I36="Blocked","Blocked",IF(I36="In progress","In progress",IF(J36&lt;&gt;"Passed","Awaiting code review",IF(OR(K36="",NOT(ISNUMBER(L36))),"Awaiting review evidence",IF(N36&lt;&gt;"Passed","Awaiting test",IF(OR(M36="",O36="",NOT(ISNUMBER(P36))),"Awaiting test evidence","Complete")))))))</x:f>
        <x:v>Not started</x:v>
      </x:c>
      <x:c r="I36" s="10" t="str">
        <x:v>Not started</x:v>
      </x:c>
      <x:c r="J36" s="10" t="str">
        <x:v>Not reviewed</x:v>
      </x:c>
      <x:c r="K36" s="10"/>
      <x:c r="L36" s="12"/>
      <x:c r="M36" s="10"/>
      <x:c r="N36" s="10" t="str">
        <x:v>Not tested</x:v>
      </x:c>
      <x:c r="O36" s="10"/>
      <x:c r="P36" s="12"/>
      <x:c r="Q36" s="10"/>
      <x:c r="R36" s="10" t="str">
        <x:v>Before starting this item or feature: reread AGENTS.md from disk; apply its teaching and testing rules.
Next: Start this item after the previous item is complete.</x:v>
      </x:c>
      <x:c r="S36" s="10"/>
    </x:row>
    <x:row r="37" ht="105" customHeight="1">
      <x:c r="A37" s="9" t="n">
        <x:v>34</x:v>
      </x:c>
      <x:c r="B37" s="9" t="str">
        <x:v>FB-034</x:v>
      </x:c>
      <x:c r="C37" s="9" t="str">
        <x:v>Products</x:v>
      </x:c>
      <x:c r="D37" s="9" t="str">
        <x:v>Choose package units and validate contents</x:v>
      </x:c>
      <x:c r="E37" s="9" t="str">
        <x:v>Counting units: bag, box, can, bottle, carton, jar, packet, individual item. Choose kg/g or litres/ml matching subcategory measure. Positive contents allow up to 3 decimals with fewer allowed; item counts are positive integers.</x:v>
      </x:c>
      <x:c r="F37" s="9" t="str">
        <x:v>FB-033</x:v>
      </x:c>
      <x:c r="G37" s="9" t="str">
        <x:f>IF(H37="Complete","Complete",IF(I37="Blocked","Blocked",IF(F37="","Ready",IF(COUNTIFS($B$4:$B$73,F37,$H$4:$H$73,"Complete")=1,"Ready","Waiting"))))</x:f>
        <x:v>Waiting</x:v>
      </x:c>
      <x:c r="H37" s="9" t="str">
        <x:f>IF(I37="Not started","Not started",IF(I37="Blocked","Blocked",IF(I37="In progress","In progress",IF(J37&lt;&gt;"Passed","Awaiting code review",IF(OR(K37="",NOT(ISNUMBER(L37))),"Awaiting review evidence",IF(N37&lt;&gt;"Passed","Awaiting test",IF(OR(M37="",O37="",NOT(ISNUMBER(P37))),"Awaiting test evidence","Complete")))))))</x:f>
        <x:v>Not started</x:v>
      </x:c>
      <x:c r="I37" s="11" t="str">
        <x:v>Not started</x:v>
      </x:c>
      <x:c r="J37" s="11" t="str">
        <x:v>Not reviewed</x:v>
      </x:c>
      <x:c r="K37" s="11"/>
      <x:c r="L37" s="13"/>
      <x:c r="M37" s="11"/>
      <x:c r="N37" s="11" t="str">
        <x:v>Not tested</x:v>
      </x:c>
      <x:c r="O37" s="11"/>
      <x:c r="P37" s="13"/>
      <x:c r="Q37" s="11"/>
      <x:c r="R37" s="11" t="str">
        <x:v>Before starting this item or feature: reread AGENTS.md from disk; apply its teaching and testing rules.
Next: Start this item after the previous item is complete.</x:v>
      </x:c>
      <x:c r="S37" s="11"/>
    </x:row>
    <x:row r="38" ht="105" customHeight="1">
      <x:c r="A38" s="4" t="n">
        <x:v>35</x:v>
      </x:c>
      <x:c r="B38" s="4" t="str">
        <x:v>FB-035</x:v>
      </x:c>
      <x:c r="C38" s="4" t="str">
        <x:v>Products</x:v>
      </x:c>
      <x:c r="D38" s="4" t="str">
        <x:v>Generate permanent product codes</x:v>
      </x:c>
      <x:c r="E38" s="4" t="str">
        <x:v>Automatically assign unique PRD-000001 onward, at least six digits with growth beyond 999999. Never edit/reuse codes or derive from categories. Each brand/size is a separate product; review collision handling.</x:v>
      </x:c>
      <x:c r="F38" s="4" t="str">
        <x:v>FB-034</x:v>
      </x:c>
      <x:c r="G38" s="4" t="str">
        <x:f>IF(H38="Complete","Complete",IF(I38="Blocked","Blocked",IF(F38="","Ready",IF(COUNTIFS($B$4:$B$73,F38,$H$4:$H$73,"Complete")=1,"Ready","Waiting"))))</x:f>
        <x:v>Waiting</x:v>
      </x:c>
      <x:c r="H38" s="4" t="str">
        <x:f>IF(I38="Not started","Not started",IF(I38="Blocked","Blocked",IF(I38="In progress","In progress",IF(J38&lt;&gt;"Passed","Awaiting code review",IF(OR(K38="",NOT(ISNUMBER(L38))),"Awaiting review evidence",IF(N38&lt;&gt;"Passed","Awaiting test",IF(OR(M38="",O38="",NOT(ISNUMBER(P38))),"Awaiting test evidence","Complete")))))))</x:f>
        <x:v>Not started</x:v>
      </x:c>
      <x:c r="I38" s="10" t="str">
        <x:v>Not started</x:v>
      </x:c>
      <x:c r="J38" s="10" t="str">
        <x:v>Not reviewed</x:v>
      </x:c>
      <x:c r="K38" s="10"/>
      <x:c r="L38" s="12"/>
      <x:c r="M38" s="10"/>
      <x:c r="N38" s="10" t="str">
        <x:v>Not tested</x:v>
      </x:c>
      <x:c r="O38" s="10"/>
      <x:c r="P38" s="12"/>
      <x:c r="Q38" s="10"/>
      <x:c r="R38" s="10" t="str">
        <x:v>Before starting this item or feature: reread AGENTS.md from disk; apply its teaching and testing rules.
Next: Start this item after the previous item is complete.</x:v>
      </x:c>
      <x:c r="S38" s="10"/>
    </x:row>
    <x:row r="39" ht="105" customHeight="1">
      <x:c r="A39" s="9" t="n">
        <x:v>36</x:v>
      </x:c>
      <x:c r="B39" s="9" t="str">
        <x:v>FB-036</x:v>
      </x:c>
      <x:c r="C39" s="9" t="str">
        <x:v>Products</x:v>
      </x:c>
      <x:c r="D39" s="9" t="str">
        <x:v>Prevent duplicate products</x:v>
      </x:c>
      <x:c r="E39" s="9" t="str">
        <x:v>Match name, brand, subcategory, counting unit and equivalent contents. Ignore case/outer spaces; 500g=0.5kg and 500ml=0.5litres. Include inactive products; retain name/brand distinctions and reject duplicates.</x:v>
      </x:c>
      <x:c r="F39" s="9" t="str">
        <x:v>FB-035</x:v>
      </x:c>
      <x:c r="G39" s="9" t="str">
        <x:f>IF(H39="Complete","Complete",IF(I39="Blocked","Blocked",IF(F39="","Ready",IF(COUNTIFS($B$4:$B$73,F39,$H$4:$H$73,"Complete")=1,"Ready","Waiting"))))</x:f>
        <x:v>Waiting</x:v>
      </x:c>
      <x:c r="H39" s="9" t="str">
        <x:f>IF(I39="Not started","Not started",IF(I39="Blocked","Blocked",IF(I39="In progress","In progress",IF(J39&lt;&gt;"Passed","Awaiting code review",IF(OR(K39="",NOT(ISNUMBER(L39))),"Awaiting review evidence",IF(N39&lt;&gt;"Passed","Awaiting test",IF(OR(M39="",O39="",NOT(ISNUMBER(P39))),"Awaiting test evidence","Complete")))))))</x:f>
        <x:v>Not started</x:v>
      </x:c>
      <x:c r="I39" s="11" t="str">
        <x:v>Not started</x:v>
      </x:c>
      <x:c r="J39" s="11" t="str">
        <x:v>Not reviewed</x:v>
      </x:c>
      <x:c r="K39" s="11"/>
      <x:c r="L39" s="13"/>
      <x:c r="M39" s="11"/>
      <x:c r="N39" s="11" t="str">
        <x:v>Not tested</x:v>
      </x:c>
      <x:c r="O39" s="11"/>
      <x:c r="P39" s="13"/>
      <x:c r="Q39" s="11"/>
      <x:c r="R39" s="11" t="str">
        <x:v>Before starting this item or feature: reread AGENTS.md from disk; apply its teaching and testing rules.
Next: Start this item after the previous item is complete.</x:v>
      </x:c>
      <x:c r="S39" s="11"/>
    </x:row>
    <x:row r="40" ht="105" customHeight="1">
      <x:c r="A40" s="4" t="n">
        <x:v>37</x:v>
      </x:c>
      <x:c r="B40" s="4" t="str">
        <x:v>FB-037</x:v>
      </x:c>
      <x:c r="C40" s="4" t="str">
        <x:v>Products</x:v>
      </x:c>
      <x:c r="D40" s="4" t="str">
        <x:v>Save products and attach optional tags</x:v>
      </x:c>
      <x:c r="E40" s="4" t="str">
        <x:v>Managers/Super Admin can create; volunteers denied display/write. New stock is zero. Shared tags can be none/multiple. Validate errors, retained input, processing state and successful persisted record.</x:v>
      </x:c>
      <x:c r="F40" s="4" t="str">
        <x:v>FB-036</x:v>
      </x:c>
      <x:c r="G40" s="4" t="str">
        <x:f>IF(H40="Complete","Complete",IF(I40="Blocked","Blocked",IF(F40="","Ready",IF(COUNTIFS($B$4:$B$73,F40,$H$4:$H$73,"Complete")=1,"Ready","Waiting"))))</x:f>
        <x:v>Waiting</x:v>
      </x:c>
      <x:c r="H40" s="4" t="str">
        <x:f>IF(I40="Not started","Not started",IF(I40="Blocked","Blocked",IF(I40="In progress","In progress",IF(J40&lt;&gt;"Passed","Awaiting code review",IF(OR(K40="",NOT(ISNUMBER(L40))),"Awaiting review evidence",IF(N40&lt;&gt;"Passed","Awaiting test",IF(OR(M40="",O40="",NOT(ISNUMBER(P40))),"Awaiting test evidence","Complete")))))))</x:f>
        <x:v>Not started</x:v>
      </x:c>
      <x:c r="I40" s="10" t="str">
        <x:v>Not started</x:v>
      </x:c>
      <x:c r="J40" s="10" t="str">
        <x:v>Not reviewed</x:v>
      </x:c>
      <x:c r="K40" s="10"/>
      <x:c r="L40" s="12"/>
      <x:c r="M40" s="10"/>
      <x:c r="N40" s="10" t="str">
        <x:v>Not tested</x:v>
      </x:c>
      <x:c r="O40" s="10"/>
      <x:c r="P40" s="12"/>
      <x:c r="Q40" s="10"/>
      <x:c r="R40" s="10" t="str">
        <x:v>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x:v>
      </x:c>
      <x:c r="S40" s="10"/>
    </x:row>
    <x:row r="41" ht="105" customHeight="1">
      <x:c r="A41" s="9" t="n">
        <x:v>38</x:v>
      </x:c>
      <x:c r="B41" s="9" t="str">
        <x:v>FB-038</x:v>
      </x:c>
      <x:c r="C41" s="9" t="str">
        <x:v>Products</x:v>
      </x:c>
      <x:c r="D41" s="9" t="str">
        <x:v>Display the unfiltered product list</x:v>
      </x:c>
      <x:c r="E41" s="9" t="str">
        <x:v>All roles see code, name, category path, package contents in saved units, available stock and status. Use visible baseline before filters; verify list access server-side.</x:v>
      </x:c>
      <x:c r="F41" s="9" t="str">
        <x:v>FB-037</x:v>
      </x:c>
      <x:c r="G41" s="9" t="str">
        <x:f>IF(H41="Complete","Complete",IF(I41="Blocked","Blocked",IF(F41="","Ready",IF(COUNTIFS($B$4:$B$73,F41,$H$4:$H$73,"Complete")=1,"Ready","Waiting"))))</x:f>
        <x:v>Waiting</x:v>
      </x:c>
      <x:c r="H41" s="9" t="str">
        <x:f>IF(I41="Not started","Not started",IF(I41="Blocked","Blocked",IF(I41="In progress","In progress",IF(J41&lt;&gt;"Passed","Awaiting code review",IF(OR(K41="",NOT(ISNUMBER(L41))),"Awaiting review evidence",IF(N41&lt;&gt;"Passed","Awaiting test",IF(OR(M41="",O41="",NOT(ISNUMBER(P41))),"Awaiting test evidence","Complete")))))))</x:f>
        <x:v>Not started</x:v>
      </x:c>
      <x:c r="I41" s="11" t="str">
        <x:v>Not started</x:v>
      </x:c>
      <x:c r="J41" s="11" t="str">
        <x:v>Not reviewed</x:v>
      </x:c>
      <x:c r="K41" s="11"/>
      <x:c r="L41" s="13"/>
      <x:c r="M41" s="11"/>
      <x:c r="N41" s="11" t="str">
        <x:v>Not tested</x:v>
      </x:c>
      <x:c r="O41" s="11"/>
      <x:c r="P41" s="13"/>
      <x:c r="Q41" s="11"/>
      <x:c r="R41" s="11" t="str">
        <x:v>Before starting this item or feature: reread AGENTS.md from disk; apply its teaching and testing rules.
Next: Start this item after the previous item is complete.</x:v>
      </x:c>
      <x:c r="S41" s="11"/>
    </x:row>
    <x:row r="42" ht="105" customHeight="1">
      <x:c r="A42" s="4" t="n">
        <x:v>39</x:v>
      </x:c>
      <x:c r="B42" s="4" t="str">
        <x:v>FB-039</x:v>
      </x:c>
      <x:c r="C42" s="4" t="str">
        <x:v>Products</x:v>
      </x:c>
      <x:c r="D42" s="4" t="str">
        <x:v>Arrange product rows and the filter toolbar</x:v>
      </x:c>
      <x:c r="E42" s="4" t="str">
        <x:v>Teach readable widths, wrapping, table overflow and stacked toolbar on small screens. Keep code and available stock understandable without typography/colour lessons.</x:v>
      </x:c>
      <x:c r="F42" s="4" t="str">
        <x:v>FB-038</x:v>
      </x:c>
      <x:c r="G42" s="4" t="str">
        <x:f>IF(H42="Complete","Complete",IF(I42="Blocked","Blocked",IF(F42="","Ready",IF(COUNTIFS($B$4:$B$73,F42,$H$4:$H$73,"Complete")=1,"Ready","Waiting"))))</x:f>
        <x:v>Waiting</x:v>
      </x:c>
      <x:c r="H42" s="4" t="str">
        <x:f>IF(I42="Not started","Not started",IF(I42="Blocked","Blocked",IF(I42="In progress","In progress",IF(J42&lt;&gt;"Passed","Awaiting code review",IF(OR(K42="",NOT(ISNUMBER(L42))),"Awaiting review evidence",IF(N42&lt;&gt;"Passed","Awaiting test",IF(OR(M42="",O42="",NOT(ISNUMBER(P42))),"Awaiting test evidence","Complete")))))))</x:f>
        <x:v>Not started</x:v>
      </x:c>
      <x:c r="I42" s="10" t="str">
        <x:v>Not started</x:v>
      </x:c>
      <x:c r="J42" s="10" t="str">
        <x:v>Not reviewed</x:v>
      </x:c>
      <x:c r="K42" s="10"/>
      <x:c r="L42" s="12"/>
      <x:c r="M42" s="10"/>
      <x:c r="N42" s="10" t="str">
        <x:v>Not tested</x:v>
      </x:c>
      <x:c r="O42" s="10"/>
      <x:c r="P42" s="12"/>
      <x:c r="Q42" s="10"/>
      <x:c r="R42" s="10" t="str">
        <x:v>Before starting this item or feature: reread AGENTS.md from disk; apply its teaching and testing rules.
Next: Start this item after the previous item is complete.</x:v>
      </x:c>
      <x:c r="S42" s="10"/>
    </x:row>
    <x:row r="43" ht="105" customHeight="1">
      <x:c r="A43" s="9" t="n">
        <x:v>40</x:v>
      </x:c>
      <x:c r="B43" s="9" t="str">
        <x:v>FB-040</x:v>
      </x:c>
      <x:c r="C43" s="9" t="str">
        <x:v>Products</x:v>
      </x:c>
      <x:c r="D43" s="9" t="str">
        <x:v>Add search by product code or name</x:v>
      </x:c>
      <x:c r="E43" s="9" t="str">
        <x:v>Search the full catalogue before pagination. Verify both code and name, clear search and no results.</x:v>
      </x:c>
      <x:c r="F43" s="9" t="str">
        <x:v>FB-039</x:v>
      </x:c>
      <x:c r="G43" s="9" t="str">
        <x:f>IF(H43="Complete","Complete",IF(I43="Blocked","Blocked",IF(F43="","Ready",IF(COUNTIFS($B$4:$B$73,F43,$H$4:$H$73,"Complete")=1,"Ready","Waiting"))))</x:f>
        <x:v>Waiting</x:v>
      </x:c>
      <x:c r="H43" s="9" t="str">
        <x:f>IF(I43="Not started","Not started",IF(I43="Blocked","Blocked",IF(I43="In progress","In progress",IF(J43&lt;&gt;"Passed","Awaiting code review",IF(OR(K43="",NOT(ISNUMBER(L43))),"Awaiting review evidence",IF(N43&lt;&gt;"Passed","Awaiting test",IF(OR(M43="",O43="",NOT(ISNUMBER(P43))),"Awaiting test evidence","Complete")))))))</x:f>
        <x:v>Not started</x:v>
      </x:c>
      <x:c r="I43" s="11" t="str">
        <x:v>Not started</x:v>
      </x:c>
      <x:c r="J43" s="11" t="str">
        <x:v>Not reviewed</x:v>
      </x:c>
      <x:c r="K43" s="11"/>
      <x:c r="L43" s="13"/>
      <x:c r="M43" s="11"/>
      <x:c r="N43" s="11" t="str">
        <x:v>Not tested</x:v>
      </x:c>
      <x:c r="O43" s="11"/>
      <x:c r="P43" s="13"/>
      <x:c r="Q43" s="11"/>
      <x:c r="R43" s="11" t="str">
        <x:v>Before starting this item or feature: reread AGENTS.md from disk; apply its teaching and testing rules.
Next: Start this item after the previous item is complete.</x:v>
      </x:c>
      <x:c r="S43" s="11"/>
    </x:row>
    <x:row r="44" ht="105" customHeight="1">
      <x:c r="A44" s="4" t="n">
        <x:v>41</x:v>
      </x:c>
      <x:c r="B44" s="4" t="str">
        <x:v>FB-041</x:v>
      </x:c>
      <x:c r="C44" s="4" t="str">
        <x:v>Products</x:v>
      </x:c>
      <x:c r="D44" s="4" t="str">
        <x:v>Add the department filter</x:v>
      </x:c>
      <x:c r="E44" s="4" t="str">
        <x:v>Filter by department alone and with search. Explain selected state and request values; do not introduce remaining filters yet.</x:v>
      </x:c>
      <x:c r="F44" s="4" t="str">
        <x:v>FB-040</x:v>
      </x:c>
      <x:c r="G44" s="4" t="str">
        <x:f>IF(H44="Complete","Complete",IF(I44="Blocked","Blocked",IF(F44="","Ready",IF(COUNTIFS($B$4:$B$73,F44,$H$4:$H$73,"Complete")=1,"Ready","Waiting"))))</x:f>
        <x:v>Waiting</x:v>
      </x:c>
      <x:c r="H44" s="4" t="str">
        <x:f>IF(I44="Not started","Not started",IF(I44="Blocked","Blocked",IF(I44="In progress","In progress",IF(J44&lt;&gt;"Passed","Awaiting code review",IF(OR(K44="",NOT(ISNUMBER(L44))),"Awaiting review evidence",IF(N44&lt;&gt;"Passed","Awaiting test",IF(OR(M44="",O44="",NOT(ISNUMBER(P44))),"Awaiting test evidence","Complete")))))))</x:f>
        <x:v>Not started</x:v>
      </x:c>
      <x:c r="I44" s="10" t="str">
        <x:v>Not started</x:v>
      </x:c>
      <x:c r="J44" s="10" t="str">
        <x:v>Not reviewed</x:v>
      </x:c>
      <x:c r="K44" s="10"/>
      <x:c r="L44" s="12"/>
      <x:c r="M44" s="10"/>
      <x:c r="N44" s="10" t="str">
        <x:v>Not tested</x:v>
      </x:c>
      <x:c r="O44" s="10"/>
      <x:c r="P44" s="12"/>
      <x:c r="Q44" s="10"/>
      <x:c r="R44" s="10" t="str">
        <x:v>Before starting this item or feature: reread AGENTS.md from disk; apply its teaching and testing rules.
Next: Start this item after the previous item is complete.</x:v>
      </x:c>
      <x:c r="S44" s="10"/>
    </x:row>
    <x:row r="45" ht="105" customHeight="1">
      <x:c r="A45" s="9" t="n">
        <x:v>42</x:v>
      </x:c>
      <x:c r="B45" s="9" t="str">
        <x:v>FB-042</x:v>
      </x:c>
      <x:c r="C45" s="9" t="str">
        <x:v>Products</x:v>
      </x:c>
      <x:c r="D45" s="9" t="str">
        <x:v>Add the category filter</x:v>
      </x:c>
      <x:c r="E45" s="9" t="str">
        <x:v>Filter by category and combine with department/search; changing parent must not leave incompatible selections.</x:v>
      </x:c>
      <x:c r="F45" s="9" t="str">
        <x:v>FB-041</x:v>
      </x:c>
      <x:c r="G45" s="9" t="str">
        <x:f>IF(H45="Complete","Complete",IF(I45="Blocked","Blocked",IF(F45="","Ready",IF(COUNTIFS($B$4:$B$73,F45,$H$4:$H$73,"Complete")=1,"Ready","Waiting"))))</x:f>
        <x:v>Waiting</x:v>
      </x:c>
      <x:c r="H45" s="9" t="str">
        <x:f>IF(I45="Not started","Not started",IF(I45="Blocked","Blocked",IF(I45="In progress","In progress",IF(J45&lt;&gt;"Passed","Awaiting code review",IF(OR(K45="",NOT(ISNUMBER(L45))),"Awaiting review evidence",IF(N45&lt;&gt;"Passed","Awaiting test",IF(OR(M45="",O45="",NOT(ISNUMBER(P45))),"Awaiting test evidence","Complete")))))))</x:f>
        <x:v>Not started</x:v>
      </x:c>
      <x:c r="I45" s="11" t="str">
        <x:v>Not started</x:v>
      </x:c>
      <x:c r="J45" s="11" t="str">
        <x:v>Not reviewed</x:v>
      </x:c>
      <x:c r="K45" s="11"/>
      <x:c r="L45" s="13"/>
      <x:c r="M45" s="11"/>
      <x:c r="N45" s="11" t="str">
        <x:v>Not tested</x:v>
      </x:c>
      <x:c r="O45" s="11"/>
      <x:c r="P45" s="13"/>
      <x:c r="Q45" s="11"/>
      <x:c r="R45" s="11" t="str">
        <x:v>Before starting this item or feature: reread AGENTS.md from disk; apply its teaching and testing rules.
Next: Start this item after the previous item is complete.</x:v>
      </x:c>
      <x:c r="S45" s="11"/>
    </x:row>
    <x:row r="46" ht="105" customHeight="1">
      <x:c r="A46" s="4" t="n">
        <x:v>43</x:v>
      </x:c>
      <x:c r="B46" s="4" t="str">
        <x:v>FB-043</x:v>
      </x:c>
      <x:c r="C46" s="4" t="str">
        <x:v>Products</x:v>
      </x:c>
      <x:c r="D46" s="4" t="str">
        <x:v>Add the subcategory filter</x:v>
      </x:c>
      <x:c r="E46" s="4" t="str">
        <x:v>Filter by subcategory alongside existing selections; verify full path and no skipped/contradictory parent selection.</x:v>
      </x:c>
      <x:c r="F46" s="4" t="str">
        <x:v>FB-042</x:v>
      </x:c>
      <x:c r="G46" s="4" t="str">
        <x:f>IF(H46="Complete","Complete",IF(I46="Blocked","Blocked",IF(F46="","Ready",IF(COUNTIFS($B$4:$B$73,F46,$H$4:$H$73,"Complete")=1,"Ready","Waiting"))))</x:f>
        <x:v>Waiting</x:v>
      </x:c>
      <x:c r="H46" s="4" t="str">
        <x:f>IF(I46="Not started","Not started",IF(I46="Blocked","Blocked",IF(I46="In progress","In progress",IF(J46&lt;&gt;"Passed","Awaiting code review",IF(OR(K46="",NOT(ISNUMBER(L46))),"Awaiting review evidence",IF(N46&lt;&gt;"Passed","Awaiting test",IF(OR(M46="",O46="",NOT(ISNUMBER(P46))),"Awaiting test evidence","Complete")))))))</x:f>
        <x:v>Not started</x:v>
      </x:c>
      <x:c r="I46" s="10" t="str">
        <x:v>Not started</x:v>
      </x:c>
      <x:c r="J46" s="10" t="str">
        <x:v>Not reviewed</x:v>
      </x:c>
      <x:c r="K46" s="10"/>
      <x:c r="L46" s="12"/>
      <x:c r="M46" s="10"/>
      <x:c r="N46" s="10" t="str">
        <x:v>Not tested</x:v>
      </x:c>
      <x:c r="O46" s="10"/>
      <x:c r="P46" s="12"/>
      <x:c r="Q46" s="10"/>
      <x:c r="R46" s="10" t="str">
        <x:v>Before starting this item or feature: reread AGENTS.md from disk; apply its teaching and testing rules.
Next: Start this item after the previous item is complete.</x:v>
      </x:c>
      <x:c r="S46" s="10"/>
    </x:row>
    <x:row r="47" ht="105" customHeight="1">
      <x:c r="A47" s="9" t="n">
        <x:v>44</x:v>
      </x:c>
      <x:c r="B47" s="9" t="str">
        <x:v>FB-044</x:v>
      </x:c>
      <x:c r="C47" s="9" t="str">
        <x:v>Products</x:v>
      </x:c>
      <x:c r="D47" s="9" t="str">
        <x:v>Add the tag filter</x:v>
      </x:c>
      <x:c r="E47" s="9" t="str">
        <x:v>Show products with the selected shared tag; combine with prior filters and search. Untagged products remain visible when tag filter is cleared.</x:v>
      </x:c>
      <x:c r="F47" s="9" t="str">
        <x:v>FB-043</x:v>
      </x:c>
      <x:c r="G47" s="9" t="str">
        <x:f>IF(H47="Complete","Complete",IF(I47="Blocked","Blocked",IF(F47="","Ready",IF(COUNTIFS($B$4:$B$73,F47,$H$4:$H$73,"Complete")=1,"Ready","Waiting"))))</x:f>
        <x:v>Waiting</x:v>
      </x:c>
      <x:c r="H47" s="9" t="str">
        <x:f>IF(I47="Not started","Not started",IF(I47="Blocked","Blocked",IF(I47="In progress","In progress",IF(J47&lt;&gt;"Passed","Awaiting code review",IF(OR(K47="",NOT(ISNUMBER(L47))),"Awaiting review evidence",IF(N47&lt;&gt;"Passed","Awaiting test",IF(OR(M47="",O47="",NOT(ISNUMBER(P47))),"Awaiting test evidence","Complete")))))))</x:f>
        <x:v>Not started</x:v>
      </x:c>
      <x:c r="I47" s="11" t="str">
        <x:v>Not started</x:v>
      </x:c>
      <x:c r="J47" s="11" t="str">
        <x:v>Not reviewed</x:v>
      </x:c>
      <x:c r="K47" s="11"/>
      <x:c r="L47" s="13"/>
      <x:c r="M47" s="11"/>
      <x:c r="N47" s="11" t="str">
        <x:v>Not tested</x:v>
      </x:c>
      <x:c r="O47" s="11"/>
      <x:c r="P47" s="13"/>
      <x:c r="Q47" s="11"/>
      <x:c r="R47" s="11" t="str">
        <x:v>Before starting this item or feature: reread AGENTS.md from disk; apply its teaching and testing rules.
Next: Start this item after the previous item is complete.</x:v>
      </x:c>
      <x:c r="S47" s="11"/>
    </x:row>
    <x:row r="48" ht="105" customHeight="1">
      <x:c r="A48" s="4" t="n">
        <x:v>45</x:v>
      </x:c>
      <x:c r="B48" s="4" t="str">
        <x:v>FB-045</x:v>
      </x:c>
      <x:c r="C48" s="4" t="str">
        <x:v>Products</x:v>
      </x:c>
      <x:c r="D48" s="4" t="str">
        <x:v>Add the product status filter</x:v>
      </x:c>
      <x:c r="E48" s="4" t="str">
        <x:v>All/Active/Inactive works with existing filters. General product list may show inactive/zero-stock products; distribution picker later has stricter rules.</x:v>
      </x:c>
      <x:c r="F48" s="4" t="str">
        <x:v>FB-044</x:v>
      </x:c>
      <x:c r="G48" s="4" t="str">
        <x:f>IF(H48="Complete","Complete",IF(I48="Blocked","Blocked",IF(F48="","Ready",IF(COUNTIFS($B$4:$B$73,F48,$H$4:$H$73,"Complete")=1,"Ready","Waiting"))))</x:f>
        <x:v>Waiting</x:v>
      </x:c>
      <x:c r="H48" s="4" t="str">
        <x:f>IF(I48="Not started","Not started",IF(I48="Blocked","Blocked",IF(I48="In progress","In progress",IF(J48&lt;&gt;"Passed","Awaiting code review",IF(OR(K48="",NOT(ISNUMBER(L48))),"Awaiting review evidence",IF(N48&lt;&gt;"Passed","Awaiting test",IF(OR(M48="",O48="",NOT(ISNUMBER(P48))),"Awaiting test evidence","Complete")))))))</x:f>
        <x:v>Not started</x:v>
      </x:c>
      <x:c r="I48" s="10" t="str">
        <x:v>Not started</x:v>
      </x:c>
      <x:c r="J48" s="10" t="str">
        <x:v>Not reviewed</x:v>
      </x:c>
      <x:c r="K48" s="10"/>
      <x:c r="L48" s="12"/>
      <x:c r="M48" s="10"/>
      <x:c r="N48" s="10" t="str">
        <x:v>Not tested</x:v>
      </x:c>
      <x:c r="O48" s="10"/>
      <x:c r="P48" s="12"/>
      <x:c r="Q48" s="10"/>
      <x:c r="R48" s="10" t="str">
        <x:v>Before starting this item or feature: reread AGENTS.md from disk; apply its teaching and testing rules.
Next: Start this item after the previous item is complete.</x:v>
      </x:c>
      <x:c r="S48" s="10"/>
    </x:row>
    <x:row r="49" ht="105" customHeight="1">
      <x:c r="A49" s="9" t="n">
        <x:v>46</x:v>
      </x:c>
      <x:c r="B49" s="9" t="str">
        <x:v>FB-046</x:v>
      </x:c>
      <x:c r="C49" s="9" t="str">
        <x:v>Products</x:v>
      </x:c>
      <x:c r="D49" s="9" t="str">
        <x:v>Paginate and verify the full product list</x:v>
      </x:c>
      <x:c r="E49" s="9" t="str">
        <x:v>10 products per page after all search/filters. Preserve selections across pages; all roles may list/search/filter. Verify combinations and boundary/empty pages.</x:v>
      </x:c>
      <x:c r="F49" s="9" t="str">
        <x:v>FB-045</x:v>
      </x:c>
      <x:c r="G49" s="9" t="str">
        <x:f>IF(H49="Complete","Complete",IF(I49="Blocked","Blocked",IF(F49="","Ready",IF(COUNTIFS($B$4:$B$73,F49,$H$4:$H$73,"Complete")=1,"Ready","Waiting"))))</x:f>
        <x:v>Waiting</x:v>
      </x:c>
      <x:c r="H49" s="9" t="str">
        <x:f>IF(I49="Not started","Not started",IF(I49="Blocked","Blocked",IF(I49="In progress","In progress",IF(J49&lt;&gt;"Passed","Awaiting code review",IF(OR(K49="",NOT(ISNUMBER(L49))),"Awaiting review evidence",IF(N49&lt;&gt;"Passed","Awaiting test",IF(OR(M49="",O49="",NOT(ISNUMBER(P49))),"Awaiting test evidence","Complete")))))))</x:f>
        <x:v>Not started</x:v>
      </x:c>
      <x:c r="I49" s="11" t="str">
        <x:v>Not started</x:v>
      </x:c>
      <x:c r="J49" s="11" t="str">
        <x:v>Not reviewed</x:v>
      </x:c>
      <x:c r="K49" s="11"/>
      <x:c r="L49" s="13"/>
      <x:c r="M49" s="11"/>
      <x:c r="N49" s="11" t="str">
        <x:v>Not tested</x:v>
      </x:c>
      <x:c r="O49" s="11"/>
      <x:c r="P49" s="13"/>
      <x:c r="Q49" s="11"/>
      <x:c r="R49" s="11" t="str">
        <x:v>Before starting this item or feature: reread AGENTS.md from disk; apply its teaching and testing rules.
Next: Start this item after the previous item is complete.</x:v>
      </x:c>
      <x:c r="S49" s="11"/>
    </x:row>
    <x:row r="50" ht="105" customHeight="1">
      <x:c r="A50" s="4" t="n">
        <x:v>47</x:v>
      </x:c>
      <x:c r="B50" s="4" t="str">
        <x:v>FB-047</x:v>
      </x:c>
      <x:c r="C50" s="4" t="str">
        <x:v>Products</x:v>
      </x:c>
      <x:c r="D50" s="4" t="str">
        <x:v>Edit product details before movements</x:v>
      </x:c>
      <x:c r="E50" s="4" t="str">
        <x:v>Managers/Super Admin may edit catalogue fields subject to validation and duplicates; codes permanent. Explain changes with local zero-stock products. Post-movement locks are added and verified with Receive.</x:v>
      </x:c>
      <x:c r="F50" s="4" t="str">
        <x:v>FB-046</x:v>
      </x:c>
      <x:c r="G50" s="4" t="str">
        <x:f>IF(H50="Complete","Complete",IF(I50="Blocked","Blocked",IF(F50="","Ready",IF(COUNTIFS($B$4:$B$73,F50,$H$4:$H$73,"Complete")=1,"Ready","Waiting"))))</x:f>
        <x:v>Waiting</x:v>
      </x:c>
      <x:c r="H50" s="4" t="str">
        <x:f>IF(I50="Not started","Not started",IF(I50="Blocked","Blocked",IF(I50="In progress","In progress",IF(J50&lt;&gt;"Passed","Awaiting code review",IF(OR(K50="",NOT(ISNUMBER(L50))),"Awaiting review evidence",IF(N50&lt;&gt;"Passed","Awaiting test",IF(OR(M50="",O50="",NOT(ISNUMBER(P50))),"Awaiting test evidence","Complete")))))))</x:f>
        <x:v>Not started</x:v>
      </x:c>
      <x:c r="I50" s="10" t="str">
        <x:v>Not started</x:v>
      </x:c>
      <x:c r="J50" s="10" t="str">
        <x:v>Not reviewed</x:v>
      </x:c>
      <x:c r="K50" s="10"/>
      <x:c r="L50" s="12"/>
      <x:c r="M50" s="10"/>
      <x:c r="N50" s="10" t="str">
        <x:v>Not tested</x:v>
      </x:c>
      <x:c r="O50" s="10"/>
      <x:c r="P50" s="12"/>
      <x:c r="Q50" s="10"/>
      <x:c r="R50" s="10" t="str">
        <x:v>Before starting this item or feature: reread AGENTS.md from disk; apply its teaching and testing rules.
Next: Start this item after the previous item is complete.</x:v>
      </x:c>
      <x:c r="S50" s="10"/>
    </x:row>
    <x:row r="51" ht="105" customHeight="1">
      <x:c r="A51" s="9" t="n">
        <x:v>48</x:v>
      </x:c>
      <x:c r="B51" s="9" t="str">
        <x:v>FB-048</x:v>
      </x:c>
      <x:c r="C51" s="9" t="str">
        <x:v>Products</x:v>
      </x:c>
      <x:c r="D51" s="9" t="str">
        <x:v>Activate/deactivate products and manage tag removal</x:v>
      </x:c>
      <x:c r="E51" s="9" t="str">
        <x:v>Deactivate only at zero stock, retain records instead of deleting. Reactivate later. Remove tags from a product without deleting shared tag; delete shared tag only if unused by active AND inactive products.</x:v>
      </x:c>
      <x:c r="F51" s="9" t="str">
        <x:v>FB-047</x:v>
      </x:c>
      <x:c r="G51" s="9" t="str">
        <x:f>IF(H51="Complete","Complete",IF(I51="Blocked","Blocked",IF(F51="","Ready",IF(COUNTIFS($B$4:$B$73,F51,$H$4:$H$73,"Complete")=1,"Ready","Waiting"))))</x:f>
        <x:v>Waiting</x:v>
      </x:c>
      <x:c r="H51" s="9" t="str">
        <x:f>IF(I51="Not started","Not started",IF(I51="Blocked","Blocked",IF(I51="In progress","In progress",IF(J51&lt;&gt;"Passed","Awaiting code review",IF(OR(K51="",NOT(ISNUMBER(L51))),"Awaiting review evidence",IF(N51&lt;&gt;"Passed","Awaiting test",IF(OR(M51="",O51="",NOT(ISNUMBER(P51))),"Awaiting test evidence","Complete")))))))</x:f>
        <x:v>Not started</x:v>
      </x:c>
      <x:c r="I51" s="11" t="str">
        <x:v>Not started</x:v>
      </x:c>
      <x:c r="J51" s="11" t="str">
        <x:v>Not reviewed</x:v>
      </x:c>
      <x:c r="K51" s="11"/>
      <x:c r="L51" s="13"/>
      <x:c r="M51" s="11"/>
      <x:c r="N51" s="11" t="str">
        <x:v>Not tested</x:v>
      </x:c>
      <x:c r="O51" s="11"/>
      <x:c r="P51" s="13"/>
      <x:c r="Q51" s="11"/>
      <x:c r="R51" s="11" t="str">
        <x:v>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x:v>
      </x:c>
      <x:c r="S51" s="11"/>
    </x:row>
    <x:row r="52" ht="105" customHeight="1">
      <x:c r="A52" s="4" t="n">
        <x:v>49</x:v>
      </x:c>
      <x:c r="B52" s="4" t="str">
        <x:v>FB-067</x:v>
      </x:c>
      <x:c r="C52" s="4" t="str">
        <x:v>Verification</x:v>
      </x:c>
      <x:c r="D52" s="4" t="str">
        <x:v>Verify the completed catalogue before stock movements</x:v>
      </x:c>
      <x:c r="E52" s="4" t="str">
        <x:v>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x:v>
      </x:c>
      <x:c r="F52" s="4" t="str">
        <x:v>FB-048</x:v>
      </x:c>
      <x:c r="G52" s="4" t="str">
        <x:f>IF(H52="Complete","Complete",IF(I52="Blocked","Blocked",IF(F52="","Ready",IF(COUNTIFS($B$4:$B$73,F52,$H$4:$H$73,"Complete")=1,"Ready","Waiting"))))</x:f>
        <x:v>Waiting</x:v>
      </x:c>
      <x:c r="H52" s="4" t="str">
        <x:f>IF(I52="Not started","Not started",IF(I52="Blocked","Blocked",IF(I52="In progress","In progress",IF(J52&lt;&gt;"Passed","Awaiting code review",IF(OR(K52="",NOT(ISNUMBER(L52))),"Awaiting review evidence",IF(N52&lt;&gt;"Passed","Awaiting test",IF(OR(M52="",O52="",NOT(ISNUMBER(P52))),"Awaiting test evidence","Complete")))))))</x:f>
        <x:v>Not started</x:v>
      </x:c>
      <x:c r="I52" s="10" t="str">
        <x:v>Not started</x:v>
      </x:c>
      <x:c r="J52" s="10" t="str">
        <x:v>Not reviewed</x:v>
      </x:c>
      <x:c r="K52" s="10"/>
      <x:c r="L52" s="12"/>
      <x:c r="M52" s="10"/>
      <x:c r="N52" s="10" t="str">
        <x:v>Not tested</x:v>
      </x:c>
      <x:c r="O52" s="10"/>
      <x:c r="P52" s="12"/>
      <x:c r="Q52" s="10"/>
      <x:c r="R52" s="10" t="str">
        <x:v>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x:v>
      </x:c>
      <x:c r="S52" s="10"/>
    </x:row>
    <x:row r="53" ht="105" customHeight="1">
      <x:c r="A53" s="9" t="n">
        <x:v>50</x:v>
      </x:c>
      <x:c r="B53" s="9" t="str">
        <x:v>FB-049</x:v>
      </x:c>
      <x:c r="C53" s="9" t="str">
        <x:v>Receive</x:v>
      </x:c>
      <x:c r="D53" s="9" t="str">
        <x:v>Display and lay out a multi-product Receive form</x:v>
      </x:c>
      <x:c r="E53" s="9" t="str">
        <x:v>All three roles may receive active products, including zero-stock products. Show saved package size; quantities are whole packages; one optional note for whole entry. Teach one row before multiple rows.</x:v>
      </x:c>
      <x:c r="F53" s="9" t="str">
        <x:v>FB-067</x:v>
      </x:c>
      <x:c r="G53" s="9" t="str">
        <x:f>IF(H53="Complete","Complete",IF(I53="Blocked","Blocked",IF(F53="","Ready",IF(COUNTIFS($B$4:$B$73,F53,$H$4:$H$73,"Complete")=1,"Ready","Waiting"))))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str">
        <x:v>Not started</x:v>
      </x:c>
      <x:c r="J53" s="11" t="str">
        <x:v>Not reviewed</x:v>
      </x:c>
      <x:c r="K53" s="11"/>
      <x:c r="L53" s="13"/>
      <x:c r="M53" s="11"/>
      <x:c r="N53" s="11" t="str">
        <x:v>Not tested</x:v>
      </x:c>
      <x:c r="O53" s="11"/>
      <x:c r="P53" s="13"/>
      <x:c r="Q53" s="11"/>
      <x:c r="R53" s="11" t="str">
        <x:v>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x:v>
      </x:c>
      <x:c r="S53" s="11"/>
    </x:row>
    <x:row r="54" ht="105" customHeight="1">
      <x:c r="A54" s="4" t="n">
        <x:v>51</x:v>
      </x:c>
      <x:c r="B54" s="4" t="str">
        <x:v>FB-050</x:v>
      </x:c>
      <x:c r="C54" s="4" t="str">
        <x:v>Receive</x:v>
      </x:c>
      <x:c r="D54" s="4" t="str">
        <x:v>Add reactive product rows and whole quantities</x:v>
      </x:c>
      <x:c r="E54" s="4" t="str">
        <x:v>Each product appears once; update its quantity instead of duplicate rows. Multiple different products allowed. Reject zero/negative/fractional quantities; unit choice is on product creation, not movements.</x:v>
      </x:c>
      <x:c r="F54" s="4" t="str">
        <x:v>FB-049</x:v>
      </x:c>
      <x:c r="G54" s="4" t="str">
        <x:f>IF(H54="Complete","Complete",IF(I54="Blocked","Blocked",IF(F54="","Ready",IF(COUNTIFS($B$4:$B$73,F54,$H$4:$H$73,"Complete")=1,"Ready","Waiting"))))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str">
        <x:v>Not started</x:v>
      </x:c>
      <x:c r="J54" s="10" t="str">
        <x:v>Not reviewed</x:v>
      </x:c>
      <x:c r="K54" s="10"/>
      <x:c r="L54" s="12"/>
      <x:c r="M54" s="10"/>
      <x:c r="N54" s="10" t="str">
        <x:v>Not tested</x:v>
      </x:c>
      <x:c r="O54" s="10"/>
      <x:c r="P54" s="12"/>
      <x:c r="Q54" s="10"/>
      <x:c r="R54" s="10" t="str">
        <x:v>Before starting this item or feature: reread AGENTS.md from disk; apply its teaching and testing rules.
Next: Start this item after the previous item is complete.</x:v>
      </x:c>
      <x:c r="S54" s="10"/>
    </x:row>
    <x:row r="55" ht="105" customHeight="1">
      <x:c r="A55" s="9" t="n">
        <x:v>52</x:v>
      </x:c>
      <x:c r="B55" s="9" t="str">
        <x:v>FB-051</x:v>
      </x:c>
      <x:c r="C55" s="9" t="str">
        <x:v>Receive</x:v>
      </x:c>
      <x:c r="D55" s="9" t="str">
        <x:v>Save an entire receipt and record stock changes</x:v>
      </x:c>
      <x:c r="E55" s="9" t="str">
        <x:v>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x:v>
      </x:c>
      <x:c r="F55" s="9" t="str">
        <x:v>FB-050</x:v>
      </x:c>
      <x:c r="G55" s="9" t="str">
        <x:f>IF(H55="Complete","Complete",IF(I55="Blocked","Blocked",IF(F55="","Ready",IF(COUNTIFS($B$4:$B$73,F55,$H$4:$H$73,"Complete")=1,"Ready","Waiting"))))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str">
        <x:v>Not started</x:v>
      </x:c>
      <x:c r="J55" s="11" t="str">
        <x:v>Not reviewed</x:v>
      </x:c>
      <x:c r="K55" s="11"/>
      <x:c r="L55" s="13"/>
      <x:c r="M55" s="11"/>
      <x:c r="N55" s="11" t="str">
        <x:v>Not tested</x:v>
      </x:c>
      <x:c r="O55" s="11"/>
      <x:c r="P55" s="13"/>
      <x:c r="Q55" s="11"/>
      <x:c r="R55" s="11" t="str">
        <x:v>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x:v>
      </x:c>
      <x:c r="S55" s="11"/>
    </x:row>
    <x:row r="56" ht="105" customHeight="1">
      <x:c r="A56" s="4" t="n">
        <x:v>53</x:v>
      </x:c>
      <x:c r="B56" s="4" t="str">
        <x:v>FB-052</x:v>
      </x:c>
      <x:c r="C56" s="4" t="str">
        <x:v>Receive</x:v>
      </x:c>
      <x:c r="D56" s="4" t="str">
        <x:v>Connect submission feedback and protect stock rules</x:v>
      </x:c>
      <x:c r="E56" s="4" t="str">
        <x:v>Show processing/errors/success; prevent repeated clicks while processing. Enforce active-account and movement permissions on server; opening stock uses Receive. Test a multiple-product receipt against actual balances.</x:v>
      </x:c>
      <x:c r="F56" s="4" t="str">
        <x:v>FB-051</x:v>
      </x:c>
      <x:c r="G56" s="4" t="str">
        <x:f>IF(H56="Complete","Complete",IF(I56="Blocked","Blocked",IF(F56="","Ready",IF(COUNTIFS($B$4:$B$73,F56,$H$4:$H$73,"Complete")=1,"Ready","Waiting"))))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str">
        <x:v>Not started</x:v>
      </x:c>
      <x:c r="J56" s="10" t="str">
        <x:v>Not reviewed</x:v>
      </x:c>
      <x:c r="K56" s="10"/>
      <x:c r="L56" s="12"/>
      <x:c r="M56" s="10"/>
      <x:c r="N56" s="10" t="str">
        <x:v>Not tested</x:v>
      </x:c>
      <x:c r="O56" s="10"/>
      <x:c r="P56" s="12"/>
      <x:c r="Q56" s="10"/>
      <x:c r="R56" s="10" t="str">
        <x:v>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x:v>
      </x:c>
      <x:c r="S56" s="10"/>
    </x:row>
    <x:row r="57" ht="105" customHeight="1">
      <x:c r="A57" s="9" t="n">
        <x:v>54</x:v>
      </x:c>
      <x:c r="B57" s="9" t="str">
        <x:v>FB-053</x:v>
      </x:c>
      <x:c r="C57" s="9" t="str">
        <x:v>Receive</x:v>
      </x:c>
      <x:c r="D57" s="9" t="str">
        <x:v>Lock product and summary units after first movement</x:v>
      </x:c>
      <x:c r="E57" s="9" t="str">
        <x:v>After first movement lock product counting unit, contents/value/unit and subcategory. Lock subcategory summary unit once any child moved. Names/tags remain editable; nonzero products cannot deactivate. Direct writes cannot bypass locks.</x:v>
      </x:c>
      <x:c r="F57" s="9" t="str">
        <x:v>FB-052</x:v>
      </x:c>
      <x:c r="G57" s="9" t="str">
        <x:f>IF(H57="Complete","Complete",IF(I57="Blocked","Blocked",IF(F57="","Ready",IF(COUNTIFS($B$4:$B$73,F57,$H$4:$H$73,"Complete")=1,"Ready","Waiting"))))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str">
        <x:v>Not started</x:v>
      </x:c>
      <x:c r="J57" s="11" t="str">
        <x:v>Not reviewed</x:v>
      </x:c>
      <x:c r="K57" s="11"/>
      <x:c r="L57" s="13"/>
      <x:c r="M57" s="11"/>
      <x:c r="N57" s="11" t="str">
        <x:v>Not tested</x:v>
      </x:c>
      <x:c r="O57" s="11"/>
      <x:c r="P57" s="13"/>
      <x:c r="Q57" s="11"/>
      <x:c r="R57" s="11" t="str">
        <x:v>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x:v>
      </x:c>
      <x:c r="S57" s="11"/>
    </x:row>
    <x:row r="58" ht="105" customHeight="1">
      <x:c r="A58" s="4" t="n">
        <x:v>55</x:v>
      </x:c>
      <x:c r="B58" s="4" t="str">
        <x:v>FB-054</x:v>
      </x:c>
      <x:c r="C58" s="4" t="str">
        <x:v>History</x:v>
      </x:c>
      <x:c r="D58" s="4" t="str">
        <x:v>Show product stock history to permitted roles</x:v>
      </x:c>
      <x:c r="E58" s="4" t="str">
        <x:v>On product details, show type, +/- quantity, timestamp, resulting balance, recorder and receipt/household/reason details. History comes automatically from movements. Managers/Super Admin only; volunteers denied even direct requests.</x:v>
      </x:c>
      <x:c r="F58" s="4" t="str">
        <x:v>FB-053</x:v>
      </x:c>
      <x:c r="G58" s="4" t="str">
        <x:f>IF(H58="Complete","Complete",IF(I58="Blocked","Blocked",IF(F58="","Ready",IF(COUNTIFS($B$4:$B$73,F58,$H$4:$H$73,"Complete")=1,"Ready","Waiting"))))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str">
        <x:v>Not started</x:v>
      </x:c>
      <x:c r="J58" s="10" t="str">
        <x:v>Not reviewed</x:v>
      </x:c>
      <x:c r="K58" s="10"/>
      <x:c r="L58" s="12"/>
      <x:c r="M58" s="10"/>
      <x:c r="N58" s="10" t="str">
        <x:v>Not tested</x:v>
      </x:c>
      <x:c r="O58" s="10"/>
      <x:c r="P58" s="12"/>
      <x:c r="Q58" s="10"/>
      <x:c r="R58" s="10" t="str">
        <x:v>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x:v>
      </x:c>
      <x:c r="S58" s="10"/>
    </x:row>
    <x:row r="59" ht="105" customHeight="1">
      <x:c r="A59" s="9" t="n">
        <x:v>56</x:v>
      </x:c>
      <x:c r="B59" s="9" t="str">
        <x:v>FB-065</x:v>
      </x:c>
      <x:c r="C59" s="9" t="str">
        <x:v>Totals</x:v>
      </x:c>
      <x:c r="D59" s="9" t="str">
        <x:v>Calculate subcategory totals accurately</x:v>
      </x:c>
      <x:c r="E59" s="9" t="str">
        <x:v>Multiply stock by contents, converting g to kg and ml to litres before summing; count eggs as individual items. Example 4x500g+3x1kg+2x5kg=15kg. Keep exact values until display; never replace product counts.</x:v>
      </x:c>
      <x:c r="F59" s="9" t="str">
        <x:v>FB-054</x:v>
      </x:c>
      <x:c r="G59" s="9" t="str">
        <x:f>IF(H59="Complete","Complete",IF(I59="Blocked","Blocked",IF(F59="","Ready",IF(COUNTIFS($B$4:$B$73,F59,$H$4:$H$73,"Complete")=1,"Ready","Waiting"))))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str">
        <x:v>Not started</x:v>
      </x:c>
      <x:c r="J59" s="11" t="str">
        <x:v>Not reviewed</x:v>
      </x:c>
      <x:c r="K59" s="11"/>
      <x:c r="L59" s="13"/>
      <x:c r="M59" s="11"/>
      <x:c r="N59" s="11" t="str">
        <x:v>Not tested</x:v>
      </x:c>
      <x:c r="O59" s="11"/>
      <x:c r="P59" s="13"/>
      <x:c r="Q59" s="11"/>
      <x:c r="R59" s="11" t="str">
        <x:v>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x:v>
      </x:c>
      <x:c r="S59" s="11"/>
    </x:row>
    <x:row r="60" ht="105" customHeight="1">
      <x:c r="A60" s="4" t="n">
        <x:v>57</x:v>
      </x:c>
      <x:c r="B60" s="4" t="str">
        <x:v>FB-066</x:v>
      </x:c>
      <x:c r="C60" s="4" t="str">
        <x:v>Totals</x:v>
      </x:c>
      <x:c r="D60" s="4" t="str">
        <x:v>Display combined totals on subcategory management</x:v>
      </x:c>
      <x:c r="E60" s="4" t="str">
        <x:v>Managers/Super Admin see totals in kg/litres/items with up to 3 decimals, fewer allowed; round display only. Individual product sizes keep saved units. Volunteer cannot access management/history screens.</x:v>
      </x:c>
      <x:c r="F60" s="4" t="str">
        <x:v>FB-065</x:v>
      </x:c>
      <x:c r="G60" s="4" t="str">
        <x:f>IF(H60="Complete","Complete",IF(I60="Blocked","Blocked",IF(F60="","Ready",IF(COUNTIFS($B$4:$B$73,F60,$H$4:$H$73,"Complete")=1,"Ready","Waiting"))))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str">
        <x:v>Not started</x:v>
      </x:c>
      <x:c r="J60" s="10" t="str">
        <x:v>Not reviewed</x:v>
      </x:c>
      <x:c r="K60" s="10"/>
      <x:c r="L60" s="12"/>
      <x:c r="M60" s="10"/>
      <x:c r="N60" s="10" t="str">
        <x:v>Not tested</x:v>
      </x:c>
      <x:c r="O60" s="10"/>
      <x:c r="P60" s="12"/>
      <x:c r="Q60" s="10"/>
      <x:c r="R60" s="10" t="str">
        <x:v>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x:v>
      </x:c>
      <x:c r="S60" s="10"/>
    </x:row>
    <x:row r="61" ht="105" customHeight="1">
      <x:c r="A61" s="9" t="n">
        <x:v>58</x:v>
      </x:c>
      <x:c r="B61" s="9" t="str">
        <x:v>FB-055</x:v>
      </x:c>
      <x:c r="C61" s="9" t="str">
        <x:v>Adjust</x:v>
      </x:c>
      <x:c r="D61" s="9" t="str">
        <x:v>Build and lay out the single-product adjustment form</x:v>
      </x:c>
      <x:c r="E61" s="9" t="str">
        <x:v>All roles choose one active product, Add/Remove, positive whole quantity and mandatory reason. Show saved package size and current balance. Teach state and layout before save.</x:v>
      </x:c>
      <x:c r="F61" s="9" t="str">
        <x:v>FB-066</x:v>
      </x:c>
      <x:c r="G61" s="9" t="str">
        <x:f>IF(H61="Complete","Complete",IF(I61="Blocked","Blocked",IF(F61="","Ready",IF(COUNTIFS($B$4:$B$73,F61,$H$4:$H$73,"Complete")=1,"Ready","Waiting"))))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str">
        <x:v>Not started</x:v>
      </x:c>
      <x:c r="J61" s="11" t="str">
        <x:v>Not reviewed</x:v>
      </x:c>
      <x:c r="K61" s="11"/>
      <x:c r="L61" s="13"/>
      <x:c r="M61" s="11"/>
      <x:c r="N61" s="11" t="str">
        <x:v>Not tested</x:v>
      </x:c>
      <x:c r="O61" s="11"/>
      <x:c r="P61" s="13"/>
      <x:c r="Q61" s="11"/>
      <x:c r="R61" s="11" t="str">
        <x:v>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x:v>
      </x:c>
      <x:c r="S61" s="11"/>
    </x:row>
    <x:row r="62" ht="105" customHeight="1">
      <x:c r="A62" s="4" t="n">
        <x:v>59</x:v>
      </x:c>
      <x:c r="B62" s="4" t="str">
        <x:v>FB-056</x:v>
      </x:c>
      <x:c r="C62" s="4" t="str">
        <x:v>Adjust</x:v>
      </x:c>
      <x:c r="D62" s="4" t="str">
        <x:v>Save adjustments without negative balances</x:v>
      </x:c>
      <x:c r="E62" s="4" t="str">
        <x:v>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x:v>
      </x:c>
      <x:c r="F62" s="4" t="str">
        <x:v>FB-055</x:v>
      </x:c>
      <x:c r="G62" s="4" t="str">
        <x:f>IF(H62="Complete","Complete",IF(I62="Blocked","Blocked",IF(F62="","Ready",IF(COUNTIFS($B$4:$B$73,F62,$H$4:$H$73,"Complete")=1,"Ready","Waiting"))))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str">
        <x:v>Not started</x:v>
      </x:c>
      <x:c r="J62" s="10" t="str">
        <x:v>Not reviewed</x:v>
      </x:c>
      <x:c r="K62" s="10"/>
      <x:c r="L62" s="12"/>
      <x:c r="M62" s="10"/>
      <x:c r="N62" s="10" t="str">
        <x:v>Not tested</x:v>
      </x:c>
      <x:c r="O62" s="10"/>
      <x:c r="P62" s="12"/>
      <x:c r="Q62" s="10"/>
      <x:c r="R62" s="10" t="str">
        <x:v>Before starting this item or feature: reread AGENTS.md from disk; apply its teaching and testing rules.
Next: Start this item after the previous item is complete.</x:v>
      </x:c>
      <x:c r="S62" s="10"/>
    </x:row>
    <x:row r="63" ht="105" customHeight="1">
      <x:c r="A63" s="9" t="n">
        <x:v>60</x:v>
      </x:c>
      <x:c r="B63" s="9" t="str">
        <x:v>FB-057</x:v>
      </x:c>
      <x:c r="C63" s="9" t="str">
        <x:v>Household samples</x:v>
      </x:c>
      <x:c r="D63" s="9" t="str">
        <x:v>Prepare and verify 20 fictional households</x:v>
      </x:c>
      <x:c r="E63" s="9" t="str">
        <x:v>Unique reference, contact first/last name, address, positive household size, required unique Canadian phone, optional unique supplied email; multiple blanks allowed. No household management screens or automatic allowances. Developer runs explained data-changing commands.</x:v>
      </x:c>
      <x:c r="F63" s="9" t="str">
        <x:v>FB-056</x:v>
      </x:c>
      <x:c r="G63" s="9" t="str">
        <x:f>IF(H63="Complete","Complete",IF(I63="Blocked","Blocked",IF(F63="","Ready",IF(COUNTIFS($B$4:$B$73,F63,$H$4:$H$73,"Complete")=1,"Ready","Waiting"))))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str">
        <x:v>Not started</x:v>
      </x:c>
      <x:c r="J63" s="11" t="str">
        <x:v>Not reviewed</x:v>
      </x:c>
      <x:c r="K63" s="11"/>
      <x:c r="L63" s="13"/>
      <x:c r="M63" s="11"/>
      <x:c r="N63" s="11" t="str">
        <x:v>Not tested</x:v>
      </x:c>
      <x:c r="O63" s="11"/>
      <x:c r="P63" s="13"/>
      <x:c r="Q63" s="11"/>
      <x:c r="R63" s="11" t="str">
        <x:v>Before starting this item or feature: reread AGENTS.md from disk; apply its teaching and testing rules.
Next: Start this item after the previous item is complete.</x:v>
      </x:c>
      <x:c r="S63" s="11"/>
    </x:row>
    <x:row r="64" ht="105" customHeight="1">
      <x:c r="A64" s="4" t="n">
        <x:v>61</x:v>
      </x:c>
      <x:c r="B64" s="4" t="str">
        <x:v>FB-058</x:v>
      </x:c>
      <x:c r="C64" s="4" t="str">
        <x:v>Distribute</x:v>
      </x:c>
      <x:c r="D64" s="4" t="str">
        <x:v>Search and select one household</x:v>
      </x:c>
      <x:c r="E64" s="4" t="str">
        <x:v>All roles performing distribution can search by reference/contact name/phone. Show enough details to distinguish households. Appointments checked outside app; no scheduling/appointment records or account-management access.</x:v>
      </x:c>
      <x:c r="F64" s="4" t="str">
        <x:v>FB-057</x:v>
      </x:c>
      <x:c r="G64" s="4" t="str">
        <x:f>IF(H64="Complete","Complete",IF(I64="Blocked","Blocked",IF(F64="","Ready",IF(COUNTIFS($B$4:$B$73,F64,$H$4:$H$73,"Complete")=1,"Ready","Waiting"))))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str">
        <x:v>Not started</x:v>
      </x:c>
      <x:c r="J64" s="10" t="str">
        <x:v>Not reviewed</x:v>
      </x:c>
      <x:c r="K64" s="10"/>
      <x:c r="L64" s="12"/>
      <x:c r="M64" s="10"/>
      <x:c r="N64" s="10" t="str">
        <x:v>Not tested</x:v>
      </x:c>
      <x:c r="O64" s="10"/>
      <x:c r="P64" s="12"/>
      <x:c r="Q64" s="10"/>
      <x:c r="R64" s="10" t="str">
        <x:v>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v>
      </x:c>
      <x:c r="S64" s="10"/>
    </x:row>
    <x:row r="65" ht="105" customHeight="1">
      <x:c r="A65" s="9" t="n">
        <x:v>62</x:v>
      </x:c>
      <x:c r="B65" s="9" t="str">
        <x:v>FB-059</x:v>
      </x:c>
      <x:c r="C65" s="9" t="str">
        <x:v>Distribute</x:v>
      </x:c>
      <x:c r="D65" s="9" t="str">
        <x:v>Choose a subcategory and available package sizes</x:v>
      </x:c>
      <x:c r="E65" s="9" t="str">
        <x:v>Selecting Rice shows active products with positive stock: name, brand, code, saved size and available package count. Exclude inactive/zero-stock entries; distinguish equal sizes from different brands.</x:v>
      </x:c>
      <x:c r="F65" s="9" t="str">
        <x:v>FB-058</x:v>
      </x:c>
      <x:c r="G65" s="9" t="str">
        <x:f>IF(H65="Complete","Complete",IF(I65="Blocked","Blocked",IF(F65="","Ready",IF(COUNTIFS($B$4:$B$73,F65,$H$4:$H$73,"Complete")=1,"Ready","Waiting"))))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str">
        <x:v>Not started</x:v>
      </x:c>
      <x:c r="J65" s="11" t="str">
        <x:v>Not reviewed</x:v>
      </x:c>
      <x:c r="K65" s="11"/>
      <x:c r="L65" s="13"/>
      <x:c r="M65" s="11"/>
      <x:c r="N65" s="11" t="str">
        <x:v>Not tested</x:v>
      </x:c>
      <x:c r="O65" s="11"/>
      <x:c r="P65" s="13"/>
      <x:c r="Q65" s="11"/>
      <x:c r="R65" s="11" t="str">
        <x:v>Before starting this item or feature: reread AGENTS.md from disk; apply its teaching and testing rules.
Next: Start this item after the previous item is complete.</x:v>
      </x:c>
      <x:c r="S65" s="11"/>
    </x:row>
    <x:row r="66" ht="105" customHeight="1">
      <x:c r="A66" s="4" t="n">
        <x:v>63</x:v>
      </x:c>
      <x:c r="B66" s="4" t="str">
        <x:v>FB-060</x:v>
      </x:c>
      <x:c r="C66" s="4" t="str">
        <x:v>Distribute</x:v>
      </x:c>
      <x:c r="D66" s="4" t="str">
        <x:v>Add product search within selection</x:v>
      </x:c>
      <x:c r="E66" s="4" t="str">
        <x:v>Search selectable products by code or name, preserving subcategory/availability restrictions. Verify clear/no-result cases.</x:v>
      </x:c>
      <x:c r="F66" s="4" t="str">
        <x:v>FB-059</x:v>
      </x:c>
      <x:c r="G66" s="4" t="str">
        <x:f>IF(H66="Complete","Complete",IF(I66="Blocked","Blocked",IF(F66="","Ready",IF(COUNTIFS($B$4:$B$73,F66,$H$4:$H$73,"Complete")=1,"Ready","Waiting"))))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str">
        <x:v>Not started</x:v>
      </x:c>
      <x:c r="J66" s="10" t="str">
        <x:v>Not reviewed</x:v>
      </x:c>
      <x:c r="K66" s="10"/>
      <x:c r="L66" s="12"/>
      <x:c r="M66" s="10"/>
      <x:c r="N66" s="10" t="str">
        <x:v>Not tested</x:v>
      </x:c>
      <x:c r="O66" s="10"/>
      <x:c r="P66" s="12"/>
      <x:c r="Q66" s="10"/>
      <x:c r="R66" s="10" t="str">
        <x:v>Before starting this item or feature: reread AGENTS.md from disk; apply its teaching and testing rules.
Next: Start this item after the previous item is complete.</x:v>
      </x:c>
      <x:c r="S66" s="10"/>
    </x:row>
    <x:row r="67" ht="105" customHeight="1">
      <x:c r="A67" s="9" t="n">
        <x:v>64</x:v>
      </x:c>
      <x:c r="B67" s="9" t="str">
        <x:v>FB-061</x:v>
      </x:c>
      <x:c r="C67" s="9" t="str">
        <x:v>Distribute</x:v>
      </x:c>
      <x:c r="D67" s="9" t="str">
        <x:v>Build a multi-product distribution selection</x:v>
      </x:c>
      <x:c r="E67" s="9" t="str">
        <x:v>Choose whole package quantities across products/sizes; each product appears once. Cannot split a 1kg bag to distribute 500g. Teach each row/quantity interaction separately and responsive layout.</x:v>
      </x:c>
      <x:c r="F67" s="9" t="str">
        <x:v>FB-060</x:v>
      </x:c>
      <x:c r="G67" s="9" t="str">
        <x:f>IF(H67="Complete","Complete",IF(I67="Blocked","Blocked",IF(F67="","Ready",IF(COUNTIFS($B$4:$B$73,F67,$H$4:$H$73,"Complete")=1,"Ready","Waiting"))))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str">
        <x:v>Not started</x:v>
      </x:c>
      <x:c r="J67" s="11" t="str">
        <x:v>Not reviewed</x:v>
      </x:c>
      <x:c r="K67" s="11"/>
      <x:c r="L67" s="13"/>
      <x:c r="M67" s="11"/>
      <x:c r="N67" s="11" t="str">
        <x:v>Not tested</x:v>
      </x:c>
      <x:c r="O67" s="11"/>
      <x:c r="P67" s="13"/>
      <x:c r="Q67" s="11"/>
      <x:c r="R67" s="11" t="str">
        <x:v>Before starting this item or feature: reread AGENTS.md from disk; apply its teaching and testing rules.
Next: Start this item after the previous item is complete.</x:v>
      </x:c>
      <x:c r="S67" s="11"/>
    </x:row>
    <x:row r="68" ht="105" customHeight="1">
      <x:c r="A68" s="4" t="n">
        <x:v>65</x:v>
      </x:c>
      <x:c r="B68" s="4" t="str">
        <x:v>FB-062</x:v>
      </x:c>
      <x:c r="C68" s="4" t="str">
        <x:v>Distribute</x:v>
      </x:c>
      <x:c r="D68" s="4" t="str">
        <x:v>Review and confirm the distribution</x:v>
      </x:c>
      <x:c r="E68" s="4" t="str">
        <x:v>Review one household plus all products/sizes/quantities before saving. Staff can correct the selection. Explain temporary selection state versus saved stock.</x:v>
      </x:c>
      <x:c r="F68" s="4" t="str">
        <x:v>FB-061</x:v>
      </x:c>
      <x:c r="G68" s="4" t="str">
        <x:f>IF(H68="Complete","Complete",IF(I68="Blocked","Blocked",IF(F68="","Ready",IF(COUNTIFS($B$4:$B$73,F68,$H$4:$H$73,"Complete")=1,"Ready","Waiting"))))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str">
        <x:v>Not started</x:v>
      </x:c>
      <x:c r="J68" s="10" t="str">
        <x:v>Not reviewed</x:v>
      </x:c>
      <x:c r="K68" s="10"/>
      <x:c r="L68" s="12"/>
      <x:c r="M68" s="10"/>
      <x:c r="N68" s="10" t="str">
        <x:v>Not tested</x:v>
      </x:c>
      <x:c r="O68" s="10"/>
      <x:c r="P68" s="12"/>
      <x:c r="Q68" s="10"/>
      <x:c r="R68" s="10" t="str">
        <x:v>Before starting this item or feature: reread AGENTS.md from disk; apply its teaching and testing rules.
Next: Start this item after the previous item is complete.</x:v>
      </x:c>
      <x:c r="S68" s="10"/>
    </x:row>
    <x:row r="69" ht="105" customHeight="1">
      <x:c r="A69" s="9" t="n">
        <x:v>66</x:v>
      </x:c>
      <x:c r="B69" s="9" t="str">
        <x:v>FB-063</x:v>
      </x:c>
      <x:c r="C69" s="9" t="str">
        <x:v>Distribute</x:v>
      </x:c>
      <x:c r="D69" s="9" t="str">
        <x:v>Save distribution with a final stock recheck</x:v>
      </x:c>
      <x:c r="E69" s="9" t="str">
        <x:v>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x:v>
      </x:c>
      <x:c r="F69" s="9" t="str">
        <x:v>FB-062</x:v>
      </x:c>
      <x:c r="G69" s="9" t="str">
        <x:f>IF(H69="Complete","Complete",IF(I69="Blocked","Blocked",IF(F69="","Ready",IF(COUNTIFS($B$4:$B$73,F69,$H$4:$H$73,"Complete")=1,"Ready","Waiting"))))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str">
        <x:v>Not started</x:v>
      </x:c>
      <x:c r="J69" s="11" t="str">
        <x:v>Not reviewed</x:v>
      </x:c>
      <x:c r="K69" s="11"/>
      <x:c r="L69" s="13"/>
      <x:c r="M69" s="11"/>
      <x:c r="N69" s="11" t="str">
        <x:v>Not tested</x:v>
      </x:c>
      <x:c r="O69" s="11"/>
      <x:c r="P69" s="13"/>
      <x:c r="Q69" s="11"/>
      <x:c r="R69" s="11" t="str">
        <x:v>Before starting this item or feature: reread AGENTS.md from disk; apply its teaching and testing rules.
Next: Start this item after the previous item is complete.</x:v>
      </x:c>
      <x:c r="S69" s="11"/>
    </x:row>
    <x:row r="70" ht="105" customHeight="1">
      <x:c r="A70" s="4" t="n">
        <x:v>67</x:v>
      </x:c>
      <x:c r="B70" s="4" t="str">
        <x:v>FB-064</x:v>
      </x:c>
      <x:c r="C70" s="4" t="str">
        <x:v>Distribute</x:v>
      </x:c>
      <x:c r="D70" s="4" t="str">
        <x:v>Show result, preserve errors and verify access</x:v>
      </x:c>
      <x:c r="E70" s="4" t="str">
        <x:v>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x:v>
      </x:c>
      <x:c r="F70" s="4" t="str">
        <x:v>FB-063</x:v>
      </x:c>
      <x:c r="G70" s="4" t="str">
        <x:f>IF(H70="Complete","Complete",IF(I70="Blocked","Blocked",IF(F70="","Ready",IF(COUNTIFS($B$4:$B$73,F70,$H$4:$H$73,"Complete")=1,"Ready","Waiting"))))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str">
        <x:v>Not started</x:v>
      </x:c>
      <x:c r="J70" s="10" t="str">
        <x:v>Not reviewed</x:v>
      </x:c>
      <x:c r="K70" s="10"/>
      <x:c r="L70" s="12"/>
      <x:c r="M70" s="10"/>
      <x:c r="N70" s="10" t="str">
        <x:v>Not tested</x:v>
      </x:c>
      <x:c r="O70" s="10"/>
      <x:c r="P70" s="12"/>
      <x:c r="Q70" s="10"/>
      <x:c r="R70" s="10" t="str">
        <x:v>Before starting this item or feature: reread AGENTS.md from disk; apply its teaching and testing rules.
Next: Start this item after the previous item is complete.</x:v>
      </x:c>
      <x:c r="S70" s="10"/>
    </x:row>
    <x:row r="71" ht="105" customHeight="1">
      <x:c r="A71" s="9" t="n">
        <x:v>68</x:v>
      </x:c>
      <x:c r="B71" s="9" t="str">
        <x:v>FB-068</x:v>
      </x:c>
      <x:c r="C71" s="9" t="str">
        <x:v>Verification</x:v>
      </x:c>
      <x:c r="D71" s="9" t="str">
        <x:v>Verify movement integrity and complete journeys</x:v>
      </x:c>
      <x:c r="E71" s="9" t="str">
        <x:v>Review and test Receive/Adjust/Distribute totals/history, atomic rollback, concurrency/no negative stock, inactive/lock rules, one row/product, household selection, timestamps, immutable history and all-role permissions. Developer tests first; record automated evidence when delegated.</x:v>
      </x:c>
      <x:c r="F71" s="9" t="str">
        <x:v>FB-064</x:v>
      </x:c>
      <x:c r="G71" s="9" t="str">
        <x:f>IF(H71="Complete","Complete",IF(I71="Blocked","Blocked",IF(F71="","Ready",IF(COUNTIFS($B$4:$B$73,F71,$H$4:$H$73,"Complete")=1,"Ready","Waiting"))))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str">
        <x:v>Not started</x:v>
      </x:c>
      <x:c r="J71" s="11" t="str">
        <x:v>Not reviewed</x:v>
      </x:c>
      <x:c r="K71" s="11"/>
      <x:c r="L71" s="13"/>
      <x:c r="M71" s="11"/>
      <x:c r="N71" s="11" t="str">
        <x:v>Not tested</x:v>
      </x:c>
      <x:c r="O71" s="11"/>
      <x:c r="P71" s="13"/>
      <x:c r="Q71" s="11"/>
      <x:c r="R71" s="11" t="str">
        <x:v>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x:v>
      </x:c>
      <x:c r="S71" s="11"/>
    </x:row>
    <x:row r="72" ht="105" customHeight="1">
      <x:c r="A72" s="4" t="n">
        <x:v>69</x:v>
      </x:c>
      <x:c r="B72" s="4" t="str">
        <x:v>FB-069</x:v>
      </x:c>
      <x:c r="C72" s="4" t="str">
        <x:v>Verification</x:v>
      </x:c>
      <x:c r="D72" s="4" t="str">
        <x:v>Verify the combined first-version experience</x:v>
      </x:c>
      <x:c r="E72" s="4" t="str">
        <x:v>Confirm account/inventory navigation, forced password setup and inactive sessions across protected screens; responsive behaviour and errors/success. Confirm deferred modules are absent. Record findings and fixes before closing.</x:v>
      </x:c>
      <x:c r="F72" s="4" t="str">
        <x:v>FB-068</x:v>
      </x:c>
      <x:c r="G72" s="4" t="str">
        <x:f>IF(H72="Complete","Complete",IF(I72="Blocked","Blocked",IF(F72="","Ready",IF(COUNTIFS($B$4:$B$73,F72,$H$4:$H$73,"Complete")=1,"Ready","Waiting"))))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str">
        <x:v>Not started</x:v>
      </x:c>
      <x:c r="J72" s="10" t="str">
        <x:v>Not reviewed</x:v>
      </x:c>
      <x:c r="K72" s="10"/>
      <x:c r="L72" s="12"/>
      <x:c r="M72" s="10"/>
      <x:c r="N72" s="10" t="str">
        <x:v>Not tested</x:v>
      </x:c>
      <x:c r="O72" s="10"/>
      <x:c r="P72" s="12"/>
      <x:c r="Q72" s="10"/>
      <x:c r="R72" s="10" t="str">
        <x:v>Before starting this item or feature: reread AGENTS.md from disk; apply its teaching and testing rules.
Next: Start this item after the previous item is complete.</x:v>
      </x:c>
      <x:c r="S72" s="10"/>
    </x:row>
    <x:row r="73" ht="105" customHeight="1">
      <x:c r="A73" s="9" t="n">
        <x:v>70</x:v>
      </x:c>
      <x:c r="B73" s="9" t="str">
        <x:v>FB-070</x:v>
      </x:c>
      <x:c r="C73" s="9" t="str">
        <x:v>Super Admin recovery — LAST</x:v>
      </x:c>
      <x:c r="D73" s="9" t="str">
        <x:v>Implement server-only recovery after all other work</x:v>
      </x:c>
      <x:c r="E73" s="9" t="str">
        <x:v>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v>
      </x:c>
      <x:c r="F73" s="9" t="str">
        <x:v>FB-069</x:v>
      </x:c>
      <x:c r="G73" s="9" t="str">
        <x:f>IF(H73="Complete","Complete",IF(I73="Blocked","Blocked",IF(F73="","Ready",IF(COUNTIFS($B$4:$B$73,F73,$H$4:$H$73,"Complete")=1,"Ready","Waiting"))))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str">
        <x:v>Not started</x:v>
      </x:c>
      <x:c r="J73" s="11" t="str">
        <x:v>Not reviewed</x:v>
      </x:c>
      <x:c r="K73" s="11"/>
      <x:c r="L73" s="13"/>
      <x:c r="M73" s="11"/>
      <x:c r="N73" s="11" t="str">
        <x:v>Not tested</x:v>
      </x:c>
      <x:c r="O73" s="11"/>
      <x:c r="P73" s="13"/>
      <x:c r="Q73" s="11"/>
      <x:c r="R73" s="11" t="str">
        <x:v>Before starting this item or feature: reread AGENTS.md from disk; apply its teaching and testing rules.
Next: Start this item after the previous item is complete.</x:v>
      </x:c>
      <x:c r="S73" s="11"/>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sqref="I4:I73">
      <x:formula1>"Not started,In progress,Ready for review,Blocked"</x:formula1>
    </x:dataValidation>
    <x:dataValidation type="list" sqref="J4:J73">
      <x:formula1>"Not reviewed,Changes needed,Passed"</x:formula1>
    </x:dataValidation>
    <x:dataValidation type="list" sqref="M4:M73">
      <x:formula1>"Developer,Assistant (delegated)"</x:formula1>
    </x:dataValidation>
    <x:dataValidation type="list" sqref="N4:N73">
      <x:formula1>"Not tested,Failed,Passed"</x:formula1>
    </x:dataValidation>
  </x:dataValidations>
  <x:pageMargins left="0.7" right="0.7" top="0.75" bottom="0.75" header="0.3" footer="0.3"/>
  <x:tableParts count="1">
    <x:tablePart xmlns:r="http://schemas.openxmlformats.org/officeDocument/2006/relationships" r:id="Rb2a58866a3e64fff"/>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defaultRowHeight="15"/>
  <x:cols>
    <x:col min="1" max="1" width="13" hidden="0" customWidth="1"/>
    <x:col min="2" max="2" width="29" hidden="0" customWidth="1"/>
    <x:col min="3" max="3" width="20" hidden="0" customWidth="1"/>
    <x:col min="4" max="4" width="110" hidden="0" customWidth="1"/>
    <x:col min="5" max="5" width="28" hidden="0" customWidth="1"/>
    <x:col min="6" max="6" width="17" hidden="0" customWidth="1"/>
  </x:cols>
  <x:sheetData>
    <x:row r="1" ht="28" customHeight="1">
      <x:c r="A1" s="2" t="str">
        <x:v>FoodBank requirements and scope</x:v>
      </x:c>
      <x:c r="B1" s="1"/>
      <x:c r="C1" s="1"/>
      <x:c r="D1" s="1"/>
      <x:c r="E1" s="1"/>
      <x:c r="F1" s="1"/>
    </x:row>
    <x:row r="2" ht="28" customHeight="1">
      <x:c r="A2" s="23" t="str">
        <x:v>Full agreed rules. Filter by area or scope; related FB IDs refer to Stories. ##FUTURE is deferred, not approved implementation.</x:v>
      </x:c>
      <x:c r="B2" s="1"/>
      <x:c r="C2" s="1"/>
      <x:c r="D2" s="1"/>
      <x:c r="E2" s="1"/>
      <x:c r="F2" s="1"/>
    </x:row>
    <x:row r="3" ht="28" customHeight="1">
      <x:c r="A3" s="27" t="str">
        <x:v>Rule ID</x:v>
      </x:c>
      <x:c r="B3" s="27" t="str">
        <x:v>Area</x:v>
      </x:c>
      <x:c r="C3" s="27" t="str">
        <x:v>Scope</x:v>
      </x:c>
      <x:c r="D3" s="27" t="str">
        <x:v>Detailed rule</x:v>
      </x:c>
      <x:c r="E3" s="27" t="str">
        <x:v>Related learning items</x:v>
      </x:c>
      <x:c r="F3" s="27" t="str">
        <x:v>First item location</x:v>
      </x:c>
    </x:row>
    <x:row r="4" ht="52" customHeight="1">
      <x:c r="A4" s="4" t="str">
        <x:v>REQ-001</x:v>
      </x:c>
      <x:c r="B4" s="4" t="str">
        <x:v>Planning status</x:v>
      </x:c>
      <x:c r="C4" s="4" t="str">
        <x:v>Project context</x:v>
      </x:c>
      <x:c r="D4" s="4" t="str">
        <x:v>Inventory planning is complete, including its verification checklist.</x:v>
      </x:c>
      <x:c r="E4" s="4" t="str">
        <x:v>All current items</x:v>
      </x:c>
      <x:c r="F4" s="4" t="str">
        <x:v>Stories!B4</x:v>
      </x:c>
    </x:row>
    <x:row r="5" ht="52" customHeight="1">
      <x:c r="A5" s="28" t="str">
        <x:v>REQ-002</x:v>
      </x:c>
      <x:c r="B5" s="28" t="str">
        <x:v>Planning status</x:v>
      </x:c>
      <x:c r="C5" s="28" t="str">
        <x:v>Project context</x:v>
      </x:c>
      <x:c r="D5" s="28" t="str">
        <x:v>Account-management planning questions are complete. Implementation has not started.</x:v>
      </x:c>
      <x:c r="E5" s="28" t="str">
        <x:v>All current items</x:v>
      </x:c>
      <x:c r="F5" s="28" t="str">
        <x:v>Stories!B4</x:v>
      </x:c>
    </x:row>
    <x:row r="6" ht="52" customHeight="1">
      <x:c r="A6" s="4" t="str">
        <x:v>REQ-003</x:v>
      </x:c>
      <x:c r="B6" s="4" t="str">
        <x:v>Planning status</x:v>
      </x:c>
      <x:c r="C6" s="4" t="str">
        <x:v>Project context</x:v>
      </x:c>
      <x:c r="D6" s="4" t="str">
        <x:v>The assistant-managed tracker records the teaching/build sequence. As of 2026-10-25, scaffold, Cobalt &amp; Mint theme and formatting tooling are in place; FB-001 source review and developer-reported local page/appearance/MySQL checks passed. FB-002 shared-login lesson is beginning; account/inventory feature implementation remains unverified.</x:v>
      </x:c>
      <x:c r="E6" s="4" t="str">
        <x:v>All current items</x:v>
      </x:c>
      <x:c r="F6" s="4" t="str">
        <x:v>Stories!B4</x:v>
      </x:c>
    </x:row>
    <x:row r="7" ht="52" customHeight="1">
      <x:c r="A7" s="28" t="str">
        <x:v>REQ-004</x:v>
      </x:c>
      <x:c r="B7" s="28" t="str">
        <x:v>Planning status</x:v>
      </x:c>
      <x:c r="C7" s="28" t="str">
        <x:v>Project context</x:v>
      </x:c>
      <x:c r="D7" s="28" t="str">
        <x:v>Learning is the immediate priority, especially Vue, Inertia, and Tailwind.</x:v>
      </x:c>
      <x:c r="E7" s="28" t="str">
        <x:v>All current items</x:v>
      </x:c>
      <x:c r="F7" s="28" t="str">
        <x:v>Stories!B4</x:v>
      </x:c>
    </x:row>
    <x:row r="8" ht="52" customHeight="1">
      <x:c r="A8" s="4" t="str">
        <x:v>REQ-005</x:v>
      </x:c>
      <x:c r="B8" s="4" t="str">
        <x:v>Planning status</x:v>
      </x:c>
      <x:c r="C8" s="4" t="str">
        <x:v>Project context</x:v>
      </x:c>
      <x:c r="D8" s="4" t="str">
        <x:v>The long-term goal is a fully functional foodbank management system.</x:v>
      </x:c>
      <x:c r="E8" s="4" t="str">
        <x:v>All current items</x:v>
      </x:c>
      <x:c r="F8" s="4" t="str">
        <x:v>Stories!B4</x:v>
      </x:c>
    </x:row>
    <x:row r="9" ht="52" customHeight="1">
      <x:c r="A9" s="28" t="str">
        <x:v>REQ-006</x:v>
      </x:c>
      <x:c r="B9" s="28" t="str">
        <x:v>Planning status</x:v>
      </x:c>
      <x:c r="C9" s="28" t="str">
        <x:v>Project context</x:v>
      </x:c>
      <x:c r="D9" s="28" t="str">
        <x:v>Record further features as agreed; suggestions are not approved scope.</x:v>
      </x:c>
      <x:c r="E9" s="28" t="str">
        <x:v>All current items</x:v>
      </x:c>
      <x:c r="F9" s="28" t="str">
        <x:v>Stories!B4</x:v>
      </x:c>
    </x:row>
    <x:row r="10" ht="61" customHeight="1">
      <x:c r="A10" s="4" t="str">
        <x:v>REQ-007</x:v>
      </x:c>
      <x:c r="B10" s="4" t="str">
        <x:v>First-version boundary</x:v>
      </x:c>
      <x:c r="C10" s="4" t="str">
        <x:v>Current scope</x:v>
      </x:c>
      <x:c r="D10" s="4" t="str">
        <x:v>The first version includes the agreed account-management features: shared login and permissions, manager and volunteer records, search, filters, pagination, and password setup, changes, and assisted resets.</x:v>
      </x:c>
      <x:c r="E10" s="4" t="str">
        <x:v>All current items</x:v>
      </x:c>
      <x:c r="F10" s="4" t="str">
        <x:v>Stories!B4</x:v>
      </x:c>
    </x:row>
    <x:row r="11" ht="52" customHeight="1">
      <x:c r="A11" s="28" t="str">
        <x:v>REQ-008</x:v>
      </x:c>
      <x:c r="B11" s="28" t="str">
        <x:v>First-version boundary</x:v>
      </x:c>
      <x:c r="C11" s="28" t="str">
        <x:v>Current scope</x:v>
      </x:c>
      <x:c r="D11" s="28" t="str">
        <x:v>Inventory management is included in the first version; its scope and verification checklist are agreed.</x:v>
      </x:c>
      <x:c r="E11" s="28" t="str">
        <x:v>All current items</x:v>
      </x:c>
      <x:c r="F11" s="28" t="str">
        <x:v>Stories!B4</x:v>
      </x:c>
    </x:row>
    <x:row r="12" ht="52" customHeight="1">
      <x:c r="A12" s="4" t="str">
        <x:v>REQ-009</x:v>
      </x:c>
      <x:c r="B12" s="4" t="str">
        <x:v>First-version boundary</x:v>
      </x:c>
      <x:c r="C12" s="4" t="str">
        <x:v>##FUTURE</x:v>
      </x:c>
      <x:c r="D12" s="4" t="str">
        <x:v>Household management and appointment management remain future modules.</x:v>
      </x:c>
      <x:c r="E12" s="4" t="str">
        <x:v>Deferred — no current item</x:v>
      </x:c>
      <x:c r="F12" s="4" t="str">
        <x:v>Deferred</x:v>
      </x:c>
    </x:row>
    <x:row r="13" ht="106" customHeight="1">
      <x:c r="A13" s="28" t="str">
        <x:v>REQ-010</x:v>
      </x:c>
      <x:c r="B13" s="28" t="str">
        <x:v>First-version boundary</x:v>
      </x:c>
      <x:c r="C13" s="28" t="str">
        <x:v>Current scope</x:v>
      </x:c>
      <x:c r="D13" s="28" t="str">
        <x:v>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v>
      </x:c>
      <x:c r="E13" s="28" t="str">
        <x:v>FB-057–FB-064</x:v>
      </x:c>
      <x:c r="F13" s="28" t="str">
        <x:v>Stories!B63</x:v>
      </x:c>
    </x:row>
    <x:row r="14" ht="52" customHeight="1">
      <x:c r="A14" s="4" t="str">
        <x:v>REQ-011</x:v>
      </x:c>
      <x:c r="B14" s="4" t="str">
        <x:v>First-version boundary</x:v>
      </x:c>
      <x:c r="C14" s="4" t="str">
        <x:v>Current scope</x:v>
      </x:c>
      <x:c r="D14" s="4" t="str">
        <x:v>Feature decisions are agreed. Review the complete scope, then choose the build order. Technical implementation details will be explained in lessons.</x:v>
      </x:c>
      <x:c r="E14" s="4" t="str">
        <x:v>All current items</x:v>
      </x:c>
      <x:c r="F14" s="4" t="str">
        <x:v>Stories!B4</x:v>
      </x:c>
    </x:row>
    <x:row r="15" ht="52" customHeight="1">
      <x:c r="A15" s="28" t="str">
        <x:v>REQ-012</x:v>
      </x:c>
      <x:c r="B15" s="28" t="str">
        <x:v>Design and teaching approach</x:v>
      </x:c>
      <x:c r="C15" s="28" t="str">
        <x:v>Project context</x:v>
      </x:c>
      <x:c r="D15" s="28" t="str">
        <x:v>Plan toward a fully functional foodbank management system while implementing only the agreed current learning scope.</x:v>
      </x:c>
      <x:c r="E15" s="28" t="str">
        <x:v>All current items</x:v>
      </x:c>
      <x:c r="F15" s="28" t="str">
        <x:v>Stories!B4</x:v>
      </x:c>
    </x:row>
    <x:row r="16" ht="52" customHeight="1">
      <x:c r="A16" s="4" t="str">
        <x:v>REQ-013</x:v>
      </x:c>
      <x:c r="B16" s="4" t="str">
        <x:v>Design and teaching approach</x:v>
      </x:c>
      <x:c r="C16" s="4" t="str">
        <x:v>Project context</x:v>
      </x:c>
      <x:c r="D16" s="4" t="str">
        <x:v>Discuss the complete system's responsibilities and connections as feature discovery progresses. The full design is not finalized yet.</x:v>
      </x:c>
      <x:c r="E16" s="4" t="str">
        <x:v>All current items</x:v>
      </x:c>
      <x:c r="F16" s="4" t="str">
        <x:v>Stories!B4</x:v>
      </x:c>
    </x:row>
    <x:row r="17" ht="52" customHeight="1">
      <x:c r="A17" s="28" t="str">
        <x:v>REQ-014</x:v>
      </x:c>
      <x:c r="B17" s="28" t="str">
        <x:v>Design and teaching approach</x:v>
      </x:c>
      <x:c r="C17" s="28" t="str">
        <x:v>Project context</x:v>
      </x:c>
      <x:c r="D17" s="28" t="str">
        <x:v>Keep current features able to connect to future household, appointment, and volunteer workflows without building those workflows prematurely.</x:v>
      </x:c>
      <x:c r="E17" s="28" t="str">
        <x:v>All current items</x:v>
      </x:c>
      <x:c r="F17" s="28" t="str">
        <x:v>Stories!B4</x:v>
      </x:c>
    </x:row>
    <x:row r="18" ht="52" customHeight="1">
      <x:c r="A18" s="4" t="str">
        <x:v>REQ-015</x:v>
      </x:c>
      <x:c r="B18" s="4" t="str">
        <x:v>Design and teaching approach</x:v>
      </x:c>
      <x:c r="C18" s="4" t="str">
        <x:v>Project context</x:v>
      </x:c>
      <x:c r="D18" s="4" t="str">
        <x:v>Choose simple structures with clear responsibilities. Do not add speculative tables, complex abstractions, or unused functionality solely for possible future requirements.</x:v>
      </x:c>
      <x:c r="E18" s="4" t="str">
        <x:v>All current items</x:v>
      </x:c>
      <x:c r="F18" s="4" t="str">
        <x:v>Stories!B4</x:v>
      </x:c>
    </x:row>
    <x:row r="19" ht="52" customHeight="1">
      <x:c r="A19" s="28" t="str">
        <x:v>REQ-016</x:v>
      </x:c>
      <x:c r="B19" s="28" t="str">
        <x:v>Design and teaching approach</x:v>
      </x:c>
      <x:c r="C19" s="28" t="str">
        <x:v>Project context</x:v>
      </x:c>
      <x:c r="D19" s="28" t="str">
        <x:v>Revisit data relationships, permissions, and record-retention needs when agreeing each feature, especially where future records may depend on today's data.</x:v>
      </x:c>
      <x:c r="E19" s="28" t="str">
        <x:v>All current items</x:v>
      </x:c>
      <x:c r="F19" s="28" t="str">
        <x:v>Stories!B4</x:v>
      </x:c>
    </x:row>
    <x:row r="20" ht="52" customHeight="1">
      <x:c r="A20" s="4" t="str">
        <x:v>REQ-017</x:v>
      </x:c>
      <x:c r="B20" s="4" t="str">
        <x:v>Design and teaching approach</x:v>
      </x:c>
      <x:c r="C20" s="4" t="str">
        <x:v>Project context</x:v>
      </x:c>
      <x:c r="D20" s="4" t="str">
        <x:v>Teach one small step at a time, emphasizing Vue, Inertia, and Tailwind.</x:v>
      </x:c>
      <x:c r="E20" s="4" t="str">
        <x:v>All current items</x:v>
      </x:c>
      <x:c r="F20" s="4" t="str">
        <x:v>Stories!B4</x:v>
      </x:c>
    </x:row>
    <x:row r="21" ht="52" customHeight="1">
      <x:c r="A21" s="28" t="str">
        <x:v>REQ-018</x:v>
      </x:c>
      <x:c r="B21" s="28" t="str">
        <x:v>Design and teaching approach</x:v>
      </x:c>
      <x:c r="C21" s="28" t="str">
        <x:v>Project context</x:v>
      </x:c>
      <x:c r="D21" s="28" t="str">
        <x:v>Mark deferred work with ##FUTURE. A future entry records direction; it does not authorize implementation or approve unspecified details.</x:v>
      </x:c>
      <x:c r="E21" s="28" t="str">
        <x:v>All current items</x:v>
      </x:c>
      <x:c r="F21" s="28" t="str">
        <x:v>Stories!B4</x:v>
      </x:c>
    </x:row>
    <x:row r="22" ht="52" customHeight="1">
      <x:c r="A22" s="4" t="str">
        <x:v>REQ-019</x:v>
      </x:c>
      <x:c r="B22" s="4" t="str">
        <x:v>1. Roles and account creation</x:v>
      </x:c>
      <x:c r="C22" s="4" t="str">
        <x:v>Current scope</x:v>
      </x:c>
      <x:c r="D22" s="4" t="str">
        <x:v>Initial roles: Super Admin, manager, volunteer.</x:v>
      </x:c>
      <x:c r="E22" s="4" t="str">
        <x:v>FB-004, FB-019</x:v>
      </x:c>
      <x:c r="F22" s="4" t="str">
        <x:v>Stories!B7</x:v>
      </x:c>
    </x:row>
    <x:row r="23" ht="52" customHeight="1">
      <x:c r="A23" s="28" t="str">
        <x:v>REQ-020</x:v>
      </x:c>
      <x:c r="B23" s="28" t="str">
        <x:v>1. Roles and account creation</x:v>
      </x:c>
      <x:c r="C23" s="28" t="str">
        <x:v>Current scope</x:v>
      </x:c>
      <x:c r="D23" s="28" t="str">
        <x:v>Roles are fixed after account creation in the current version.</x:v>
      </x:c>
      <x:c r="E23" s="28" t="str">
        <x:v>FB-004, FB-019</x:v>
      </x:c>
      <x:c r="F23" s="28" t="str">
        <x:v>Stories!B7</x:v>
      </x:c>
    </x:row>
    <x:row r="24" ht="52" customHeight="1">
      <x:c r="A24" s="4" t="str">
        <x:v>REQ-021</x:v>
      </x:c>
      <x:c r="B24" s="4" t="str">
        <x:v>1. Roles and account creation</x:v>
      </x:c>
      <x:c r="C24" s="4" t="str">
        <x:v>##FUTURE</x:v>
      </x:c>
      <x:c r="D24" s="4" t="str">
        <x:v>##FUTURE Changing an existing user's role, such as promoting a volunteer to manager.</x:v>
      </x:c>
      <x:c r="E24" s="4" t="str">
        <x:v>Deferred — no current item</x:v>
      </x:c>
      <x:c r="F24" s="4" t="str">
        <x:v>Deferred</x:v>
      </x:c>
    </x:row>
    <x:row r="25" ht="52" customHeight="1">
      <x:c r="A25" s="28" t="str">
        <x:v>REQ-022</x:v>
      </x:c>
      <x:c r="B25" s="28" t="str">
        <x:v>1. Roles and account creation</x:v>
      </x:c>
      <x:c r="C25" s="28" t="str">
        <x:v>Current scope</x:v>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str">
        <x:v>FB-004, FB-019</x:v>
      </x:c>
      <x:c r="F25" s="28" t="str">
        <x:v>Stories!B7</x:v>
      </x:c>
    </x:row>
    <x:row r="26" ht="52" customHeight="1">
      <x:c r="A26" s="4" t="str">
        <x:v>REQ-023</x:v>
      </x:c>
      <x:c r="B26" s="4" t="str">
        <x:v>1. Roles and account creation</x:v>
      </x:c>
      <x:c r="C26" s="4" t="str">
        <x:v>Current scope</x:v>
      </x:c>
      <x:c r="D26" s="4" t="str">
        <x:v>The pre-created Super Admin must change their password on first login, following the same required initial password-change process.</x:v>
      </x:c>
      <x:c r="E26" s="4" t="str">
        <x:v>FB-006–FB-007, FB-019</x:v>
      </x:c>
      <x:c r="F26" s="4" t="str">
        <x:v>Stories!B9</x:v>
      </x:c>
    </x:row>
    <x:row r="27" ht="52" customHeight="1">
      <x:c r="A27" s="28" t="str">
        <x:v>REQ-024</x:v>
      </x:c>
      <x:c r="B27" s="28" t="str">
        <x:v>1. Roles and account creation</x:v>
      </x:c>
      <x:c r="C27" s="28" t="str">
        <x:v>Current scope</x:v>
      </x:c>
      <x:c r="D27" s="28" t="str">
        <x:v>The Super Admin can create both manager and volunteer accounts.</x:v>
      </x:c>
      <x:c r="E27" s="28" t="str">
        <x:v>FB-016–FB-023, FB-025</x:v>
      </x:c>
      <x:c r="F27" s="28" t="str">
        <x:v>Stories!B20</x:v>
      </x:c>
    </x:row>
    <x:row r="28" ht="52" customHeight="1">
      <x:c r="A28" s="4" t="str">
        <x:v>REQ-025</x:v>
      </x:c>
      <x:c r="B28" s="4" t="str">
        <x:v>1. Roles and account creation</x:v>
      </x:c>
      <x:c r="C28" s="4" t="str">
        <x:v>Current scope</x:v>
      </x:c>
      <x:c r="D28" s="4" t="str">
        <x:v>Managers can create only volunteer accounts; they cannot create manager accounts.</x:v>
      </x:c>
      <x:c r="E28" s="4" t="str">
        <x:v>FB-016–FB-023, FB-025</x:v>
      </x:c>
      <x:c r="F28" s="4" t="str">
        <x:v>Stories!B20</x:v>
      </x:c>
    </x:row>
    <x:row r="29" ht="52" customHeight="1">
      <x:c r="A29" s="28" t="str">
        <x:v>REQ-026</x:v>
      </x:c>
      <x:c r="B29" s="28" t="str">
        <x:v>1. Roles and account creation</x:v>
      </x:c>
      <x:c r="C29" s="28" t="str">
        <x:v>Current scope</x:v>
      </x:c>
      <x:c r="D29" s="28" t="str">
        <x:v>Public self-registration is unavailable. Only the Super Admin and managers can create accounts, within the permissions above.</x:v>
      </x:c>
      <x:c r="E29" s="28" t="str">
        <x:v>FB-004, FB-019</x:v>
      </x:c>
      <x:c r="F29" s="28" t="str">
        <x:v>Stories!B7</x:v>
      </x:c>
    </x:row>
    <x:row r="30" ht="52" customHeight="1">
      <x:c r="A30" s="4" t="str">
        <x:v>REQ-027</x:v>
      </x:c>
      <x:c r="B30" s="4" t="str">
        <x:v>1. Roles and account creation</x:v>
      </x:c>
      <x:c r="C30" s="4" t="str">
        <x:v>Current scope</x:v>
      </x:c>
      <x:c r="D30" s="4" t="str">
        <x:v>Self-service editing of one's own name, email, or phone is excluded from the current scope. Users can still change their own password.</x:v>
      </x:c>
      <x:c r="E30" s="4" t="str">
        <x:v>FB-017, FB-019, FB-021</x:v>
      </x:c>
      <x:c r="F30" s="4" t="str">
        <x:v>Stories!B21</x:v>
      </x:c>
    </x:row>
    <x:row r="31" ht="52" customHeight="1">
      <x:c r="A31" s="28" t="str">
        <x:v>REQ-028</x:v>
      </x:c>
      <x:c r="B31" s="28" t="str">
        <x:v>1. Roles and account creation</x:v>
      </x:c>
      <x:c r="C31" s="28" t="str">
        <x:v>Current scope</x:v>
      </x:c>
      <x:c r="D31" s="28" t="str">
        <x:v>User creation and editing each have their own page, rather than pop-up forms.</x:v>
      </x:c>
      <x:c r="E31" s="28" t="str">
        <x:v>FB-016–FB-023, FB-025</x:v>
      </x:c>
      <x:c r="F31" s="28" t="str">
        <x:v>Stories!B20</x:v>
      </x:c>
    </x:row>
    <x:row r="32" ht="52" customHeight="1">
      <x:c r="A32" s="4" t="str">
        <x:v>REQ-029</x:v>
      </x:c>
      <x:c r="B32" s="4" t="str">
        <x:v>1. Roles and account creation</x:v>
      </x:c>
      <x:c r="C32" s="4" t="str">
        <x:v>Current scope</x:v>
      </x:c>
      <x:c r="D32" s="4" t="str">
        <x:v>Successful Create and Edit actions redirect to that user's details page and display a success message.</x:v>
      </x:c>
      <x:c r="E32" s="4" t="str">
        <x:v>FB-019, FB-020, FB-021, FB-025</x:v>
      </x:c>
      <x:c r="F32" s="4" t="str">
        <x:v>Stories!B23</x:v>
      </x:c>
    </x:row>
    <x:row r="33" ht="61" customHeight="1">
      <x:c r="A33" s="28" t="str">
        <x:v>REQ-030</x:v>
      </x:c>
      <x:c r="B33" s="28" t="str">
        <x:v>1. Roles and account creation</x:v>
      </x:c>
      <x:c r="C33" s="28" t="str">
        <x:v>Current scope</x:v>
      </x:c>
      <x:c r="D33" s="28" t="str">
        <x:v>Include a separate read-only user details page showing name, username, email, phone, role, and status. Provide Edit, Activate/Deactivate, and Reset Password actions according to the viewer's permissions: managers manage volunteers, and the Super Admin manages managers and volunteers.</x:v>
      </x:c>
      <x:c r="E33" s="28" t="str">
        <x:v>FB-016–FB-023, FB-025</x:v>
      </x:c>
      <x:c r="F33" s="28" t="str">
        <x:v>Stories!B20</x:v>
      </x:c>
    </x:row>
    <x:row r="34" ht="52" customHeight="1">
      <x:c r="A34" s="4" t="str">
        <x:v>REQ-031</x:v>
      </x:c>
      <x:c r="B34" s="4" t="str">
        <x:v>1. Roles and account creation</x:v>
      </x:c>
      <x:c r="C34" s="4" t="str">
        <x:v>##FUTURE</x:v>
      </x:c>
      <x:c r="D34" s="4" t="str">
        <x:v>##FUTURE Self-service profile editing.</x:v>
      </x:c>
      <x:c r="E34" s="4" t="str">
        <x:v>Deferred — no current item</x:v>
      </x:c>
      <x:c r="F34" s="4" t="str">
        <x:v>Deferred</x:v>
      </x:c>
    </x:row>
    <x:row r="35" ht="52" customHeight="1">
      <x:c r="A35" s="28" t="str">
        <x:v>REQ-032</x:v>
      </x:c>
      <x:c r="B35" s="28" t="str">
        <x:v>1. Roles and account creation</x:v>
      </x:c>
      <x:c r="C35" s="28" t="str">
        <x:v>Current scope</x:v>
      </x:c>
      <x:c r="D35" s="28" t="str">
        <x:v>Manager accounts use the same mandatory fields and username rules as volunteers, including username regeneration after name changes.</x:v>
      </x:c>
      <x:c r="E35" s="28" t="str">
        <x:v>FB-016–FB-023, FB-025</x:v>
      </x:c>
      <x:c r="F35" s="28" t="str">
        <x:v>Stories!B20</x:v>
      </x:c>
    </x:row>
    <x:row r="36" ht="52" customHeight="1">
      <x:c r="A36" s="4" t="str">
        <x:v>REQ-033</x:v>
      </x:c>
      <x:c r="B36" s="4" t="str">
        <x:v>1. Roles and account creation</x:v>
      </x:c>
      <x:c r="C36" s="4" t="str">
        <x:v>Current scope</x:v>
      </x:c>
      <x:c r="D36" s="4" t="str">
        <x:v>New managers follow the same initial password-change process as volunteers.</x:v>
      </x:c>
      <x:c r="E36" s="4" t="str">
        <x:v>FB-006–FB-007, FB-019</x:v>
      </x:c>
      <x:c r="F36" s="4" t="str">
        <x:v>Stories!B9</x:v>
      </x:c>
    </x:row>
    <x:row r="37" ht="52" customHeight="1">
      <x:c r="A37" s="28" t="str">
        <x:v>REQ-034</x:v>
      </x:c>
      <x:c r="B37" s="28" t="str">
        <x:v>1. Roles and account creation</x:v>
      </x:c>
      <x:c r="C37" s="28" t="str">
        <x:v>Current scope</x:v>
      </x:c>
      <x:c r="D37" s="28" t="str">
        <x:v>New managers default to Active. The Super Admin can choose Inactive when creating them.</x:v>
      </x:c>
      <x:c r="E37" s="28" t="str">
        <x:v>FB-016–FB-023, FB-025</x:v>
      </x:c>
      <x:c r="F37" s="28" t="str">
        <x:v>Stories!B20</x:v>
      </x:c>
    </x:row>
    <x:row r="38" ht="52" customHeight="1">
      <x:c r="A38" s="4" t="str">
        <x:v>REQ-035</x:v>
      </x:c>
      <x:c r="B38" s="4" t="str">
        <x:v>1. Roles and account creation</x:v>
      </x:c>
      <x:c r="C38" s="4" t="str">
        <x:v>Current scope</x:v>
      </x:c>
      <x:c r="D38" s="4" t="str">
        <x:v>Email addresses must be unique across all users and roles. Creating or updating an account cannot use another account's email address.</x:v>
      </x:c>
      <x:c r="E38" s="4" t="str">
        <x:v>FB-016–FB-023, FB-025</x:v>
      </x:c>
      <x:c r="F38" s="4" t="str">
        <x:v>Stories!B20</x:v>
      </x:c>
    </x:row>
    <x:row r="39" ht="52" customHeight="1">
      <x:c r="A39" s="28" t="str">
        <x:v>REQ-036</x:v>
      </x:c>
      <x:c r="B39" s="28" t="str">
        <x:v>1. Roles and account creation</x:v>
      </x:c>
      <x:c r="C39" s="28" t="str">
        <x:v>Current scope</x:v>
      </x:c>
      <x:c r="D39" s="28" t="str">
        <x:v>Phone numbers are mandatory and may be shared by multiple users; they are not unique. Use Canadian phone-number formatting.</x:v>
      </x:c>
      <x:c r="E39" s="28" t="str">
        <x:v>FB-017, FB-019, FB-021</x:v>
      </x:c>
      <x:c r="F39" s="28" t="str">
        <x:v>Stories!B21</x:v>
      </x:c>
    </x:row>
    <x:row r="40" ht="52" customHeight="1">
      <x:c r="A40" s="4" t="str">
        <x:v>REQ-037</x:v>
      </x:c>
      <x:c r="B40" s="4" t="str">
        <x:v>1. Roles and account creation</x:v>
      </x:c>
      <x:c r="C40" s="4" t="str">
        <x:v>Current scope</x:v>
      </x:c>
      <x:c r="D40" s="4" t="str">
        <x:v>Phone input and display must use the format +1 506-555-0123: +1, a space, and the remaining digits grouped with hyphens.</x:v>
      </x:c>
      <x:c r="E40" s="4" t="str">
        <x:v>FB-017, FB-019, FB-021</x:v>
      </x:c>
      <x:c r="F40" s="4" t="str">
        <x:v>Stories!B21</x:v>
      </x:c>
    </x:row>
    <x:row r="41" ht="52" customHeight="1">
      <x:c r="A41" s="28" t="str">
        <x:v>REQ-038</x:v>
      </x:c>
      <x:c r="B41" s="28" t="str">
        <x:v>1. Roles and account creation</x:v>
      </x:c>
      <x:c r="C41" s="28" t="str">
        <x:v>Current scope</x:v>
      </x:c>
      <x:c r="D41" s="28" t="str">
        <x:v>Automatically format the phone field while typing, adding the +1 prefix, space, and hyphens so managers only need to enter the digits.</x:v>
      </x:c>
      <x:c r="E41" s="28" t="str">
        <x:v>FB-017, FB-019, FB-021</x:v>
      </x:c>
      <x:c r="F41" s="28" t="str">
        <x:v>Stories!B21</x:v>
      </x:c>
    </x:row>
    <x:row r="42" ht="52" customHeight="1">
      <x:c r="A42" s="4" t="str">
        <x:v>REQ-039</x:v>
      </x:c>
      <x:c r="B42" s="4" t="str">
        <x:v>1. Roles and account creation</x:v>
      </x:c>
      <x:c r="C42" s="4" t="str">
        <x:v>##FUTURE</x:v>
      </x:c>
      <x:c r="D42" s="4" t="str">
        <x:v>##FUTURE Additional roles.</x:v>
      </x:c>
      <x:c r="E42" s="4" t="str">
        <x:v>Deferred — no current item</x:v>
      </x:c>
      <x:c r="F42" s="4" t="str">
        <x:v>Deferred</x:v>
      </x:c>
    </x:row>
    <x:row r="43" ht="52" customHeight="1">
      <x:c r="A43" s="28" t="str">
        <x:v>REQ-040</x:v>
      </x:c>
      <x:c r="B43" s="28" t="str">
        <x:v>1. Roles and account creation</x:v>
      </x:c>
      <x:c r="C43" s="28" t="str">
        <x:v>Current scope</x:v>
      </x:c>
      <x:c r="D43" s="28" t="str">
        <x:v>The Super Admin can list, view, edit, activate, and deactivate both managers and volunteers.</x:v>
      </x:c>
      <x:c r="E43" s="28" t="str">
        <x:v>FB-016–FB-023, FB-025</x:v>
      </x:c>
      <x:c r="F43" s="28" t="str">
        <x:v>Stories!B20</x:v>
      </x:c>
    </x:row>
    <x:row r="44" ht="52" customHeight="1">
      <x:c r="A44" s="4" t="str">
        <x:v>REQ-041</x:v>
      </x:c>
      <x:c r="B44" s="4" t="str">
        <x:v>1. Roles and account creation</x:v>
      </x:c>
      <x:c r="C44" s="4" t="str">
        <x:v>Current scope</x:v>
      </x:c>
      <x:c r="D44" s="4" t="str">
        <x:v>The Super Admin has a combined list of managers and volunteers, with an All / Managers / Volunteers role filter, search by name, username, or email, and an All / Active / Inactive status filter.</x:v>
      </x:c>
      <x:c r="E44" s="4" t="str">
        <x:v>FB-009–FB-015</x:v>
      </x:c>
      <x:c r="F44" s="4" t="str">
        <x:v>Stories!B12</x:v>
      </x:c>
    </x:row>
    <x:row r="45" ht="52" customHeight="1">
      <x:c r="A45" s="28" t="str">
        <x:v>REQ-042</x:v>
      </x:c>
      <x:c r="B45" s="28" t="str">
        <x:v>1. Roles and account creation</x:v>
      </x:c>
      <x:c r="C45" s="28" t="str">
        <x:v>Current scope</x:v>
      </x:c>
      <x:c r="D45" s="28" t="str">
        <x:v>This combined list shows 10 records per page. Search and filters apply to the full list before pagination.</x:v>
      </x:c>
      <x:c r="E45" s="28" t="str">
        <x:v>FB-009–FB-015</x:v>
      </x:c>
      <x:c r="F45" s="28" t="str">
        <x:v>Stories!B12</x:v>
      </x:c>
    </x:row>
    <x:row r="46" ht="52" customHeight="1">
      <x:c r="A46" s="4" t="str">
        <x:v>REQ-043</x:v>
      </x:c>
      <x:c r="B46" s="4" t="str">
        <x:v>1. Roles and account creation</x:v>
      </x:c>
      <x:c r="C46" s="4" t="str">
        <x:v>Current scope</x:v>
      </x:c>
      <x:c r="D46" s="4" t="str">
        <x:v>Inactive managers cannot log in or continue using an existing session. The Super Admin can reactivate them later.</x:v>
      </x:c>
      <x:c r="E46" s="4" t="str">
        <x:v>FB-005, FB-022</x:v>
      </x:c>
      <x:c r="F46" s="4" t="str">
        <x:v>Stories!B8</x:v>
      </x:c>
    </x:row>
    <x:row r="47" ht="52" customHeight="1">
      <x:c r="A47" s="28" t="str">
        <x:v>REQ-044</x:v>
      </x:c>
      <x:c r="B47" s="28" t="str">
        <x:v>1. Roles and account creation</x:v>
      </x:c>
      <x:c r="C47" s="28" t="str">
        <x:v>Current scope</x:v>
      </x:c>
      <x:c r="D47" s="28" t="str">
        <x:v>Deactivating a manager or volunteer requires confirmation explaining that the user will lose access and their existing sessions will end.</x:v>
      </x:c>
      <x:c r="E47" s="28" t="str">
        <x:v>FB-005, FB-022</x:v>
      </x:c>
      <x:c r="F47" s="28" t="str">
        <x:v>Stories!B8</x:v>
      </x:c>
    </x:row>
    <x:row r="48" ht="52" customHeight="1">
      <x:c r="A48" s="4" t="str">
        <x:v>REQ-045</x:v>
      </x:c>
      <x:c r="B48" s="4" t="str">
        <x:v>2. Shared login for all roles</x:v>
      </x:c>
      <x:c r="C48" s="4" t="str">
        <x:v>Current scope</x:v>
      </x:c>
      <x:c r="D48" s="4" t="str">
        <x:v>Super Admin, managers, and volunteers use the same login screen.</x:v>
      </x:c>
      <x:c r="E48" s="4" t="str">
        <x:v>FB-002–FB-008</x:v>
      </x:c>
      <x:c r="F48" s="4" t="str">
        <x:v>Stories!B5</x:v>
      </x:c>
    </x:row>
    <x:row r="49" ht="52" customHeight="1">
      <x:c r="A49" s="28" t="str">
        <x:v>REQ-046</x:v>
      </x:c>
      <x:c r="B49" s="28" t="str">
        <x:v>2. Shared login for all roles</x:v>
      </x:c>
      <x:c r="C49" s="28" t="str">
        <x:v>Current scope</x:v>
      </x:c>
      <x:c r="D49" s="28" t="str">
        <x:v>The system identifies the account and uses its stored role.</x:v>
      </x:c>
      <x:c r="E49" s="28" t="str">
        <x:v>FB-002–FB-008</x:v>
      </x:c>
      <x:c r="F49" s="28" t="str">
        <x:v>Stories!B5</x:v>
      </x:c>
    </x:row>
    <x:row r="50" ht="52" customHeight="1">
      <x:c r="A50" s="4" t="str">
        <x:v>REQ-047</x:v>
      </x:c>
      <x:c r="B50" s="4" t="str">
        <x:v>2. Shared login for all roles</x:v>
      </x:c>
      <x:c r="C50" s="4" t="str">
        <x:v>Current scope</x:v>
      </x:c>
      <x:c r="D50" s="4" t="str">
        <x:v>All three roles can log in using either their username or email in the same login field.</x:v>
      </x:c>
      <x:c r="E50" s="4" t="str">
        <x:v>FB-002–FB-008</x:v>
      </x:c>
      <x:c r="F50" s="4" t="str">
        <x:v>Stories!B5</x:v>
      </x:c>
    </x:row>
    <x:row r="51" ht="52" customHeight="1">
      <x:c r="A51" s="28" t="str">
        <x:v>REQ-048</x:v>
      </x:c>
      <x:c r="B51" s="28" t="str">
        <x:v>2. Shared login for all roles</x:v>
      </x:c>
      <x:c r="C51" s="28" t="str">
        <x:v>##FUTURE</x:v>
      </x:c>
      <x:c r="D51" s="28" t="str">
        <x:v>##FUTURE Self-service Forgot Password recovery.</x:v>
      </x:c>
      <x:c r="E51" s="28" t="str">
        <x:v>Deferred — no current item</x:v>
      </x:c>
      <x:c r="F51" s="28" t="str">
        <x:v>Deferred</x:v>
      </x:c>
    </x:row>
    <x:row r="52" ht="61" customHeight="1">
      <x:c r="A52" s="4" t="str">
        <x:v>REQ-049</x:v>
      </x:c>
      <x:c r="B52" s="4" t="str">
        <x:v>2. Shared login for all roles</x:v>
      </x:c>
      <x:c r="C52" s="4" t="str">
        <x:v>Current scope</x:v>
      </x:c>
      <x:c r="D52" s="4" t="str">
        <x:v>After normal login, managers land on the volunteer list, the Super Admin on the combined user list, and volunteers on their welcome page. Required initial password setup takes priority over these landing pages.</x:v>
      </x:c>
      <x:c r="E52" s="4" t="str">
        <x:v>FB-002–FB-008</x:v>
      </x:c>
      <x:c r="F52" s="4" t="str">
        <x:v>Stories!B5</x:v>
      </x:c>
    </x:row>
    <x:row r="53" ht="52" customHeight="1">
      <x:c r="A53" s="28" t="str">
        <x:v>REQ-050</x:v>
      </x:c>
      <x:c r="B53" s="28" t="str">
        <x:v>3. Basic volunteer data management (initial scope)</x:v>
      </x:c>
      <x:c r="C53" s="28" t="str">
        <x:v>Current scope</x:v>
      </x:c>
      <x:c r="D53" s="28" t="str">
        <x:v>All managers can manage all volunteers, regardless of which manager created the record.</x:v>
      </x:c>
      <x:c r="E53" s="28" t="str">
        <x:v>FB-016–FB-025</x:v>
      </x:c>
      <x:c r="F53" s="28" t="str">
        <x:v>Stories!B11</x:v>
      </x:c>
    </x:row>
    <x:row r="54" ht="52" customHeight="1">
      <x:c r="A54" s="4" t="str">
        <x:v>REQ-051</x:v>
      </x:c>
      <x:c r="B54" s="4" t="str">
        <x:v>3. Basic volunteer data management (initial scope)</x:v>
      </x:c>
      <x:c r="C54" s="4" t="str">
        <x:v>Current scope</x:v>
      </x:c>
      <x:c r="D54" s="4" t="str">
        <x:v>Managers can create, view, and update volunteer records, and mark volunteers active or inactive. Deletion is excluded from current scope.</x:v>
      </x:c>
      <x:c r="E54" s="4" t="str">
        <x:v>FB-016–FB-025</x:v>
      </x:c>
      <x:c r="F54" s="4" t="str">
        <x:v>Stories!B11</x:v>
      </x:c>
    </x:row>
    <x:row r="55" ht="52" customHeight="1">
      <x:c r="A55" s="28" t="str">
        <x:v>REQ-052</x:v>
      </x:c>
      <x:c r="B55" s="28" t="str">
        <x:v>3. Basic volunteer data management (initial scope)</x:v>
      </x:c>
      <x:c r="C55" s="28" t="str">
        <x:v>Current scope</x:v>
      </x:c>
      <x:c r="D55" s="28" t="str">
        <x:v>Inactive volunteers cannot log in or continue using an existing session. Their records remain available to managers, and any manager can reactivate them later.</x:v>
      </x:c>
      <x:c r="E55" s="28" t="str">
        <x:v>FB-005, FB-022</x:v>
      </x:c>
      <x:c r="F55" s="28" t="str">
        <x:v>Stories!B8</x:v>
      </x:c>
    </x:row>
    <x:row r="56" ht="52" customHeight="1">
      <x:c r="A56" s="4" t="str">
        <x:v>REQ-053</x:v>
      </x:c>
      <x:c r="B56" s="4" t="str">
        <x:v>3. Basic volunteer data management (initial scope)</x:v>
      </x:c>
      <x:c r="C56" s="4" t="str">
        <x:v>##FUTURE</x:v>
      </x:c>
      <x:c r="D56" s="4" t="str">
        <x:v>##FUTURE Volunteer deletion. Its behaviour, including whether records are preserved or permanently removed, has not been decided.</x:v>
      </x:c>
      <x:c r="E56" s="4" t="str">
        <x:v>Deferred — no current item</x:v>
      </x:c>
      <x:c r="F56" s="4" t="str">
        <x:v>Deferred</x:v>
      </x:c>
    </x:row>
    <x:row r="57" ht="52" customHeight="1">
      <x:c r="A57" s="28" t="str">
        <x:v>REQ-054</x:v>
      </x:c>
      <x:c r="B57" s="28" t="str">
        <x:v>3. Basic volunteer data management (initial scope)</x:v>
      </x:c>
      <x:c r="C57" s="28" t="str">
        <x:v>Current scope</x:v>
      </x:c>
      <x:c r="D57" s="28" t="str">
        <x:v>Required volunteer fields: first name, last name, username, email, phone, and status. All six fields are mandatory.</x:v>
      </x:c>
      <x:c r="E57" s="28" t="str">
        <x:v>FB-018–FB-021</x:v>
      </x:c>
      <x:c r="F57" s="28" t="str">
        <x:v>Stories!B22</x:v>
      </x:c>
    </x:row>
    <x:row r="58" ht="52" customHeight="1">
      <x:c r="A58" s="4" t="str">
        <x:v>REQ-055</x:v>
      </x:c>
      <x:c r="B58" s="4" t="str">
        <x:v>3. Basic volunteer data management (initial scope)</x:v>
      </x:c>
      <x:c r="C58" s="4" t="str">
        <x:v>Current scope</x:v>
      </x:c>
      <x:c r="D58" s="4" t="str">
        <x:v>The system generates the username; the manager does not need to enter it when creating a volunteer.</x:v>
      </x:c>
      <x:c r="E58" s="4" t="str">
        <x:v>FB-018–FB-021</x:v>
      </x:c>
      <x:c r="F58" s="4" t="str">
        <x:v>Stories!B22</x:v>
      </x:c>
    </x:row>
    <x:row r="59" ht="76" customHeight="1">
      <x:c r="A59" s="28" t="str">
        <x:v>REQ-056</x:v>
      </x:c>
      <x:c r="B59" s="28" t="str">
        <x:v>3. Basic volunteer data management (initial scope)</x:v>
      </x:c>
      <x:c r="C59" s="28" t="str">
        <x:v>Current scope</x:v>
      </x:c>
      <x:c r="D59" s="28" t="str">
        <x:v>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x:v>
      </x:c>
      <x:c r="E59" s="28" t="str">
        <x:v>FB-018–FB-021</x:v>
      </x:c>
      <x:c r="F59" s="28" t="str">
        <x:v>Stories!B22</x:v>
      </x:c>
    </x:row>
    <x:row r="60" ht="52" customHeight="1">
      <x:c r="A60" s="4" t="str">
        <x:v>REQ-057</x:v>
      </x:c>
      <x:c r="B60" s="4" t="str">
        <x:v>3. Basic volunteer data management (initial scope)</x:v>
      </x:c>
      <x:c r="C60" s="4" t="str">
        <x:v>Current scope</x:v>
      </x:c>
      <x:c r="D60" s="4" t="str">
        <x:v>Updating a volunteer's first or last name also regenerates their username from the updated name, applying the same uniqueness and numbered-suffix rules. This includes correcting a mistyped name.</x:v>
      </x:c>
      <x:c r="E60" s="4" t="str">
        <x:v>FB-018–FB-021</x:v>
      </x:c>
      <x:c r="F60" s="4" t="str">
        <x:v>Stories!B22</x:v>
      </x:c>
    </x:row>
    <x:row r="61" ht="52" customHeight="1">
      <x:c r="A61" s="28" t="str">
        <x:v>REQ-058</x:v>
      </x:c>
      <x:c r="B61" s="28" t="str">
        <x:v>3. Basic volunteer data management (initial scope)</x:v>
      </x:c>
      <x:c r="C61" s="28" t="str">
        <x:v>Current scope</x:v>
      </x:c>
      <x:c r="D61" s="28" t="str">
        <x:v>After saving a name change, show the resulting username in the confirmation message to the manager or Super Admin making the change.</x:v>
      </x:c>
      <x:c r="E61" s="28" t="str">
        <x:v>FB-018–FB-021</x:v>
      </x:c>
      <x:c r="F61" s="28" t="str">
        <x:v>Stories!B22</x:v>
      </x:c>
    </x:row>
    <x:row r="62" ht="52" customHeight="1">
      <x:c r="A62" s="4" t="str">
        <x:v>REQ-059</x:v>
      </x:c>
      <x:c r="B62" s="4" t="str">
        <x:v>3. Basic volunteer data management (initial scope)</x:v>
      </x:c>
      <x:c r="C62" s="4" t="str">
        <x:v>Current scope</x:v>
      </x:c>
      <x:c r="D62" s="4" t="str">
        <x:v>New volunteers default to Active. Managers can choose Inactive during creation.</x:v>
      </x:c>
      <x:c r="E62" s="4" t="str">
        <x:v>FB-016–FB-025</x:v>
      </x:c>
      <x:c r="F62" s="4" t="str">
        <x:v>Stories!B11</x:v>
      </x:c>
    </x:row>
    <x:row r="63" ht="52" customHeight="1">
      <x:c r="A63" s="28" t="str">
        <x:v>REQ-060</x:v>
      </x:c>
      <x:c r="B63" s="28" t="str">
        <x:v>3. Basic volunteer data management (initial scope)</x:v>
      </x:c>
      <x:c r="C63" s="28" t="str">
        <x:v>Current scope</x:v>
      </x:c>
      <x:c r="D63" s="28" t="str">
        <x:v>The volunteer list includes search by name, username, or email, and an All / Active / Inactive status filter in the current scope.</x:v>
      </x:c>
      <x:c r="E63" s="28" t="str">
        <x:v>FB-018–FB-021</x:v>
      </x:c>
      <x:c r="F63" s="28" t="str">
        <x:v>Stories!B22</x:v>
      </x:c>
    </x:row>
    <x:row r="64" ht="52" customHeight="1">
      <x:c r="A64" s="4" t="str">
        <x:v>REQ-061</x:v>
      </x:c>
      <x:c r="B64" s="4" t="str">
        <x:v>3. Basic volunteer data management (initial scope)</x:v>
      </x:c>
      <x:c r="C64" s="4" t="str">
        <x:v>Current scope</x:v>
      </x:c>
      <x:c r="D64" s="4" t="str">
        <x:v>Include pagination with 10 volunteers per page and Previous / Next controls. Search and status filters apply to the full list before it is divided into pages.</x:v>
      </x:c>
      <x:c r="E64" s="4" t="str">
        <x:v>FB-009–FB-015</x:v>
      </x:c>
      <x:c r="F64" s="4" t="str">
        <x:v>Stories!B12</x:v>
      </x:c>
    </x:row>
    <x:row r="65" ht="61" customHeight="1">
      <x:c r="A65" s="28" t="str">
        <x:v>REQ-062</x:v>
      </x:c>
      <x:c r="B65" s="28" t="str">
        <x:v>3. Basic volunteer data management (initial scope)</x:v>
      </x:c>
      <x:c r="C65" s="28" t="str">
        <x:v>Current scope</x:v>
      </x:c>
      <x:c r="D65" s="28" t="str">
        <x:v>Preserve actual first and last names as entered. When generating usernames only, remove spaces, hyphens, and apostrophes from each name part before joining them with a dot. For example, Mary Jane O'Connor becomes maryjane.oconnor, subject to uniqueness suffixes.</x:v>
      </x:c>
      <x:c r="E65" s="28" t="str">
        <x:v>FB-018–FB-021</x:v>
      </x:c>
      <x:c r="F65" s="28" t="str">
        <x:v>Stories!B22</x:v>
      </x:c>
    </x:row>
    <x:row r="66" ht="52" customHeight="1">
      <x:c r="A66" s="4" t="str">
        <x:v>REQ-063</x:v>
      </x:c>
      <x:c r="B66" s="4" t="str">
        <x:v>3. Basic volunteer data management (initial scope)</x:v>
      </x:c>
      <x:c r="C66" s="4" t="str">
        <x:v>Current scope</x:v>
      </x:c>
      <x:c r="D66" s="4" t="str">
        <x:v>Convert accented letters to plain letters in generated usernames only. Preserve accents in actual names. For example, Émilie Côté becomes emilie.cote, subject to uniqueness suffixes.</x:v>
      </x:c>
      <x:c r="E66" s="4" t="str">
        <x:v>FB-018–FB-021</x:v>
      </x:c>
      <x:c r="F66" s="4" t="str">
        <x:v>Stories!B22</x:v>
      </x:c>
    </x:row>
    <x:row r="67" ht="91" customHeight="1">
      <x:c r="A67" s="28" t="str">
        <x:v>REQ-064</x:v>
      </x:c>
      <x:c r="B67" s="28" t="str">
        <x:v>3. Basic volunteer data management (initial scope)</x:v>
      </x:c>
      <x:c r="C67" s="28" t="str">
        <x:v>Current scope</x:v>
      </x:c>
      <x:c r="D67" s="28" t="str">
        <x:v>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v>
      </x:c>
      <x:c r="E67" s="28" t="str">
        <x:v>FB-018–FB-021</x:v>
      </x:c>
      <x:c r="F67" s="28" t="str">
        <x:v>Stories!B22</x:v>
      </x:c>
    </x:row>
    <x:row r="68" ht="52" customHeight="1">
      <x:c r="A68" s="4" t="str">
        <x:v>REQ-065</x:v>
      </x:c>
      <x:c r="B68" s="4" t="str">
        <x:v>3. Basic volunteer data management (initial scope)</x:v>
      </x:c>
      <x:c r="C68" s="4" t="str">
        <x:v>Current scope</x:v>
      </x:c>
      <x:c r="D68" s="4" t="str">
        <x:v>Manager and volunteer first/last names are required, each 1–100 characters after trimming leading/trailing spaces. Preserve internal spaces, supported punctuation, and accents in actual stored names.</x:v>
      </x:c>
      <x:c r="E68" s="4" t="str">
        <x:v>FB-018–FB-021</x:v>
      </x:c>
      <x:c r="F68" s="4" t="str">
        <x:v>Stories!B22</x:v>
      </x:c>
    </x:row>
    <x:row r="69" ht="52" customHeight="1">
      <x:c r="A69" s="28" t="str">
        <x:v>REQ-066</x:v>
      </x:c>
      <x:c r="B69" s="28" t="str">
        <x:v>3. Basic volunteer data management (initial scope)</x:v>
      </x:c>
      <x:c r="C69" s="28" t="str">
        <x:v>Current scope</x:v>
      </x:c>
      <x:c r="D69" s="28" t="str">
        <x:v>Account email is required, must have a valid email format, and may contain at most 254 characters. Email uniqueness ignores capitalization across all users and roles.</x:v>
      </x:c>
      <x:c r="E69" s="28" t="str">
        <x:v>FB-016–FB-025</x:v>
      </x:c>
      <x:c r="F69" s="28" t="str">
        <x:v>Stories!B11</x:v>
      </x:c>
    </x:row>
    <x:row r="70" ht="52" customHeight="1">
      <x:c r="A70" s="4" t="str">
        <x:v>REQ-067</x:v>
      </x:c>
      <x:c r="B70" s="4" t="str">
        <x:v>3. Basic volunteer data management (initial scope)</x:v>
      </x:c>
      <x:c r="C70" s="4" t="str">
        <x:v>Current scope</x:v>
      </x:c>
      <x:c r="D70" s="4" t="str">
        <x:v>Account phone is required: 10 digits after +1, formatted +1 506-555-0123. Account phone numbers may be shared, unlike household phone numbers.</x:v>
      </x:c>
      <x:c r="E70" s="4" t="str">
        <x:v>FB-016–FB-025</x:v>
      </x:c>
      <x:c r="F70" s="4" t="str">
        <x:v>Stories!B11</x:v>
      </x:c>
    </x:row>
    <x:row r="71" ht="52" customHeight="1">
      <x:c r="A71" s="28" t="str">
        <x:v>REQ-068</x:v>
      </x:c>
      <x:c r="B71" s="28" t="str">
        <x:v>3. Basic volunteer data management (initial scope)</x:v>
      </x:c>
      <x:c r="C71" s="28" t="str">
        <x:v>Current scope</x:v>
      </x:c>
      <x:c r="D71" s="28" t="str">
        <x:v>Invalid account input shows a field-specific error and retains other entered values so the user can correct the form.</x:v>
      </x:c>
      <x:c r="E71" s="28" t="str">
        <x:v>FB-016–FB-025</x:v>
      </x:c>
      <x:c r="F71" s="28" t="str">
        <x:v>Stories!B11</x:v>
      </x:c>
    </x:row>
    <x:row r="72" ht="52" customHeight="1">
      <x:c r="A72" s="4" t="str">
        <x:v>REQ-069</x:v>
      </x:c>
      <x:c r="B72" s="4" t="str">
        <x:v>3. Basic volunteer data management (initial scope)</x:v>
      </x:c>
      <x:c r="C72" s="4" t="str">
        <x:v>##FUTURE</x:v>
      </x:c>
      <x:c r="D72" s="4" t="str">
        <x:v>##FUTURE The broader volunteer module; its additional features have not yet been defined.</x:v>
      </x:c>
      <x:c r="E72" s="4" t="str">
        <x:v>Deferred — no current item</x:v>
      </x:c>
      <x:c r="F72" s="4" t="str">
        <x:v>Deferred</x:v>
      </x:c>
    </x:row>
    <x:row r="73" ht="52" customHeight="1">
      <x:c r="A73" s="28" t="str">
        <x:v>REQ-070</x:v>
      </x:c>
      <x:c r="B73" s="28" t="str">
        <x:v>4. Volunteer access in the current version</x:v>
      </x:c>
      <x:c r="C73" s="28" t="str">
        <x:v>Current scope</x:v>
      </x:c>
      <x:c r="D73" s="28" t="str">
        <x:v>After completing initial password setup and logging in again, volunteers see a simple welcome page with Change Password and Log Out options.</x:v>
      </x:c>
      <x:c r="E73" s="28" t="str">
        <x:v>FB-008, FB-024</x:v>
      </x:c>
      <x:c r="F73" s="28" t="str">
        <x:v>Stories!B11</x:v>
      </x:c>
    </x:row>
    <x:row r="74" ht="52" customHeight="1">
      <x:c r="A74" s="4" t="str">
        <x:v>REQ-071</x:v>
      </x:c>
      <x:c r="B74" s="4" t="str">
        <x:v>4. Volunteer access in the current version</x:v>
      </x:c>
      <x:c r="C74" s="4" t="str">
        <x:v>Current scope</x:v>
      </x:c>
      <x:c r="D74" s="4" t="str">
        <x:v>Volunteers cannot access other users' records.</x:v>
      </x:c>
      <x:c r="E74" s="4" t="str">
        <x:v>FB-008, FB-015, FB-037–FB-066</x:v>
      </x:c>
      <x:c r="F74" s="4" t="str">
        <x:v>Stories!B18</x:v>
      </x:c>
    </x:row>
    <x:row r="75" ht="76" customHeight="1">
      <x:c r="A75" s="28" t="str">
        <x:v>REQ-072</x:v>
      </x:c>
      <x:c r="B75" s="28" t="str">
        <x:v>4. Volunteer access in the current version</x:v>
      </x:c>
      <x:c r="C75" s="28" t="str">
        <x:v>Current scope</x:v>
      </x:c>
      <x:c r="D75" s="28" t="str">
        <x:v>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v>
      </x:c>
      <x:c r="E75" s="28" t="str">
        <x:v>FB-008, FB-015, FB-037–FB-066</x:v>
      </x:c>
      <x:c r="F75" s="28" t="str">
        <x:v>Stories!B18</x:v>
      </x:c>
    </x:row>
    <x:row r="76" ht="52" customHeight="1">
      <x:c r="A76" s="4" t="str">
        <x:v>REQ-073</x:v>
      </x:c>
      <x:c r="B76" s="4" t="str">
        <x:v>4. Volunteer access in the current version</x:v>
      </x:c>
      <x:c r="C76" s="4" t="str">
        <x:v>##FUTURE</x:v>
      </x:c>
      <x:c r="D76" s="4" t="str">
        <x:v>Broader volunteer functionality remains ##FUTURE.</x:v>
      </x:c>
      <x:c r="E76" s="4" t="str">
        <x:v>Deferred — no current item</x:v>
      </x:c>
      <x:c r="F76" s="4" t="str">
        <x:v>Deferred</x:v>
      </x:c>
    </x:row>
    <x:row r="77" ht="52" customHeight="1">
      <x:c r="A77" s="28" t="str">
        <x:v>REQ-074</x:v>
      </x:c>
      <x:c r="B77" s="28" t="str">
        <x:v>5. Initial password setup and later password changes</x:v>
      </x:c>
      <x:c r="C77" s="28" t="str">
        <x:v>Current scope</x:v>
      </x:c>
      <x:c r="D77" s="28" t="str">
        <x:v>A common initial password is supplied through application configuration.</x:v>
      </x:c>
      <x:c r="E77" s="28" t="str">
        <x:v>FB-004–FB-007, FB-019, FB-023</x:v>
      </x:c>
      <x:c r="F77" s="28" t="str">
        <x:v>Stories!B7</x:v>
      </x:c>
    </x:row>
    <x:row r="78" ht="52" customHeight="1">
      <x:c r="A78" s="4" t="str">
        <x:v>REQ-075</x:v>
      </x:c>
      <x:c r="B78" s="4" t="str">
        <x:v>5. Initial password setup and later password changes</x:v>
      </x:c>
      <x:c r="C78" s="4" t="str">
        <x:v>Current scope</x:v>
      </x:c>
      <x:c r="D78" s="4" t="str">
        <x:v>New manager and volunteer accounts created by an authorized user start with this initial password and require a personal password to be set.</x:v>
      </x:c>
      <x:c r="E78" s="4" t="str">
        <x:v>FB-004–FB-007, FB-019, FB-023</x:v>
      </x:c>
      <x:c r="F78" s="4" t="str">
        <x:v>Stories!B7</x:v>
      </x:c>
    </x:row>
    <x:row r="79" ht="52" customHeight="1">
      <x:c r="A79" s="28" t="str">
        <x:v>REQ-076</x:v>
      </x:c>
      <x:c r="B79" s="28" t="str">
        <x:v>5. Initial password setup and later password changes</x:v>
      </x:c>
      <x:c r="C79" s="28" t="str">
        <x:v>Current scope</x:v>
      </x:c>
      <x:c r="D79" s="28" t="str">
        <x:v>The new user signs in with their username or email and the initial password. They are directed to a required password-change screen.</x:v>
      </x:c>
      <x:c r="E79" s="28" t="str">
        <x:v>FB-004–FB-007, FB-019, FB-023</x:v>
      </x:c>
      <x:c r="F79" s="28" t="str">
        <x:v>Stories!B7</x:v>
      </x:c>
    </x:row>
    <x:row r="80" ht="52" customHeight="1">
      <x:c r="A80" s="4" t="str">
        <x:v>REQ-077</x:v>
      </x:c>
      <x:c r="B80" s="4" t="str">
        <x:v>5. Initial password setup and later password changes</x:v>
      </x:c>
      <x:c r="C80" s="4" t="str">
        <x:v>Current scope</x:v>
      </x:c>
      <x:c r="D80" s="4" t="str">
        <x:v>Until this setup is completed, the account cannot access normal application features. Inactive accounts remain blocked from login.</x:v>
      </x:c>
      <x:c r="E80" s="4" t="str">
        <x:v>FB-004–FB-007, FB-019, FB-023</x:v>
      </x:c>
      <x:c r="F80" s="4" t="str">
        <x:v>Stories!B7</x:v>
      </x:c>
    </x:row>
    <x:row r="81" ht="52" customHeight="1">
      <x:c r="A81" s="28" t="str">
        <x:v>REQ-078</x:v>
      </x:c>
      <x:c r="B81" s="28" t="str">
        <x:v>5. Initial password setup and later password changes</x:v>
      </x:c>
      <x:c r="C81" s="28" t="str">
        <x:v>Current scope</x:v>
      </x:c>
      <x:c r="D81" s="28" t="str">
        <x:v>After successfully setting a personal password, the new user is logged out and redirected to the login screen. They must sign in again using their new password.</x:v>
      </x:c>
      <x:c r="E81" s="28" t="str">
        <x:v>FB-004–FB-007, FB-019, FB-023</x:v>
      </x:c>
      <x:c r="F81" s="28" t="str">
        <x:v>Stories!B7</x:v>
      </x:c>
    </x:row>
    <x:row r="82" ht="52" customHeight="1">
      <x:c r="A82" s="4" t="str">
        <x:v>REQ-079</x:v>
      </x:c>
      <x:c r="B82" s="4" t="str">
        <x:v>5. Initial password setup and later password changes</x:v>
      </x:c>
      <x:c r="C82" s="4" t="str">
        <x:v>Current scope</x:v>
      </x:c>
      <x:c r="D82" s="4" t="str">
        <x:v>The common initial password is only for initial setup. Once the personal password is saved, the initial password no longer works for that account and must not be selectable as a personal password.</x:v>
      </x:c>
      <x:c r="E82" s="4" t="str">
        <x:v>FB-004–FB-007, FB-019, FB-023</x:v>
      </x:c>
      <x:c r="F82" s="4" t="str">
        <x:v>Stories!B7</x:v>
      </x:c>
    </x:row>
    <x:row r="83" ht="61" customHeight="1">
      <x:c r="A83" s="28" t="str">
        <x:v>REQ-080</x:v>
      </x:c>
      <x:c r="B83" s="28" t="str">
        <x:v>5. Initial password setup and later password changes</x:v>
      </x:c>
      <x:c r="C83" s="28" t="str">
        <x:v>Current scope</x:v>
      </x:c>
      <x:c r="D83" s="28" t="str">
        <x:v>Exception: a manager can explicitly reset a volunteer's forgotten password to the configured common password. This starts a new required password-setup cycle; the volunteer must choose a personal password again, then be logged out and sign in with that password.</x:v>
      </x:c>
      <x:c r="E83" s="28" t="str">
        <x:v>FB-023</x:v>
      </x:c>
      <x:c r="F83" s="28" t="str">
        <x:v>Stories!B27</x:v>
      </x:c>
    </x:row>
    <x:row r="84" ht="52" customHeight="1">
      <x:c r="A84" s="4" t="str">
        <x:v>REQ-081</x:v>
      </x:c>
      <x:c r="B84" s="4" t="str">
        <x:v>5. Initial password setup and later password changes</x:v>
      </x:c>
      <x:c r="C84" s="4" t="str">
        <x:v>Current scope</x:v>
      </x:c>
      <x:c r="D84" s="4" t="str">
        <x:v>The common password becomes valid again only through this explicit reset, not as an automatic fallback. The volunteer's old personal password stops working when the reset occurs.</x:v>
      </x:c>
      <x:c r="E84" s="4" t="str">
        <x:v>FB-023</x:v>
      </x:c>
      <x:c r="F84" s="4" t="str">
        <x:v>Stories!B27</x:v>
      </x:c>
    </x:row>
    <x:row r="85" ht="52" customHeight="1">
      <x:c r="A85" s="28" t="str">
        <x:v>REQ-082</x:v>
      </x:c>
      <x:c r="B85" s="28" t="str">
        <x:v>5. Initial password setup and later password changes</x:v>
      </x:c>
      <x:c r="C85" s="28" t="str">
        <x:v>Current scope</x:v>
      </x:c>
      <x:c r="D85" s="28" t="str">
        <x:v>Managers who forget their password ask the Super Admin to reset it. The reset uses the same configured common password and required password-setup cycle as volunteer resets.</x:v>
      </x:c>
      <x:c r="E85" s="28" t="str">
        <x:v>FB-023</x:v>
      </x:c>
      <x:c r="F85" s="28" t="str">
        <x:v>Stories!B27</x:v>
      </x:c>
    </x:row>
    <x:row r="86" ht="52" customHeight="1">
      <x:c r="A86" s="4" t="str">
        <x:v>REQ-083</x:v>
      </x:c>
      <x:c r="B86" s="4" t="str">
        <x:v>5. Initial password setup and later password changes</x:v>
      </x:c>
      <x:c r="C86" s="4" t="str">
        <x:v>Current scope</x:v>
      </x:c>
      <x:c r="D86" s="4" t="str">
        <x:v>Administrative password resets immediately end all existing sessions for the affected account, including both volunteers and managers.</x:v>
      </x:c>
      <x:c r="E86" s="4" t="str">
        <x:v>FB-023</x:v>
      </x:c>
      <x:c r="F86" s="4" t="str">
        <x:v>Stories!B27</x:v>
      </x:c>
    </x:row>
    <x:row r="87" ht="52" customHeight="1">
      <x:c r="A87" s="28" t="str">
        <x:v>REQ-084</x:v>
      </x:c>
      <x:c r="B87" s="28" t="str">
        <x:v>5. Initial password setup and later password changes</x:v>
      </x:c>
      <x:c r="C87" s="28" t="str">
        <x:v>Current scope</x:v>
      </x:c>
      <x:c r="D87" s="28" t="str">
        <x:v>The Super Admin can reset passwords for both managers and volunteers, using the same reset and required setup process.</x:v>
      </x:c>
      <x:c r="E87" s="28" t="str">
        <x:v>FB-023</x:v>
      </x:c>
      <x:c r="F87" s="28" t="str">
        <x:v>Stories!B27</x:v>
      </x:c>
    </x:row>
    <x:row r="88" ht="52" customHeight="1">
      <x:c r="A88" s="4" t="str">
        <x:v>REQ-085</x:v>
      </x:c>
      <x:c r="B88" s="4" t="str">
        <x:v>5. Initial password setup and later password changes</x:v>
      </x:c>
      <x:c r="C88" s="4" t="str">
        <x:v>Current scope</x:v>
      </x:c>
      <x:c r="D88" s="4" t="str">
        <x:v>Managers and the Super Admin must confirm before a password reset takes effect. The confirmation explains that all of the affected user's sessions will end and they must set a new personal password.</x:v>
      </x:c>
      <x:c r="E88" s="4" t="str">
        <x:v>FB-023</x:v>
      </x:c>
      <x:c r="F88" s="4" t="str">
        <x:v>Stories!B27</x:v>
      </x:c>
    </x:row>
    <x:row r="89" ht="52" customHeight="1">
      <x:c r="A89" s="28" t="str">
        <x:v>REQ-086</x:v>
      </x:c>
      <x:c r="B89" s="28" t="str">
        <x:v>5. Initial password setup and later password changes</x:v>
      </x:c>
      <x:c r="C89" s="28" t="str">
        <x:v>Current scope</x:v>
      </x:c>
      <x:c r="D89" s="28" t="str">
        <x:v>Password resets preserve the account's Active/Inactive status. An inactive account remains blocked from login until separately reactivated by an authorized user.</x:v>
      </x:c>
      <x:c r="E89" s="28" t="str">
        <x:v>FB-023</x:v>
      </x:c>
      <x:c r="F89" s="28" t="str">
        <x:v>Stories!B27</x:v>
      </x:c>
    </x:row>
    <x:row r="90" ht="76" customHeight="1">
      <x:c r="A90" s="4" t="str">
        <x:v>REQ-087</x:v>
      </x:c>
      <x:c r="B90" s="4" t="str">
        <x:v>5. Initial password setup and later password changes</x:v>
      </x:c>
      <x:c r="C90" s="4" t="str">
        <x:v>Current scope</x:v>
      </x:c>
      <x:c r="D90" s="4" t="str">
        <x:v>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v>
      </x:c>
      <x:c r="E90" s="4" t="str">
        <x:v>FB-070</x:v>
      </x:c>
      <x:c r="F90" s="4" t="str">
        <x:v>Stories!B73</x:v>
      </x:c>
    </x:row>
    <x:row r="91" ht="52" customHeight="1">
      <x:c r="A91" s="28" t="str">
        <x:v>REQ-088</x:v>
      </x:c>
      <x:c r="B91" s="28" t="str">
        <x:v>5. Initial password setup and later password changes</x:v>
      </x:c>
      <x:c r="C91" s="28" t="str">
        <x:v>Current scope</x:v>
      </x:c>
      <x:c r="D91" s="28" t="str">
        <x:v>Implement Super Admin recovery last in the implementation list, as requested. It remains in the agreed first-version scope.</x:v>
      </x:c>
      <x:c r="E91" s="28" t="str">
        <x:v>FB-070</x:v>
      </x:c>
      <x:c r="F91" s="28" t="str">
        <x:v>Stories!B73</x:v>
      </x:c>
    </x:row>
    <x:row r="92" ht="52" customHeight="1">
      <x:c r="A92" s="4" t="str">
        <x:v>REQ-089</x:v>
      </x:c>
      <x:c r="B92" s="4" t="str">
        <x:v>5. Initial password setup and later password changes</x:v>
      </x:c>
      <x:c r="C92" s="4" t="str">
        <x:v>Current scope</x:v>
      </x:c>
      <x:c r="D92" s="4" t="str">
        <x:v>All users can also change their own password later.</x:v>
      </x:c>
      <x:c r="E92" s="4" t="str">
        <x:v>FB-024</x:v>
      </x:c>
      <x:c r="F92" s="4" t="str">
        <x:v>Stories!B11</x:v>
      </x:c>
    </x:row>
    <x:row r="93" ht="52" customHeight="1">
      <x:c r="A93" s="28" t="str">
        <x:v>REQ-090</x:v>
      </x:c>
      <x:c r="B93" s="28" t="str">
        <x:v>5. Initial password setup and later password changes</x:v>
      </x:c>
      <x:c r="C93" s="28" t="str">
        <x:v>Current scope</x:v>
      </x:c>
      <x:c r="D93" s="28" t="str">
        <x:v>For password changes after initial setup, all users must enter their current password and enter the new password twice. The current password must be correct and both new entries must match.</x:v>
      </x:c>
      <x:c r="E93" s="28" t="str">
        <x:v>FB-024</x:v>
      </x:c>
      <x:c r="F93" s="28" t="str">
        <x:v>Stories!B11</x:v>
      </x:c>
    </x:row>
    <x:row r="94" ht="52" customHeight="1">
      <x:c r="A94" s="4" t="str">
        <x:v>REQ-091</x:v>
      </x:c>
      <x:c r="B94" s="4" t="str">
        <x:v>5. Initial password setup and later password changes</x:v>
      </x:c>
      <x:c r="C94" s="4" t="str">
        <x:v>Current scope</x:v>
      </x:c>
      <x:c r="D94" s="4" t="str">
        <x:v>After a successful password change, log the user out of all sessions, including the current session, and redirect to the login screen. They must sign in with their new password.</x:v>
      </x:c>
      <x:c r="E94" s="4" t="str">
        <x:v>FB-024</x:v>
      </x:c>
      <x:c r="F94" s="4" t="str">
        <x:v>Stories!B11</x:v>
      </x:c>
    </x:row>
    <x:row r="95" ht="52" customHeight="1">
      <x:c r="A95" s="28" t="str">
        <x:v>REQ-092</x:v>
      </x:c>
      <x:c r="B95" s="28" t="str">
        <x:v>5. Initial password setup and later password changes</x:v>
      </x:c>
      <x:c r="C95" s="28" t="str">
        <x:v>Current scope</x:v>
      </x:c>
      <x:c r="D95" s="28" t="str">
        <x:v>The initial password is not an alternative or permanent fallback login password. Changing configuration must not reset existing users' personal passwords.</x:v>
      </x:c>
      <x:c r="E95" s="28" t="str">
        <x:v>FB-004–FB-007, FB-019, FB-023</x:v>
      </x:c>
      <x:c r="F95" s="28" t="str">
        <x:v>Stories!B7</x:v>
      </x:c>
    </x:row>
    <x:row r="96" ht="61" customHeight="1">
      <x:c r="A96" s="4" t="str">
        <x:v>REQ-093</x:v>
      </x:c>
      <x:c r="B96" s="4" t="str">
        <x:v>5. Initial password setup and later password changes</x:v>
      </x:c>
      <x:c r="C96" s="4" t="str">
        <x:v>Current scope</x:v>
      </x:c>
      <x:c r="D96" s="4" t="str">
        <x:v>Personal passwords must contain 12–128 characters. Spaces are allowed; there is no mandatory uppercase, number, or symbol mixture. A new personal password must differ from the current password and the configured common initial password. Require matching password confirmation.</x:v>
      </x:c>
      <x:c r="E96" s="4" t="str">
        <x:v>FB-007, FB-024, FB-070</x:v>
      </x:c>
      <x:c r="F96" s="4" t="str">
        <x:v>Stories!B10</x:v>
      </x:c>
    </x:row>
    <x:row r="97" ht="52" customHeight="1">
      <x:c r="A97" s="28" t="str">
        <x:v>REQ-094</x:v>
      </x:c>
      <x:c r="B97" s="28" t="str">
        <x:v>5. Initial password setup and later password changes</x:v>
      </x:c>
      <x:c r="C97" s="28" t="str">
        <x:v>##FUTURE</x:v>
      </x:c>
      <x:c r="D97" s="28" t="str">
        <x:v>##FUTURE Email links allowing new users to set their own password.</x:v>
      </x:c>
      <x:c r="E97" s="28" t="str">
        <x:v>Deferred — no current item</x:v>
      </x:c>
      <x:c r="F97" s="28" t="str">
        <x:v>Deferred</x:v>
      </x:c>
    </x:row>
    <x:row r="98" ht="91" customHeight="1">
      <x:c r="A98" s="4" t="str">
        <x:v>REQ-095</x:v>
      </x:c>
      <x:c r="B98" s="4" t="str">
        <x:v>Inventory management — first version, planning complete</x:v>
      </x:c>
      <x:c r="C98" s="4" t="str">
        <x:v>Current scope</x:v>
      </x:c>
      <x:c r="D98" s="4" t="str">
        <x:v>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v>
      </x:c>
      <x:c r="E98" s="4" t="str">
        <x:v>FB-032–FB-037, FB-047–FB-053</x:v>
      </x:c>
      <x:c r="F98" s="4" t="str">
        <x:v>Stories!B35</x:v>
      </x:c>
    </x:row>
    <x:row r="99" ht="52" customHeight="1">
      <x:c r="A99" s="28" t="str">
        <x:v>REQ-096</x:v>
      </x:c>
      <x:c r="B99" s="28" t="str">
        <x:v>Inventory management — first version, planning complete</x:v>
      </x:c>
      <x:c r="C99" s="28" t="str">
        <x:v>Current scope</x:v>
      </x:c>
      <x:c r="D99" s="28" t="str">
        <x:v>Track individual products.</x:v>
      </x:c>
      <x:c r="E99" s="28" t="str">
        <x:v>FB-032–FB-037, FB-047–FB-053</x:v>
      </x:c>
      <x:c r="F99" s="28" t="str">
        <x:v>Stories!B35</x:v>
      </x:c>
    </x:row>
    <x:row r="100" ht="76" customHeight="1">
      <x:c r="A100" s="4" t="str">
        <x:v>REQ-097</x:v>
      </x:c>
      <x:c r="B100" s="4" t="str">
        <x:v>Inventory management — first version, planning complete</x:v>
      </x:c>
      <x:c r="C100" s="4" t="str">
        <x:v>Current scope</x:v>
      </x:c>
      <x:c r="D100" s="4" t="str">
        <x:v>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x:v>
      </x:c>
      <x:c r="E100" s="4" t="str">
        <x:v>FB-035</x:v>
      </x:c>
      <x:c r="F100" s="4" t="str">
        <x:v>Stories!B38</x:v>
      </x:c>
    </x:row>
    <x:row r="101" ht="52" customHeight="1">
      <x:c r="A101" s="28" t="str">
        <x:v>REQ-098</x:v>
      </x:c>
      <x:c r="B101" s="28" t="str">
        <x:v>Inventory management — first version, planning complete</x:v>
      </x:c>
      <x:c r="C101" s="28" t="str">
        <x:v>Current scope</x:v>
      </x:c>
      <x:c r="D101" s="28" t="str">
        <x:v>Organize products in exactly four levels: Department -&gt; Category -&gt; Subcategory -&gt; Product.</x:v>
      </x:c>
      <x:c r="E101" s="28" t="str">
        <x:v>FB-026–FB-030, FB-032</x:v>
      </x:c>
      <x:c r="F101" s="28" t="str">
        <x:v>Stories!B29</x:v>
      </x:c>
    </x:row>
    <x:row r="102" ht="61" customHeight="1">
      <x:c r="A102" s="4" t="str">
        <x:v>REQ-099</x:v>
      </x:c>
      <x:c r="B102" s="4" t="str">
        <x:v>Inventory management — first version, planning complete</x:v>
      </x:c>
      <x:c r="C102" s="4" t="str">
        <x:v>Current scope</x:v>
      </x:c>
      <x:c r="D102" s="4" t="str">
        <x:v>Every product follows this full path and belongs to one subcategory; categories belong to departments and subcategories belong to categories. The product itself is level four. No hierarchy levels are skipped.</x:v>
      </x:c>
      <x:c r="E102" s="4" t="str">
        <x:v>FB-026–FB-030, FB-032</x:v>
      </x:c>
      <x:c r="F102" s="4" t="str">
        <x:v>Stories!B29</x:v>
      </x:c>
    </x:row>
    <x:row r="103" ht="61" customHeight="1">
      <x:c r="A103" s="28" t="str">
        <x:v>REQ-100</x:v>
      </x:c>
      <x:c r="B103" s="28" t="str">
        <x:v>Inventory management — first version, planning complete</x:v>
      </x:c>
      <x:c r="C103" s="28" t="str">
        <x:v>Current scope</x:v>
      </x:c>
      <x:c r="D103" s="28" t="str">
        <x:v>Department, category, and subcategory names are required. Department names are unique across the catalogue; category names are unique within their department; subcategory names are unique within their category. Duplicate-name checks ignore capitalization and leading/trailing spaces.</x:v>
      </x:c>
      <x:c r="E103" s="28" t="str">
        <x:v>FB-026–FB-030, FB-032</x:v>
      </x:c>
      <x:c r="F103" s="28" t="str">
        <x:v>Stories!B29</x:v>
      </x:c>
    </x:row>
    <x:row r="104" ht="61" customHeight="1">
      <x:c r="A104" s="4" t="str">
        <x:v>REQ-101</x:v>
      </x:c>
      <x:c r="B104" s="4" t="str">
        <x:v>Inventory management — first version, planning complete</x:v>
      </x:c>
      <x:c r="C104" s="4" t="str">
        <x:v>Current scope</x:v>
      </x:c>
      <x:c r="D104" s="4" t="str">
        <x:v>Allow renaming departments, categories, and subcategories while preserving their links. Product category paths show current names, including when viewing older stock movements; historical name snapshots are not required.</x:v>
      </x:c>
      <x:c r="E104" s="4" t="str">
        <x:v>FB-026–FB-030, FB-032</x:v>
      </x:c>
      <x:c r="F104" s="4" t="str">
        <x:v>Stories!B29</x:v>
      </x:c>
    </x:row>
    <x:row r="105" ht="52" customHeight="1">
      <x:c r="A105" s="28" t="str">
        <x:v>REQ-102</x:v>
      </x:c>
      <x:c r="B105" s="28" t="str">
        <x:v>Inventory management — first version, planning complete</x:v>
      </x:c>
      <x:c r="C105" s="28" t="str">
        <x:v>##FUTURE</x:v>
      </x:c>
      <x:c r="D105" s="28" t="str">
        <x:v>##FUTURE Moving categories or subcategories between parents, and deleting departments, categories, or subcategories. Version one supports renaming only for maintenance of existing hierarchy records.</x:v>
      </x:c>
      <x:c r="E105" s="28" t="str">
        <x:v>Deferred — no current item</x:v>
      </x:c>
      <x:c r="F105" s="28" t="str">
        <x:v>Deferred</x:v>
      </x:c>
    </x:row>
    <x:row r="106" ht="52" customHeight="1">
      <x:c r="A106" s="4" t="str">
        <x:v>REQ-103</x:v>
      </x:c>
      <x:c r="B106" s="4" t="str">
        <x:v>Inventory management — first version, planning complete</x:v>
      </x:c>
      <x:c r="C106" s="4" t="str">
        <x:v>Current scope</x:v>
      </x:c>
      <x:c r="D106" s="4" t="str">
        <x:v>Each product can optionally have multiple tags.</x:v>
      </x:c>
      <x:c r="E106" s="4" t="str">
        <x:v>FB-031, FB-037, FB-048</x:v>
      </x:c>
      <x:c r="F106" s="4" t="str">
        <x:v>Stories!B34</x:v>
      </x:c>
    </x:row>
    <x:row r="107" ht="52" customHeight="1">
      <x:c r="A107" s="28" t="str">
        <x:v>REQ-104</x:v>
      </x:c>
      <x:c r="B107" s="28" t="str">
        <x:v>Inventory management — first version, planning complete</x:v>
      </x:c>
      <x:c r="C107" s="28" t="str">
        <x:v>Current scope</x:v>
      </x:c>
      <x:c r="D107" s="28" t="str">
        <x:v>Tags are shared across the product catalogue: create a tag once and reuse it on multiple products. A product can have multiple tags or none.</x:v>
      </x:c>
      <x:c r="E107" s="28" t="str">
        <x:v>FB-031, FB-037, FB-048</x:v>
      </x:c>
      <x:c r="F107" s="28" t="str">
        <x:v>Stories!B34</x:v>
      </x:c>
    </x:row>
    <x:row r="108" ht="76" customHeight="1">
      <x:c r="A108" s="4" t="str">
        <x:v>REQ-105</x:v>
      </x:c>
      <x:c r="B108" s="4" t="str">
        <x:v>Inventory management — first version, planning complete</x:v>
      </x:c>
      <x:c r="C108" s="4" t="str">
        <x:v>Current scope</x:v>
      </x:c>
      <x:c r="D108" s="4" t="str">
        <x:v>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v>
      </x:c>
      <x:c r="E108" s="4" t="str">
        <x:v>FB-031, FB-037, FB-048</x:v>
      </x:c>
      <x:c r="F108" s="4" t="str">
        <x:v>Stories!B34</x:v>
      </x:c>
    </x:row>
    <x:row r="109" ht="52" customHeight="1">
      <x:c r="A109" s="28" t="str">
        <x:v>REQ-106</x:v>
      </x:c>
      <x:c r="B109" s="28" t="str">
        <x:v>Inventory management — first version, planning complete</x:v>
      </x:c>
      <x:c r="C109" s="28" t="str">
        <x:v>Current scope</x:v>
      </x:c>
      <x:c r="D109" s="28" t="str">
        <x:v>Different brands and package sizes are separate product records with their own stock counts, even when they share the same subcategory.</x:v>
      </x:c>
      <x:c r="E109" s="28" t="str">
        <x:v>FB-032–FB-037, FB-047–FB-053</x:v>
      </x:c>
      <x:c r="F109" s="28" t="str">
        <x:v>Stories!B35</x:v>
      </x:c>
    </x:row>
    <x:row r="110" ht="52" customHeight="1">
      <x:c r="A110" s="4" t="str">
        <x:v>REQ-107</x:v>
      </x:c>
      <x:c r="B110" s="4" t="str">
        <x:v>Inventory management — first version, planning complete</x:v>
      </x:c>
      <x:c r="C110" s="4" t="str">
        <x:v>Current scope</x:v>
      </x:c>
      <x:c r="D110" s="4" t="str">
        <x:v>Each product has a separate optional brand field. Unbranded products may leave it blank.</x:v>
      </x:c>
      <x:c r="E110" s="4" t="str">
        <x:v>FB-032–FB-037, FB-047–FB-053</x:v>
      </x:c>
      <x:c r="F110" s="4" t="str">
        <x:v>Stories!B35</x:v>
      </x:c>
    </x:row>
    <x:row r="111" ht="91" customHeight="1">
      <x:c r="A111" s="28" t="str">
        <x:v>REQ-108</x:v>
      </x:c>
      <x:c r="B111" s="28" t="str">
        <x:v>Inventory management — first version, planning complete</x:v>
      </x:c>
      <x:c r="C111" s="28" t="str">
        <x:v>Current scope</x:v>
      </x:c>
      <x:c r="D111" s="28" t="str">
        <x:v>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x:v>
      </x:c>
      <x:c r="E111" s="28" t="str">
        <x:v>FB-032–FB-037, FB-047–FB-053</x:v>
      </x:c>
      <x:c r="F111" s="28" t="str">
        <x:v>Stories!B35</x:v>
      </x:c>
    </x:row>
    <x:row r="112" ht="91" customHeight="1">
      <x:c r="A112" s="4" t="str">
        <x:v>REQ-109</x:v>
      </x:c>
      <x:c r="B112" s="4" t="str">
        <x:v>Inventory management — first version, planning complete</x:v>
      </x:c>
      <x:c r="C112" s="4" t="str">
        <x:v>Current scope</x:v>
      </x:c>
      <x:c r="D112" s="4" t="str">
        <x:v>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x:v>
      </x:c>
      <x:c r="E112" s="4" t="str">
        <x:v>FB-036</x:v>
      </x:c>
      <x:c r="F112" s="4" t="str">
        <x:v>Stories!B39</x:v>
      </x:c>
    </x:row>
    <x:row r="113" ht="61" customHeight="1">
      <x:c r="A113" s="28" t="str">
        <x:v>REQ-110</x:v>
      </x:c>
      <x:c r="B113" s="28" t="str">
        <x:v>Inventory management — first version, planning complete</x:v>
      </x:c>
      <x:c r="C113" s="28" t="str">
        <x:v>Current scope</x:v>
      </x:c>
      <x:c r="D113" s="28" t="str">
        <x:v>First-version stock quantities are whole-number counts of packages or individual items. Each product has one counting unit, such as can, bag, or box. Package size describes the product; stock counts packages/items.</x:v>
      </x:c>
      <x:c r="E113" s="28" t="str">
        <x:v>FB-032–FB-037, FB-047–FB-053</x:v>
      </x:c>
      <x:c r="F113" s="28" t="str">
        <x:v>Stories!B35</x:v>
      </x:c>
    </x:row>
    <x:row r="114" ht="61" customHeight="1">
      <x:c r="A114" s="4" t="str">
        <x:v>REQ-111</x:v>
      </x:c>
      <x:c r="B114" s="4" t="str">
        <x:v>Inventory management — first version, planning complete</x:v>
      </x:c>
      <x:c r="C114" s="4" t="str">
        <x:v>Current scope</x:v>
      </x:c>
      <x:c r="D114" s="4" t="str">
        <x:v>Package contents measured in individual items must be a positive whole number (for example, 6 or 12 eggs per carton, never 6.5). Weight and volume contents may use up to three decimal places. Movement quantities remain whole packages/items regardless of how package contents are measured.</x:v>
      </x:c>
      <x:c r="E114" s="4" t="str">
        <x:v>FB-032–FB-037, FB-047–FB-053</x:v>
      </x:c>
      <x:c r="F114" s="4" t="str">
        <x:v>Stories!B35</x:v>
      </x:c>
    </x:row>
    <x:row r="115" ht="52" customHeight="1">
      <x:c r="A115" s="28" t="str">
        <x:v>REQ-112</x:v>
      </x:c>
      <x:c r="B115" s="28" t="str">
        <x:v>Inventory management — first version, planning complete</x:v>
      </x:c>
      <x:c r="C115" s="28" t="str">
        <x:v>Current scope</x:v>
      </x:c>
      <x:c r="D115" s="28" t="str">
        <x:v>Use fixed dropdown choices for counting units: bag, box, can, bottle, carton, jar, packet, and individual item.</x:v>
      </x:c>
      <x:c r="E115" s="28" t="str">
        <x:v>FB-032–FB-037, FB-047–FB-053</x:v>
      </x:c>
      <x:c r="F115" s="28" t="str">
        <x:v>Stories!B35</x:v>
      </x:c>
    </x:row>
    <x:row r="116" ht="151" customHeight="1">
      <x:c r="A116" s="4" t="str">
        <x:v>REQ-113</x:v>
      </x:c>
      <x:c r="B116" s="4" t="str">
        <x:v>Inventory management — first version, planning complete</x:v>
      </x:c>
      <x:c r="C116" s="4" t="str">
        <x:v>Current scope</x:v>
      </x:c>
      <x:c r="D116" s="4" t="str">
        <x:v>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x:v>
      </x:c>
      <x:c r="E116" s="4" t="str">
        <x:v>FB-029, FB-034, FB-053, FB-065–FB-066</x:v>
      </x:c>
      <x:c r="F116" s="4" t="str">
        <x:v>Stories!B32</x:v>
      </x:c>
    </x:row>
    <x:row r="117" ht="52" customHeight="1">
      <x:c r="A117" s="28" t="str">
        <x:v>REQ-114</x:v>
      </x:c>
      <x:c r="B117" s="28" t="str">
        <x:v>Inventory management — first version, planning complete</x:v>
      </x:c>
      <x:c r="C117" s="28" t="str">
        <x:v>##FUTURE</x:v>
      </x:c>
      <x:c r="D117" s="28" t="str">
        <x:v>##FUTURE Loose-weight quantities and general unit conversions beyond the agreed kg/g and litres/ml conversions for package contents and summaries.</x:v>
      </x:c>
      <x:c r="E117" s="28" t="str">
        <x:v>Deferred — no current item</x:v>
      </x:c>
      <x:c r="F117" s="28" t="str">
        <x:v>Deferred</x:v>
      </x:c>
    </x:row>
    <x:row r="118" ht="52" customHeight="1">
      <x:c r="A118" s="4" t="str">
        <x:v>REQ-115</x:v>
      </x:c>
      <x:c r="B118" s="4" t="str">
        <x:v>Inventory management — first version, planning complete</x:v>
      </x:c>
      <x:c r="C118" s="4" t="str">
        <x:v>Current scope</x:v>
      </x:c>
      <x:c r="D118" s="4" t="str">
        <x:v>Use one shared inventory for the first version, without separate stock balances for shelves, rooms, or branches.</x:v>
      </x:c>
      <x:c r="E118" s="4" t="str">
        <x:v>FB-049–FB-056, FB-063–FB-064, FB-068</x:v>
      </x:c>
      <x:c r="F118" s="4" t="str">
        <x:v>Stories!B53</x:v>
      </x:c>
    </x:row>
    <x:row r="119" ht="52" customHeight="1">
      <x:c r="A119" s="28" t="str">
        <x:v>REQ-116</x:v>
      </x:c>
      <x:c r="B119" s="28" t="str">
        <x:v>Inventory management — first version, planning complete</x:v>
      </x:c>
      <x:c r="C119" s="28" t="str">
        <x:v>##FUTURE</x:v>
      </x:c>
      <x:c r="D119" s="28" t="str">
        <x:v>##FUTURE Stock tracking by location.</x:v>
      </x:c>
      <x:c r="E119" s="28" t="str">
        <x:v>Deferred — no current item</x:v>
      </x:c>
      <x:c r="F119" s="28" t="str">
        <x:v>Deferred</x:v>
      </x:c>
    </x:row>
    <x:row r="120" ht="61" customHeight="1">
      <x:c r="A120" s="4" t="str">
        <x:v>REQ-117</x:v>
      </x:c>
      <x:c r="B120" s="4" t="str">
        <x:v>Inventory management — first version, planning complete</x:v>
      </x:c>
      <x:c r="C120" s="4" t="str">
        <x:v>Current scope</x:v>
      </x:c>
      <x:c r="D120" s="4" t="str">
        <x:v>Each subcategory has one summary unit, such as kilograms or individual items. Every product specifies how much one package/item contains in a compatible unit; reconcile that unit with the summary unit for totals.</x:v>
      </x:c>
      <x:c r="E120" s="4" t="str">
        <x:v>FB-029, FB-034, FB-053, FB-065–FB-066</x:v>
      </x:c>
      <x:c r="F120" s="4" t="str">
        <x:v>Stories!B32</x:v>
      </x:c>
    </x:row>
    <x:row r="121" ht="61" customHeight="1">
      <x:c r="A121" s="28" t="str">
        <x:v>REQ-118</x:v>
      </x:c>
      <x:c r="B121" s="28" t="str">
        <x:v>Inventory management — first version, planning complete</x:v>
      </x:c>
      <x:c r="C121" s="28" t="str">
        <x:v>Current scope</x:v>
      </x:c>
      <x:c r="D121" s="28" t="str">
        <x:v>Calculate subcategory totals by multiplying each product's whole-number stock count by its package contents and summing the results. For example, rice bags contribute kilograms and egg cartons contribute eggs.</x:v>
      </x:c>
      <x:c r="E121" s="28" t="str">
        <x:v>FB-029, FB-034, FB-053, FB-065–FB-066</x:v>
      </x:c>
      <x:c r="F121" s="28" t="str">
        <x:v>Stories!B32</x:v>
      </x:c>
    </x:row>
    <x:row r="122" ht="52" customHeight="1">
      <x:c r="A122" s="4" t="str">
        <x:v>REQ-119</x:v>
      </x:c>
      <x:c r="B122" s="4" t="str">
        <x:v>Inventory management — first version, planning complete</x:v>
      </x:c>
      <x:c r="C122" s="4" t="str">
        <x:v>Current scope</x:v>
      </x:c>
      <x:c r="D122" s="4" t="str">
        <x:v>These calculated summaries do not replace individual product balances.</x:v>
      </x:c>
      <x:c r="E122" s="4" t="str">
        <x:v>FB-029, FB-034, FB-053, FB-065–FB-066</x:v>
      </x:c>
      <x:c r="F122" s="4" t="str">
        <x:v>Stories!B32</x:v>
      </x:c>
    </x:row>
    <x:row r="123" ht="52" customHeight="1">
      <x:c r="A123" s="28" t="str">
        <x:v>REQ-120</x:v>
      </x:c>
      <x:c r="B123" s="28" t="str">
        <x:v>Inventory management — first version, planning complete</x:v>
      </x:c>
      <x:c r="C123" s="28" t="str">
        <x:v>Current scope</x:v>
      </x:c>
      <x:c r="D123" s="28" t="str">
        <x:v>Stock balances change only through recorded stock movements, not by directly editing a balance. Incoming movements increase stock and outgoing movements decrease it; balances reflect those movements.</x:v>
      </x:c>
      <x:c r="E123" s="28" t="str">
        <x:v>FB-049–FB-056, FB-063–FB-064, FB-068</x:v>
      </x:c>
      <x:c r="F123" s="28" t="str">
        <x:v>Stories!B53</x:v>
      </x:c>
    </x:row>
    <x:row r="124" ht="52" customHeight="1">
      <x:c r="A124" s="4" t="str">
        <x:v>REQ-121</x:v>
      </x:c>
      <x:c r="B124" s="4" t="str">
        <x:v>Inventory management — first version, planning complete</x:v>
      </x:c>
      <x:c r="C124" s="4" t="str">
        <x:v>Current scope</x:v>
      </x:c>
      <x:c r="D124" s="4" t="str">
        <x:v>First-version movement types: Receive (food arrives), Distribute (food goes to a household), and Adjust (count corrections or damaged/ spoiled food). Every adjustment requires a reason.</x:v>
      </x:c>
      <x:c r="E124" s="4" t="str">
        <x:v>FB-049–FB-056, FB-063–FB-064, FB-068</x:v>
      </x:c>
      <x:c r="F124" s="4" t="str">
        <x:v>Stories!B53</x:v>
      </x:c>
    </x:row>
    <x:row r="125" ht="52" customHeight="1">
      <x:c r="A125" s="28" t="str">
        <x:v>REQ-122</x:v>
      </x:c>
      <x:c r="B125" s="28" t="str">
        <x:v>Inventory management — first version, planning complete</x:v>
      </x:c>
      <x:c r="C125" s="28" t="str">
        <x:v>Current scope</x:v>
      </x:c>
      <x:c r="D125" s="28" t="str">
        <x:v>Every stock movement must prevent a product's stock from falling below zero. Reject any outgoing quantity greater than available stock.</x:v>
      </x:c>
      <x:c r="E125" s="28" t="str">
        <x:v>FB-049–FB-056, FB-063–FB-064, FB-068</x:v>
      </x:c>
      <x:c r="F125" s="28" t="str">
        <x:v>Stories!B53</x:v>
      </x:c>
    </x:row>
    <x:row r="126" ht="91" customHeight="1">
      <x:c r="A126" s="4" t="str">
        <x:v>REQ-123</x:v>
      </x:c>
      <x:c r="B126" s="4" t="str">
        <x:v>Inventory management — first version, planning complete</x:v>
      </x:c>
      <x:c r="C126" s="4" t="str">
        <x:v>Current scope</x:v>
      </x:c>
      <x:c r="D126" s="4" t="str">
        <x:v>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v>
      </x:c>
      <x:c r="E126" s="4" t="str">
        <x:v>FB-032–FB-037, FB-047–FB-053</x:v>
      </x:c>
      <x:c r="F126" s="4" t="str">
        <x:v>Stories!B35</x:v>
      </x:c>
    </x:row>
    <x:row r="127" ht="52" customHeight="1">
      <x:c r="A127" s="28" t="str">
        <x:v>REQ-124</x:v>
      </x:c>
      <x:c r="B127" s="28" t="str">
        <x:v>Inventory management — first version, planning complete</x:v>
      </x:c>
      <x:c r="C127" s="28" t="str">
        <x:v>Current scope</x:v>
      </x:c>
      <x:c r="D127" s="28" t="str">
        <x:v>One distribution belongs to one household and can include multiple products. Either all its stock changes succeed or none are saved. Use fictional sample households until household management is built.</x:v>
      </x:c>
      <x:c r="E127" s="28" t="str">
        <x:v>FB-057–FB-064</x:v>
      </x:c>
      <x:c r="F127" s="28" t="str">
        <x:v>Stories!B63</x:v>
      </x:c>
    </x:row>
    <x:row r="128" ht="136" customHeight="1">
      <x:c r="A128" s="4" t="str">
        <x:v>REQ-125</x:v>
      </x:c>
      <x:c r="B128" s="4" t="str">
        <x:v>Inventory management — first version, planning complete</x:v>
      </x:c>
      <x:c r="C128" s="4" t="str">
        <x:v>Current scope</x:v>
      </x:c>
      <x:c r="D128" s="4" t="str">
        <x: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x:v>
      </x:c>
      <x:c r="E128" s="4" t="str">
        <x:v>FB-057–FB-064</x:v>
      </x:c>
      <x:c r="F128" s="4" t="str">
        <x:v>Stories!B63</x:v>
      </x:c>
    </x:row>
    <x:row r="129" ht="52" customHeight="1">
      <x:c r="A129" s="28" t="str">
        <x:v>REQ-126</x:v>
      </x:c>
      <x:c r="B129" s="28" t="str">
        <x:v>Inventory management — first version, planning complete</x:v>
      </x:c>
      <x:c r="C129" s="28" t="str">
        <x:v>Current scope</x:v>
      </x:c>
      <x:c r="D129" s="28" t="str">
        <x:v>One Receive entry can include multiple products. Either all stock changes in that receipt succeed or none are saved.</x:v>
      </x:c>
      <x:c r="E129" s="28" t="str">
        <x:v>FB-049–FB-052</x:v>
      </x:c>
      <x:c r="F129" s="28" t="str">
        <x:v>Stories!B53</x:v>
      </x:c>
    </x:row>
    <x:row r="130" ht="61" customHeight="1">
      <x:c r="A130" s="4" t="str">
        <x:v>REQ-127</x:v>
      </x:c>
      <x:c r="B130" s="4" t="str">
        <x:v>Inventory management — first version, planning complete</x:v>
      </x:c>
      <x:c r="C130" s="4" t="str">
        <x:v>Current scope</x:v>
      </x:c>
      <x:c r="D130" s="4" t="str">
        <x:v>Each product may appear only once per Receive or Distribute entry. To change the amount, update its existing row's quantity rather than adding another row. Different products or package sizes may have separate rows.</x:v>
      </x:c>
      <x:c r="E130" s="4" t="str">
        <x:v>FB-050, FB-061</x:v>
      </x:c>
      <x:c r="F130" s="4" t="str">
        <x:v>Stories!B54</x:v>
      </x:c>
    </x:row>
    <x:row r="131" ht="52" customHeight="1">
      <x:c r="A131" s="28" t="str">
        <x:v>REQ-128</x:v>
      </x:c>
      <x:c r="B131" s="28" t="str">
        <x:v>Inventory management — first version, planning complete</x:v>
      </x:c>
      <x:c r="C131" s="28" t="str">
        <x:v>Current scope</x:v>
      </x:c>
      <x:c r="D131" s="28" t="str">
        <x:v>Each Receive entry has one optional notes field for the whole entry.</x:v>
      </x:c>
      <x:c r="E131" s="28" t="str">
        <x:v>FB-049–FB-052</x:v>
      </x:c>
      <x:c r="F131" s="28" t="str">
        <x:v>Stories!B53</x:v>
      </x:c>
    </x:row>
    <x:row r="132" ht="61" customHeight="1">
      <x:c r="A132" s="4" t="str">
        <x:v>REQ-129</x:v>
      </x:c>
      <x:c r="B132" s="4" t="str">
        <x:v>Inventory management — first version, planning complete</x:v>
      </x:c>
      <x:c r="C132" s="4" t="str">
        <x:v>Current scope</x:v>
      </x:c>
      <x:c r="D132" s="4" t="str">
        <x:v>Receive, Distribute, and Adjust movements automatically record the date and time they are saved. Users cannot change or backdate this timestamp. Stock changes when the entry is saved; the timestamp represents recording time, not necessarily the time food physically arrived or left.</x:v>
      </x:c>
      <x:c r="E132" s="4" t="str">
        <x:v>FB-049–FB-056, FB-063–FB-064, FB-068</x:v>
      </x:c>
      <x:c r="F132" s="4" t="str">
        <x:v>Stories!B53</x:v>
      </x:c>
    </x:row>
    <x:row r="133" ht="52" customHeight="1">
      <x:c r="A133" s="28" t="str">
        <x:v>REQ-130</x:v>
      </x:c>
      <x:c r="B133" s="28" t="str">
        <x:v>Inventory management — first version, planning complete</x:v>
      </x:c>
      <x:c r="C133" s="28" t="str">
        <x:v>##FUTURE</x:v>
      </x:c>
      <x:c r="D133" s="28" t="str">
        <x:v>##FUTURE User-entered or backdated stock-movement dates.</x:v>
      </x:c>
      <x:c r="E133" s="28" t="str">
        <x:v>Deferred — no current item</x:v>
      </x:c>
      <x:c r="F133" s="28" t="str">
        <x:v>Deferred</x:v>
      </x:c>
    </x:row>
    <x:row r="134" ht="61" customHeight="1">
      <x:c r="A134" s="4" t="str">
        <x:v>REQ-131</x:v>
      </x:c>
      <x:c r="B134" s="4" t="str">
        <x:v>Inventory management — first version, planning complete</x:v>
      </x:c>
      <x:c r="C134" s="4" t="str">
        <x:v>Current scope</x:v>
      </x:c>
      <x:c r="D134" s="4" t="str">
        <x:v>Each Adjust entry handles one product. The user selects Add or Remove, enters a positive whole-number quantity, and provides a required reason. Removing stock must still respect the non-negative balance rule.</x:v>
      </x:c>
      <x:c r="E134" s="4" t="str">
        <x:v>FB-055–FB-056</x:v>
      </x:c>
      <x:c r="F134" s="4" t="str">
        <x:v>Stories!B61</x:v>
      </x:c>
    </x:row>
    <x:row r="135" ht="61" customHeight="1">
      <x:c r="A135" s="28" t="str">
        <x:v>REQ-132</x:v>
      </x:c>
      <x:c r="B135" s="28" t="str">
        <x:v>Inventory management — first version, planning complete</x:v>
      </x:c>
      <x:c r="C135" s="28" t="str">
        <x:v>Current scope</x:v>
      </x:c>
      <x:c r="D135" s="28" t="str">
        <x:v>Managers and the Super Admin can view each product's stock-movement history in version one. Show movement type, quantity added or removed, date/time, resulting balance, who recorded it, and relevant details such as the receipt, distribution household, or adjustment reason.</x:v>
      </x:c>
      <x:c r="E135" s="28" t="str">
        <x:v>FB-054, FB-056, FB-063, FB-068</x:v>
      </x:c>
      <x:c r="F135" s="28" t="str">
        <x:v>Stories!B58</x:v>
      </x:c>
    </x:row>
    <x:row r="136" ht="61" customHeight="1">
      <x:c r="A136" s="4" t="str">
        <x:v>REQ-133</x:v>
      </x:c>
      <x:c r="B136" s="4" t="str">
        <x:v>Inventory management — first version, planning complete</x:v>
      </x:c>
      <x:c r="C136" s="4" t="str">
        <x:v>Current scope</x:v>
      </x:c>
      <x:c r="D136" s="4" t="str">
        <x:v>Show product stock-movement history on the product details page and combined subcategory totals on the subcategory management screen, for managers and the Super Admin. Volunteers cannot view stock history.</x:v>
      </x:c>
      <x:c r="E136" s="4" t="str">
        <x:v>FB-054, FB-066</x:v>
      </x:c>
      <x:c r="F136" s="4" t="str">
        <x:v>Stories!B58</x:v>
      </x:c>
    </x:row>
    <x:row r="137" ht="52" customHeight="1">
      <x:c r="A137" s="28" t="str">
        <x:v>REQ-134</x:v>
      </x:c>
      <x:c r="B137" s="28" t="str">
        <x:v>Inventory management — first version, planning complete</x:v>
      </x:c>
      <x:c r="C137" s="28" t="str">
        <x:v>Current scope</x:v>
      </x:c>
      <x:c r="D137" s="28" t="str">
        <x:v>History entries come from recorded movements automatically; users do not enter them separately. This inventory history is distinct from the broader account activity history deferred to future work.</x:v>
      </x:c>
      <x:c r="E137" s="28" t="str">
        <x:v>FB-054, FB-056, FB-063, FB-068</x:v>
      </x:c>
      <x:c r="F137" s="28" t="str">
        <x:v>Stories!B58</x:v>
      </x:c>
    </x:row>
    <x:row r="138" ht="61" customHeight="1">
      <x:c r="A138" s="4" t="str">
        <x:v>REQ-135</x:v>
      </x:c>
      <x:c r="B138" s="4" t="str">
        <x:v>Inventory management — first version, planning complete</x:v>
      </x:c>
      <x:c r="C138" s="4" t="str">
        <x:v>Current scope</x:v>
      </x:c>
      <x:c r="D138" s="4" t="str">
        <x:v>Saved stock movements cannot be edited or deleted in version one. Correct stock quantities through new adjustments with required reasons, preserving both the original movement and its correction in history.</x:v>
      </x:c>
      <x:c r="E138" s="4" t="str">
        <x:v>FB-054, FB-056, FB-063, FB-068</x:v>
      </x:c>
      <x:c r="F138" s="4" t="str">
        <x:v>Stories!B58</x:v>
      </x:c>
    </x:row>
    <x:row r="139" ht="52" customHeight="1">
      <x:c r="A139" s="28" t="str">
        <x:v>REQ-136</x:v>
      </x:c>
      <x:c r="B139" s="28" t="str">
        <x:v>Inventory management — first version, planning complete</x:v>
      </x:c>
      <x:c r="C139" s="28" t="str">
        <x:v>Current scope</x:v>
      </x:c>
      <x:c r="D139" s="28" t="str">
        <x:v>New products start with zero stock. Add any existing stock through a Receive entry so every opening quantity has a recorded origin.</x:v>
      </x:c>
      <x:c r="E139" s="28" t="str">
        <x:v>FB-049–FB-052</x:v>
      </x:c>
      <x:c r="F139" s="28" t="str">
        <x:v>Stories!B53</x:v>
      </x:c>
    </x:row>
    <x:row r="140" ht="61" customHeight="1">
      <x:c r="A140" s="4" t="str">
        <x:v>REQ-137</x:v>
      </x:c>
      <x:c r="B140" s="4" t="str">
        <x:v>Inventory management — first version, planning complete</x:v>
      </x:c>
      <x:c r="C140" s="4" t="str">
        <x:v>Current scope</x:v>
      </x:c>
      <x:c r="D140" s="4" t="str">
        <x:v>Products use Active/Inactive status instead of deletion in version one. A product can only be deactivated when its stock is zero. Inactive products cannot receive any stock movements until reactivated, but their records and stock-movement history remain available.</x:v>
      </x:c>
      <x:c r="E140" s="4" t="str">
        <x:v>FB-048, FB-053</x:v>
      </x:c>
      <x:c r="F140" s="4" t="str">
        <x:v>Stories!B51</x:v>
      </x:c>
    </x:row>
    <x:row r="141" ht="52" customHeight="1">
      <x:c r="A141" s="28" t="str">
        <x:v>REQ-138</x:v>
      </x:c>
      <x:c r="B141" s="28" t="str">
        <x:v>Inventory management — first version, planning complete</x:v>
      </x:c>
      <x:c r="C141" s="28" t="str">
        <x:v>Current scope</x:v>
      </x:c>
      <x:c r="D141" s="28" t="str">
        <x:v>After a product's first stock movement, lock its counting unit, package contents, and subcategory. Names and tags remain editable. Different package sizes require separate product records.</x:v>
      </x:c>
      <x:c r="E141" s="28" t="str">
        <x:v>FB-053</x:v>
      </x:c>
      <x:c r="F141" s="28" t="str">
        <x:v>Stories!B57</x:v>
      </x:c>
    </x:row>
    <x:row r="142" ht="61" customHeight="1">
      <x:c r="A142" s="4" t="str">
        <x:v>REQ-139</x:v>
      </x:c>
      <x:c r="B142" s="4" t="str">
        <x:v>Inventory management — first version, planning complete</x:v>
      </x:c>
      <x:c r="C142" s="4" t="str">
        <x:v>Current scope</x:v>
      </x:c>
      <x:c r="D142" s="4" t="str">
        <x:v>Lock a subcategory's summary unit once any product beneath it has a stock movement, preserving the meaning of product contents and totals. Receiving and issuing stock still uses whole packages/items of a specific product; partial-package movements are outside current scope.</x:v>
      </x:c>
      <x:c r="E142" s="4" t="str">
        <x:v>FB-053</x:v>
      </x:c>
      <x:c r="F142" s="4" t="str">
        <x:v>Stories!B57</x:v>
      </x:c>
    </x:row>
    <x:row r="143" ht="52" customHeight="1">
      <x:c r="A143" s="28" t="str">
        <x:v>REQ-140</x:v>
      </x:c>
      <x:c r="B143" s="28" t="str">
        <x:v>Inventory management — first version, planning complete</x:v>
      </x:c>
      <x:c r="C143" s="28" t="str">
        <x:v>Current scope</x:v>
      </x:c>
      <x:c r="D143" s="28" t="str">
        <x:v>Consistent units within a subcategory and readable summary formatting are in scope; general unit conversions and loose-weight movements remain future work.</x:v>
      </x:c>
      <x:c r="E143" s="28" t="str">
        <x:v>FB-029, FB-034, FB-053, FB-065–FB-066</x:v>
      </x:c>
      <x:c r="F143" s="28" t="str">
        <x:v>Stories!B32</x:v>
      </x:c>
    </x:row>
    <x:row r="144" ht="52" customHeight="1">
      <x:c r="A144" s="4" t="str">
        <x:v>REQ-141</x:v>
      </x:c>
      <x:c r="B144" s="4" t="str">
        <x:v>Inventory management — first version, planning complete</x:v>
      </x:c>
      <x:c r="C144" s="4" t="str">
        <x:v>Current scope</x:v>
      </x:c>
      <x:c r="D144" s="4" t="str">
        <x:v>Managers and the Super Admin can create and edit departments, categories, subcategories, products, and tags.</x:v>
      </x:c>
      <x:c r="E144" s="4" t="str">
        <x:v>FB-031, FB-037, FB-048</x:v>
      </x:c>
      <x:c r="F144" s="4" t="str">
        <x:v>Stories!B34</x:v>
      </x:c>
    </x:row>
    <x:row r="145" ht="61" customHeight="1">
      <x:c r="A145" s="28" t="str">
        <x:v>REQ-142</x:v>
      </x:c>
      <x:c r="B145" s="28" t="str">
        <x:v>Inventory management — first version, planning complete</x:v>
      </x:c>
      <x:c r="C145" s="28" t="str">
        <x:v>Current scope</x:v>
      </x:c>
      <x:c r="D145" s="28" t="str">
        <x:v>Include a product list showing product code, product name, category path, package contents, available stock, and status. Managers, the Super Admin, and volunteers can search by product code or product name and filter by department, category, subcategory, tag, and Active/Inactive status.</x:v>
      </x:c>
      <x:c r="E145" s="28" t="str">
        <x:v>FB-037–FB-046</x:v>
      </x:c>
      <x:c r="F145" s="28" t="str">
        <x:v>Stories!B40</x:v>
      </x:c>
    </x:row>
    <x:row r="146" ht="52" customHeight="1">
      <x:c r="A146" s="4" t="str">
        <x:v>REQ-143</x:v>
      </x:c>
      <x:c r="B146" s="4" t="str">
        <x:v>Inventory management — first version, planning complete</x:v>
      </x:c>
      <x:c r="C146" s="4" t="str">
        <x:v>Current scope</x:v>
      </x:c>
      <x:c r="D146" s="4" t="str">
        <x:v>Show 10 products per page. Search and filters apply across the full catalogue before results are divided into pages.</x:v>
      </x:c>
      <x:c r="E146" s="4" t="str">
        <x:v>FB-037–FB-046</x:v>
      </x:c>
      <x:c r="F146" s="4" t="str">
        <x:v>Stories!B40</x:v>
      </x:c>
    </x:row>
    <x:row r="147" ht="52" customHeight="1">
      <x:c r="A147" s="28" t="str">
        <x:v>REQ-144</x:v>
      </x:c>
      <x:c r="B147" s="28" t="str">
        <x:v>Inventory management — first version, planning complete</x:v>
      </x:c>
      <x:c r="C147" s="28" t="str">
        <x:v>Verification</x:v>
      </x:c>
      <x:c r="D147" s="28" t="str">
        <x:v>Inventory planning and the following verification checklist are approved. These are future checks; no implementation or successful tests are claimed.</x:v>
      </x:c>
      <x:c r="E147" s="28" t="str">
        <x:v>FB-067–FB-069</x:v>
      </x:c>
      <x:c r="F147" s="28" t="str">
        <x:v>Stories!B52</x:v>
      </x:c>
    </x:row>
    <x:row r="148" ht="52" customHeight="1">
      <x:c r="A148" s="4" t="str">
        <x:v>REQ-145</x:v>
      </x:c>
      <x:c r="B148" s="4" t="str">
        <x:v>Inventory management — first version, planning complete</x:v>
      </x:c>
      <x:c r="C148" s="4" t="str">
        <x:v>Verification</x:v>
      </x:c>
      <x:c r="D148" s="4" t="str">
        <x:v>Verify permanent codes, duplicate prevention, required fields, and units.</x:v>
      </x:c>
      <x:c r="E148" s="4" t="str">
        <x:v>FB-067, FB-069</x:v>
      </x:c>
      <x:c r="F148" s="4" t="str">
        <x:v>Stories!B52</x:v>
      </x:c>
    </x:row>
    <x:row r="149" ht="52" customHeight="1">
      <x:c r="A149" s="28" t="str">
        <x:v>REQ-146</x:v>
      </x:c>
      <x:c r="B149" s="28" t="str">
        <x:v>Inventory management — first version, planning complete</x:v>
      </x:c>
      <x:c r="C149" s="28" t="str">
        <x:v>Verification</x:v>
      </x:c>
      <x:c r="D149" s="28" t="str">
        <x:v>Verify Receive, Distribute, and Adjust balances; prevent negative stock, including when multiple users save simultaneously.</x:v>
      </x:c>
      <x:c r="E149" s="28" t="str">
        <x:v>FB-051, FB-052, FB-056, FB-063, FB-068, FB-069</x:v>
      </x:c>
      <x:c r="F149" s="28" t="str">
        <x:v>Stories!B55</x:v>
      </x:c>
    </x:row>
    <x:row r="150" ht="52" customHeight="1">
      <x:c r="A150" s="4" t="str">
        <x:v>REQ-147</x:v>
      </x:c>
      <x:c r="B150" s="4" t="str">
        <x:v>Inventory management — first version, planning complete</x:v>
      </x:c>
      <x:c r="C150" s="4" t="str">
        <x:v>Verification</x:v>
      </x:c>
      <x:c r="D150" s="4" t="str">
        <x:v>Verify multi-product entries save all movements together or none.</x:v>
      </x:c>
      <x:c r="E150" s="4" t="str">
        <x:v>FB-051, FB-063, FB-068, FB-069</x:v>
      </x:c>
      <x:c r="F150" s="4" t="str">
        <x:v>Stories!B55</x:v>
      </x:c>
    </x:row>
    <x:row r="151" ht="52" customHeight="1">
      <x:c r="A151" s="28" t="str">
        <x:v>REQ-148</x:v>
      </x:c>
      <x:c r="B151" s="28" t="str">
        <x:v>Inventory management — first version, planning complete</x:v>
      </x:c>
      <x:c r="C151" s="28" t="str">
        <x:v>Verification</x:v>
      </x:c>
      <x:c r="D151" s="28" t="str">
        <x:v>Verify whole-package movements, one row per product, and correct unit conversion and summary calculations/display.</x:v>
      </x:c>
      <x:c r="E151" s="28" t="str">
        <x:v>FB-050, FB-061, FB-065, FB-066, FB-068, FB-069</x:v>
      </x:c>
      <x:c r="F151" s="28" t="str">
        <x:v>Stories!B54</x:v>
      </x:c>
    </x:row>
    <x:row r="152" ht="52" customHeight="1">
      <x:c r="A152" s="4" t="str">
        <x:v>REQ-149</x:v>
      </x:c>
      <x:c r="B152" s="4" t="str">
        <x:v>Inventory management — first version, planning complete</x:v>
      </x:c>
      <x:c r="C152" s="4" t="str">
        <x:v>Verification</x:v>
      </x:c>
      <x:c r="D152" s="4" t="str">
        <x:v>Verify inactive-product restrictions, zero stock before deactivation, and protected contents/units after movements.</x:v>
      </x:c>
      <x:c r="E152" s="4" t="str">
        <x:v>FB-048, FB-053, FB-068, FB-069</x:v>
      </x:c>
      <x:c r="F152" s="4" t="str">
        <x:v>Stories!B51</x:v>
      </x:c>
    </x:row>
    <x:row r="153" ht="52" customHeight="1">
      <x:c r="A153" s="28" t="str">
        <x:v>REQ-150</x:v>
      </x:c>
      <x:c r="B153" s="28" t="str">
        <x:v>Inventory management — first version, planning complete</x:v>
      </x:c>
      <x:c r="C153" s="28" t="str">
        <x:v>Verification</x:v>
      </x:c>
      <x:c r="D153" s="28" t="str">
        <x:v>Verify role permissions on the server, including direct requests: volunteers may record movements and view balances, but cannot edit the catalogue or view history.</x:v>
      </x:c>
      <x:c r="E153" s="28" t="str">
        <x:v>FB-067, FB-051, FB-054, FB-056, FB-063, FB-066, FB-068, FB-069</x:v>
      </x:c>
      <x:c r="F153" s="28" t="str">
        <x:v>Stories!B52</x:v>
      </x:c>
    </x:row>
    <x:row r="154" ht="52" customHeight="1">
      <x:c r="A154" s="4" t="str">
        <x:v>REQ-151</x:v>
      </x:c>
      <x:c r="B154" s="4" t="str">
        <x:v>Inventory management — first version, planning complete</x:v>
      </x:c>
      <x:c r="C154" s="4" t="str">
        <x:v>Verification</x:v>
      </x:c>
      <x:c r="D154" s="4" t="str">
        <x:v>Verify search, filters, pagination, household selection, confirmation, errors, retained input, and success feedback.</x:v>
      </x:c>
      <x:c r="E154" s="4" t="str">
        <x:v>FB-067, FB-052, FB-058, FB-060, FB-062, FB-064, FB-068, FB-069</x:v>
      </x:c>
      <x:c r="F154" s="4" t="str">
        <x:v>Stories!B52</x:v>
      </x:c>
    </x:row>
    <x:row r="155" ht="52" customHeight="1">
      <x:c r="A155" s="28" t="str">
        <x:v>REQ-152</x:v>
      </x:c>
      <x:c r="B155" s="28" t="str">
        <x:v>##FUTURE — Confirmed future direction</x:v>
      </x:c>
      <x:c r="C155" s="28" t="str">
        <x:v>##FUTURE</x:v>
      </x:c>
      <x:c r="D155" s="28" t="str">
        <x:v>##FUTURE Batch and expiry tracking, including separate expiry dates for different deliveries of the same product. Version one tracks stock at product level without batch or expiry balances.</x:v>
      </x:c>
      <x:c r="E155" s="28" t="str">
        <x:v>Deferred — no current item</x:v>
      </x:c>
      <x:c r="F155" s="28" t="str">
        <x:v>Deferred</x:v>
      </x:c>
    </x:row>
    <x:row r="156" ht="52" customHeight="1">
      <x:c r="A156" s="4" t="str">
        <x:v>REQ-153</x:v>
      </x:c>
      <x:c r="B156" s="4" t="str">
        <x:v>##FUTURE — Confirmed future direction</x:v>
      </x:c>
      <x:c r="C156" s="4" t="str">
        <x:v>##FUTURE</x:v>
      </x:c>
      <x:c r="D156" s="4" t="str">
        <x:v>##FUTURE Donation management module; detailed requirements remain undecided.</x:v>
      </x:c>
      <x:c r="E156" s="4" t="str">
        <x:v>Deferred — no current item</x:v>
      </x:c>
      <x:c r="F156" s="4" t="str">
        <x:v>Deferred</x:v>
      </x:c>
    </x:row>
    <x:row r="157" ht="52" customHeight="1">
      <x:c r="A157" s="28" t="str">
        <x:v>REQ-154</x:v>
      </x:c>
      <x:c r="B157" s="28" t="str">
        <x:v>##FUTURE — Confirmed future direction</x:v>
      </x:c>
      <x:c r="C157" s="28" t="str">
        <x:v>##FUTURE</x:v>
      </x:c>
      <x:c r="D157" s="28" t="str">
        <x:v>##FUTURE Purchase management module; detailed requirements remain undecided.</x:v>
      </x:c>
      <x:c r="E157" s="28" t="str">
        <x:v>Deferred — no current item</x:v>
      </x:c>
      <x:c r="F157" s="28" t="str">
        <x:v>Deferred</x:v>
      </x:c>
    </x:row>
    <x:row r="158" ht="52" customHeight="1">
      <x:c r="A158" s="4" t="str">
        <x:v>REQ-155</x:v>
      </x:c>
      <x:c r="B158" s="4" t="str">
        <x:v>##FUTURE — Confirmed future direction</x:v>
      </x:c>
      <x:c r="C158" s="4" t="str">
        <x:v>##FUTURE</x:v>
      </x:c>
      <x:c r="D158" s="4" t="str">
        <x:v>##FUTURE Stock tracking by location.</x:v>
      </x:c>
      <x:c r="E158" s="4" t="str">
        <x:v>Deferred — no current item</x:v>
      </x:c>
      <x:c r="F158" s="4" t="str">
        <x:v>Deferred</x:v>
      </x:c>
    </x:row>
    <x:row r="159" ht="52" customHeight="1">
      <x:c r="A159" s="28" t="str">
        <x:v>REQ-156</x:v>
      </x:c>
      <x:c r="B159" s="28" t="str">
        <x:v>##FUTURE — Confirmed future direction</x:v>
      </x:c>
      <x:c r="C159" s="28" t="str">
        <x:v>##FUTURE</x:v>
      </x:c>
      <x:c r="D159" s="28" t="str">
        <x:v>##FUTURE Inventory quantities measured by loose weight and conversions between units. Detailed requirements remain undecided.</x:v>
      </x:c>
      <x:c r="E159" s="28" t="str">
        <x:v>Deferred — no current item</x:v>
      </x:c>
      <x:c r="F159" s="28" t="str">
        <x:v>Deferred</x:v>
      </x:c>
    </x:row>
    <x:row r="160" ht="52" customHeight="1">
      <x:c r="A160" s="4" t="str">
        <x:v>REQ-157</x:v>
      </x:c>
      <x:c r="B160" s="4" t="str">
        <x:v>##FUTURE — Confirmed future direction</x:v>
      </x:c>
      <x:c r="C160" s="4" t="str">
        <x:v>##FUTURE</x:v>
      </x:c>
      <x:c r="D160" s="4" t="str">
        <x:v>##FUTURE Activity history recording who created, edited, activated, deactivated, or reset an account. Detailed requirements remain undecided.</x:v>
      </x:c>
      <x:c r="E160" s="4" t="str">
        <x:v>Deferred — no current item</x:v>
      </x:c>
      <x:c r="F160" s="4" t="str">
        <x:v>Deferred</x:v>
      </x:c>
    </x:row>
    <x:row r="161" ht="52" customHeight="1">
      <x:c r="A161" s="28" t="str">
        <x:v>REQ-158</x:v>
      </x:c>
      <x:c r="B161" s="28" t="str">
        <x:v>##FUTURE — Confirmed future direction</x:v>
      </x:c>
      <x:c r="C161" s="28" t="str">
        <x:v>##FUTURE</x:v>
      </x:c>
      <x:c r="D161" s="28" t="str">
        <x:v>##FUTURE Household registration and management.</x:v>
      </x:c>
      <x:c r="E161" s="28" t="str">
        <x:v>Deferred — no current item</x:v>
      </x:c>
      <x:c r="F161" s="28" t="str">
        <x:v>Deferred</x:v>
      </x:c>
    </x:row>
    <x:row r="162" ht="52" customHeight="1">
      <x:c r="A162" s="4" t="str">
        <x:v>REQ-159</x:v>
      </x:c>
      <x:c r="B162" s="4" t="str">
        <x:v>##FUTURE — Confirmed future direction</x:v>
      </x:c>
      <x:c r="C162" s="4" t="str">
        <x:v>##FUTURE</x:v>
      </x:c>
      <x:c r="D162" s="4" t="str">
        <x:v>##FUTURE Appointment management.</x:v>
      </x:c>
      <x:c r="E162" s="4" t="str">
        <x:v>Deferred — no current item</x:v>
      </x:c>
      <x:c r="F162" s="4" t="str">
        <x:v>Deferred</x:v>
      </x:c>
    </x:row>
    <x:row r="163" ht="52" customHeight="1">
      <x:c r="A163" s="28" t="str">
        <x:v>REQ-160</x:v>
      </x:c>
      <x:c r="B163" s="28" t="str">
        <x:v>##FUTURE — Confirmed future direction</x:v>
      </x:c>
      <x:c r="C163" s="28" t="str">
        <x:v>##FUTURE</x:v>
      </x:c>
      <x:c r="D163" s="28" t="str">
        <x:v>##FUTURE Email-based initial password setup links.</x:v>
      </x:c>
      <x:c r="E163" s="28" t="str">
        <x:v>Deferred — no current item</x:v>
      </x:c>
      <x:c r="F163" s="28" t="str">
        <x:v>Deferred</x:v>
      </x:c>
    </x:row>
    <x:row r="164" ht="52" customHeight="1">
      <x:c r="A164" s="4" t="str">
        <x:v>REQ-161</x:v>
      </x:c>
      <x:c r="B164" s="4" t="str">
        <x:v>##FUTURE — Confirmed future direction</x:v>
      </x:c>
      <x:c r="C164" s="4" t="str">
        <x:v>##FUTURE</x:v>
      </x:c>
      <x:c r="D164" s="4" t="str">
        <x:v>##FUTURE Self-service Forgot Password recovery.</x:v>
      </x:c>
      <x:c r="E164" s="4" t="str">
        <x:v>Deferred — no current item</x:v>
      </x:c>
      <x:c r="F164" s="4" t="str">
        <x:v>Deferred</x:v>
      </x:c>
    </x:row>
    <x:row r="165" ht="52" customHeight="1">
      <x:c r="A165" s="28" t="str">
        <x:v>REQ-162</x:v>
      </x:c>
      <x:c r="B165" s="28" t="str">
        <x:v>##FUTURE — Confirmed future direction</x:v>
      </x:c>
      <x:c r="C165" s="28" t="str">
        <x:v>##FUTURE</x:v>
      </x:c>
      <x:c r="D165" s="28" t="str">
        <x:v>##FUTURE Self-service profile editing (name, email, and phone).</x:v>
      </x:c>
      <x:c r="E165" s="28" t="str">
        <x:v>Deferred — no current item</x:v>
      </x:c>
      <x:c r="F165" s="28" t="str">
        <x:v>Deferred</x:v>
      </x:c>
    </x:row>
    <x:row r="166" ht="52" customHeight="1">
      <x:c r="A166" s="4" t="str">
        <x:v>REQ-163</x:v>
      </x:c>
      <x:c r="B166" s="4" t="str">
        <x:v>##FUTURE — Confirmed future direction</x:v>
      </x:c>
      <x:c r="C166" s="4" t="str">
        <x:v>##FUTURE</x:v>
      </x:c>
      <x:c r="D166" s="4" t="str">
        <x:v>##FUTURE Volunteer deletion; deletion and record-retention rules remain undecided.</x:v>
      </x:c>
      <x:c r="E166" s="4" t="str">
        <x:v>Deferred — no current item</x:v>
      </x:c>
      <x:c r="F166" s="4" t="str">
        <x:v>Deferred</x:v>
      </x:c>
    </x:row>
    <x:row r="167" ht="52" customHeight="1">
      <x:c r="A167" s="28" t="str">
        <x:v>REQ-164</x:v>
      </x:c>
      <x:c r="B167" s="28" t="str">
        <x:v>##FUTURE — Confirmed future direction</x:v>
      </x:c>
      <x:c r="C167" s="28" t="str">
        <x:v>##FUTURE</x:v>
      </x:c>
      <x:c r="D167" s="28" t="str">
        <x:v>##FUTURE Broader volunteer module, beyond basic data management; specific capabilities still need discussion.</x:v>
      </x:c>
      <x:c r="E167" s="28" t="str">
        <x:v>Deferred — no current item</x:v>
      </x:c>
      <x:c r="F167" s="28" t="str">
        <x:v>Deferred</x:v>
      </x:c>
    </x:row>
    <x:row r="168" ht="52" customHeight="1">
      <x:c r="A168" s="4" t="str">
        <x:v>REQ-165</x:v>
      </x:c>
      <x:c r="B168" s="4" t="str">
        <x:v>##FUTURE — Confirmed future direction</x:v>
      </x:c>
      <x:c r="C168" s="4" t="str">
        <x:v>##FUTURE</x:v>
      </x:c>
      <x:c r="D168" s="4" t="str">
        <x:v>##FUTURE Additional roles, to be defined later.</x:v>
      </x:c>
      <x:c r="E168" s="4" t="str">
        <x:v>Deferred — no current item</x:v>
      </x:c>
      <x:c r="F168" s="4" t="str">
        <x:v>Deferred</x:v>
      </x:c>
    </x:row>
    <x:row r="169" ht="52" customHeight="1">
      <x:c r="A169" s="28" t="str">
        <x:v>REQ-166</x:v>
      </x:c>
      <x:c r="B169" s="28" t="str">
        <x:v>##FUTURE — Confirmed future direction</x:v>
      </x:c>
      <x:c r="C169" s="28" t="str">
        <x:v>##FUTURE</x:v>
      </x:c>
      <x:c r="D169" s="28" t="str">
        <x:v>##FUTURE Changes to existing users' roles; permissions and behaviour will be defined later.</x:v>
      </x:c>
      <x:c r="E169" s="28" t="str">
        <x:v>Deferred — no current item</x:v>
      </x:c>
      <x:c r="F169" s="28" t="str">
        <x:v>Deferred</x:v>
      </x:c>
    </x:row>
    <x:row r="170" ht="76" customHeight="1">
      <x:c r="A170" s="4" t="str">
        <x:v>REQ-167</x:v>
      </x:c>
      <x:c r="B170" s="4" t="str">
        <x:v>Business context</x:v>
      </x:c>
      <x:c r="C170" s="4" t="str">
        <x:v>Current scope</x:v>
      </x:c>
      <x:c r="D170" s="4" t="str">
        <x:v>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v>
      </x:c>
      <x:c r="E170" s="4" t="str">
        <x:v>FB-057</x:v>
      </x:c>
      <x:c r="F170" s="4" t="str">
        <x:v>Stories!B63</x:v>
      </x:c>
    </x:row>
    <x:row r="171" ht="52" customHeight="1">
      <x:c r="A171" s="28" t="str">
        <x:v>REQ-168</x:v>
      </x:c>
      <x:c r="B171" s="28" t="str">
        <x:v>Business context</x:v>
      </x:c>
      <x:c r="C171" s="28" t="str">
        <x:v>Current scope</x:v>
      </x:c>
      <x:c r="D171" s="28" t="str">
        <x:v>Food recipients belong to registered households.</x:v>
      </x:c>
      <x:c r="E171" s="28" t="str">
        <x:v>FB-057–FB-064</x:v>
      </x:c>
      <x:c r="F171" s="28" t="str">
        <x:v>Stories!B63</x:v>
      </x:c>
    </x:row>
    <x:row r="172" ht="52" customHeight="1">
      <x:c r="A172" s="4" t="str">
        <x:v>REQ-169</x:v>
      </x:c>
      <x:c r="B172" s="4" t="str">
        <x:v>Business context</x:v>
      </x:c>
      <x:c r="C172" s="4" t="str">
        <x:v>Current scope</x:v>
      </x:c>
      <x:c r="D172" s="4" t="str">
        <x:v>Assume households have appointments when they arrive to receive food.</x:v>
      </x:c>
      <x:c r="E172" s="4" t="str">
        <x:v>FB-057–FB-064</x:v>
      </x:c>
      <x:c r="F172" s="4" t="str">
        <x:v>Stories!B63</x:v>
      </x:c>
    </x:row>
    <x:row r="173" ht="61" customHeight="1">
      <x:c r="A173" s="28" t="str">
        <x:v>REQ-170</x:v>
      </x:c>
      <x:c r="B173" s="28" t="str">
        <x:v>Business context</x:v>
      </x:c>
      <x:c r="C173" s="28" t="str">
        <x:v>Current scope</x:v>
      </x:c>
      <x:c r="D173" s="28" t="str">
        <x:v>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v>
      </x:c>
      <x:c r="E173" s="28" t="str">
        <x:v>FB-057–FB-064</x:v>
      </x:c>
      <x:c r="F173" s="28" t="str">
        <x:v>Stories!B63</x:v>
      </x:c>
    </x:row>
    <x:row r="174" ht="61" customHeight="1">
      <x:c r="A174" s="4" t="str">
        <x:v>REQ-171</x:v>
      </x:c>
      <x:c r="B174" s="4" t="str">
        <x:v>Business context</x:v>
      </x:c>
      <x:c r="C174" s="4" t="str">
        <x:v>Current scope</x:v>
      </x:c>
      <x:c r="D174" s="4" t="str">
        <x:v>Inventory management and household distribution are approved for the first version as detailed above. Donation and purchase management remain future modules. Additional reporting beyond agreed subcategory totals and stock history has not been approved.</x:v>
      </x:c>
      <x:c r="E174" s="4" t="str">
        <x:v>FB-057–FB-064</x:v>
      </x:c>
      <x:c r="F174" s="4" t="str">
        <x:v>Stories!B63</x:v>
      </x:c>
    </x:row>
    <x:row r="175" ht="61" customHeight="1">
      <x:c r="A175" s="28" t="str">
        <x:v>REQ-172</x:v>
      </x:c>
      <x:c r="B175" s="28" t="str">
        <x:v>Build order</x:v>
      </x:c>
      <x:c r="C175" s="28" t="str">
        <x:v>Project context</x:v>
      </x:c>
      <x:c r="D175" s="28" t="str">
        <x:v>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x:v>
      </x:c>
      <x:c r="E175" s="28" t="str">
        <x:v>All current items</x:v>
      </x:c>
      <x:c r="F175" s="28" t="str">
        <x:v>Stories!B4</x:v>
      </x:c>
    </x:row>
    <x:row r="176" ht="52" customHeight="1">
      <x:c r="A176" s="4" t="str">
        <x:v>REQ-173</x:v>
      </x:c>
      <x:c r="B176" s="4" t="str">
        <x:v>Build order</x:v>
      </x:c>
      <x:c r="C176" s="4" t="str">
        <x:v>Project context</x:v>
      </x:c>
      <x:c r="D176" s="4" t="str">
        <x:v>Ask the developer to test first; test on their behalf only if delegated. A done response to test instructions confirms the developer tested it.</x:v>
      </x:c>
      <x:c r="E176" s="4" t="str">
        <x:v>All current items</x:v>
      </x:c>
      <x:c r="F176" s="4" t="str">
        <x:v>Stories!B4</x:v>
      </x:c>
    </x:row>
    <x:row r="177" ht="100" customHeight="1">
      <x:c r="A177" s="28" t="str">
        <x:v>REQ-174</x:v>
      </x:c>
      <x:c r="B177" s="28" t="str">
        <x:v>Build order</x:v>
      </x:c>
      <x:c r="C177" s="28" t="str">
        <x:v>Project context</x:v>
      </x:c>
      <x:c r="D177" s="28" t="str">
        <x:v>Follow current AGENTS.md: explain one small behaviour, let the developer write it, observe it and pause. Catalogue modules start with their own model/storage, then the needed parent relationship, basic list and agreed actions. Verify each module before its dependant. No speculative relationships. Keep post-movement locks at FB-053, totals at FB-065/FB-066 and integration checks at FB-068/FB-069. Future scope stays excluded. Developer clarification 2026-10-25: examples express learning preferences, not universal build sequences. Use judgment for the current behaviour; prioritize simple explanations of why/how and coding along in small steps. Existing reordered sequence remains suitable.</x:v>
      </x:c>
      <x:c r="E177" s="28" t="str">
        <x:v>All current items</x:v>
      </x:c>
      <x:c r="F177" s="28" t="str">
        <x:v>Stories!B4</x:v>
      </x:c>
    </x:row>
    <x:row r="178" ht="52" customHeight="1">
      <x:c r="A178" s="4" t="str">
        <x:v>REQ-175</x:v>
      </x:c>
      <x:c r="B178" s="4" t="str">
        <x:v>Build order</x:v>
      </x:c>
      <x:c r="C178" s="4" t="str">
        <x:v>Project context</x:v>
      </x:c>
      <x:c r="D178" s="4" t="str">
        <x:v>Fixed ordering constraint: implement Super Admin recovery last.</x:v>
      </x:c>
      <x:c r="E178" s="4" t="str">
        <x:v>All current items</x:v>
      </x:c>
      <x:c r="F178" s="4" t="str">
        <x:v>Stories!B4</x:v>
      </x:c>
    </x:row>
    <x:row r="179" ht="110" customHeight="1">
      <x:c r="A179" s="9" t="str">
        <x:v>REQ-176</x:v>
      </x:c>
      <x:c r="B179" s="9" t="str">
        <x:v>Login design</x:v>
      </x:c>
      <x:c r="C179" s="9" t="str">
        <x:v>Current scope</x:v>
      </x:c>
      <x:c r="D179" s="9" t="str">
        <x:v>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x:v>
      </x:c>
      <x:c r="E179" s="9" t="str">
        <x:v>FB-002</x:v>
      </x:c>
      <x:c r="F179" s="9" t="str">
        <x:v>Stories!B5</x:v>
      </x:c>
    </x:row>
    <x:row r="180" ht="110" customHeight="1">
      <x:c r="A180" s="4" t="str">
        <x:v>REQ-177</x:v>
      </x:c>
      <x:c r="B180" s="4" t="str">
        <x:v>Login redesign task</x:v>
      </x:c>
      <x:c r="C180" s="4" t="str">
        <x:v>##FUTURE</x:v>
      </x:c>
      <x:c r="D180" s="4" t="str">
        <x:v>##FUTURE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x:v>
      </x:c>
      <x:c r="E180" s="4" t="str">
        <x:v>FB-002–FB-008 (prerequisites)</x:v>
      </x:c>
      <x:c r="F180" s="4" t="str">
        <x:v>Stories!B5</x:v>
      </x:c>
    </x:row>
    <x:row r="181" ht="100" customHeight="1">
      <x:c r="A181" s="9" t="str">
        <x:v>REQ-178</x:v>
      </x:c>
      <x:c r="B181" s="9" t="str">
        <x:v>Shared login: Remember me</x:v>
      </x:c>
      <x:c r="C181" s="9" t="str">
        <x:v>Current scope</x:v>
      </x:c>
      <x:c r="D181" s="9" t="str">
        <x:v>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x:v>
      </x:c>
      <x:c r="E181" s="9" t="str">
        <x:v>FB-002, FB-003, FB-005</x:v>
      </x:c>
      <x:c r="F181" s="9" t="str">
        <x:v>Stories!B5</x:v>
      </x:c>
    </x:row>
    <x:row r="182" ht="100" customHeight="1">
      <x:c r="A182" s="9" t="str">
        <x:v>REQ-179</x:v>
      </x:c>
      <x:c r="B182" s="9" t="str">
        <x:v>Login keyboard order</x:v>
      </x:c>
      <x:c r="C182" s="9" t="str">
        <x:v>Current scope</x:v>
      </x:c>
      <x:c r="D182" s="9" t="str">
        <x:v>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v>
      </x:c>
      <x:c r="E182" s="9" t="str">
        <x:v>FB-003</x:v>
      </x:c>
      <x:c r="F182" s="9" t="str">
        <x:v>Stories!B6</x:v>
      </x:c>
    </x:row>
  </x:sheetData>
  <x:mergeCells>
    <x:mergeCell ref="A1:F1"/>
    <x:mergeCell ref="A2:F2"/>
  </x:mergeCells>
  <x:conditionalFormatting sqref="C4:C178">
    <x:cfRule type="containsText" dxfId="3" priority="1" operator="containsText" text="##FUTURE"/>
  </x:conditionalFormatting>
  <x:pageMargins left="0.7" right="0.7" top="0.75" bottom="0.75" header="0.3" footer="0.3"/>
  <x:tableParts count="1">
    <x:tablePart xmlns:r="http://schemas.openxmlformats.org/officeDocument/2006/relationships" r:id="Rcca64a1fb04a40da"/>
  </x:tableParts>
</x:worksheet>
</file>