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dde800ee3914349" /></Relationships>
</file>

<file path=xl/workbook.xml><?xml version="1.0" encoding="utf-8"?>
<x:workbook xmlns:x="http://schemas.openxmlformats.org/spreadsheetml/2006/main">
  <x:sheets>
    <x:sheet xmlns:r="http://schemas.openxmlformats.org/officeDocument/2006/relationships" name="Start Here" sheetId="1" r:id="R18fee2bffe2b41db"/>
    <x:sheet xmlns:r="http://schemas.openxmlformats.org/officeDocument/2006/relationships" name="Stories" sheetId="2" r:id="Rd80bb63010684da2"/>
    <x:sheet xmlns:r="http://schemas.openxmlformats.org/officeDocument/2006/relationships" name="Requirements" sheetId="3" r:id="Rb3bdfb2fe6a142c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141283b4b9e438e" /><Relationship Type="http://schemas.openxmlformats.org/officeDocument/2006/relationships/theme" Target="/xl/theme/theme1.xml" Id="R4d7707a1d9524dba" /><Relationship Type="http://schemas.openxmlformats.org/officeDocument/2006/relationships/sharedStrings" Target="/xl/sharedStrings.xml" Id="Ra6fbdebb8d434c37" /><Relationship Type="http://schemas.openxmlformats.org/officeDocument/2006/relationships/worksheet" Target="/xl/worksheets/sheet1.xml" Id="R18fee2bffe2b41db" /><Relationship Type="http://schemas.openxmlformats.org/officeDocument/2006/relationships/worksheet" Target="/xl/worksheets/sheet2.xml" Id="Rd80bb63010684da2" /><Relationship Type="http://schemas.openxmlformats.org/officeDocument/2006/relationships/worksheet" Target="/xl/worksheets/sheet3.xml" Id="Rb3bdfb2fe6a142c2"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cbad10d03eb47a6" /></Relationships>
</file>

<file path=xl/worksheets/_rels/sheet3.xml.rels>&#65279;<?xml version="1.0" encoding="utf-8"?><Relationships xmlns="http://schemas.openxmlformats.org/package/2006/relationships"><Relationship Type="http://schemas.openxmlformats.org/officeDocument/2006/relationships/table" Target="/xl/tables/table2.xml" Id="Rfd7df31d5e044b43"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23</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21</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FB-048</x:v>
      </x:c>
      <x:c r="C10" s="15" t="n"/>
      <x:c r="D10" s="18" t="inlineStr">
        <x:is>
          <x:t xml:space="preserve">Only test application behaviour yourself after the developer delegates it.</x:t>
        </x:is>
      </x:c>
    </x:row>
    <x:row r="11" ht="24" customHeight="1">
      <x:c r="A11" s="15" t="inlineStr">
        <x:is>
          <x:t xml:space="preserve">Verified progress</x:t>
        </x:is>
      </x:c>
      <x:c r="B11" s="29" t="str">
        <x:v>Product list and editing FB-038–047 reviewed and tested PASS2026-10-30. FB-048 next; stock-related checks remain deferred to stock setup.</x:v>
      </x:c>
      <x:c r="C11" s="15" t="n"/>
    </x:row>
    <x:row r="12">
      <x:c r="A12" s="15" t="n"/>
      <x:c r="B12" s="15" t="str">
        <x:v>Before starting/resuming this item or feature: reread AGENTS.md from disk; apply teaching/testing rules. Developer check sidebar links, list/create/edit highlights, collapsed/mobile layout and role visibility. Then return to FB-048/067 catalogue evidence reconciliation. Stock guard stays FB-053; remaining FB-008 landing-page work deferred.</x:v>
      </x:c>
      <x:c r="C12" s="15" t="n"/>
      <x:c r="D12" s="15" t="n"/>
      <x:c r="E12" s="15" t="n"/>
      <x:c r="F12" s="15" t="n"/>
      <x:c r="G12" s="15" t="n"/>
      <x:c r="H12" s="15" t="n"/>
    </x:row>
    <x:row r="13" ht="40" customHeight="1">
      <x:c r="A13" s="21" t="inlineStr">
        <x:is>
          <x:t xml:space="preserve">Current item ID</x:t>
        </x:is>
      </x:c>
      <x:c r="B13" s="22" t="str">
        <x:v>FB-008</x:v>
      </x:c>
    </x:row>
    <x:row r="14" ht="100" customHeight="1">
      <x:c r="A14" s="21" t="inlineStr">
        <x:is>
          <x:t xml:space="preserve">Current lesson</x:t>
        </x:is>
      </x:c>
      <x:c r="B14" s="22" t="str">
        <x:v>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x:v>
      </x:c>
    </x:row>
    <x:row r="15" ht="100" customHeight="1">
      <x:c r="A15" s="21" t="inlineStr">
        <x:is>
          <x:t xml:space="preserve">Next action</x:t>
        </x:is>
      </x:c>
      <x:c r="B15" s="22" t="str">
        <x:v>Before starting/resuming this item or feature: reread AGENTS.md from disk; apply teaching/testing rules. Developer check sidebar links, list/create/edit highlights, collapsed/mobile layout and role visibility. Then return to FB-048/067 catalogue evidence reconciliation. Stock guard stays FB-053; remaining FB-008 landing-page work deferred.</x:v>
      </x:c>
    </x:row>
    <x:row r="16" ht="65" customHeight="1">
      <x:c r="A16" s="21" t="inlineStr">
        <x:is>
          <x:t xml:space="preserve">Waiting on</x:t>
        </x:is>
      </x:c>
      <x:c r="B16" s="22" t="str">
        <x:v>Developer-first sidebar behaviour checks pending; remaining FB-008 deferred.</x:v>
      </x:c>
    </x:row>
    <x:row r="17" ht="65" customHeight="1">
      <x:c r="A17" s="21" t="inlineStr">
        <x:is>
          <x:t xml:space="preserve">Last reviewed revision</x:t>
        </x:is>
      </x:c>
      <x:c r="B17" s="22" t="str">
        <x:v>f26f5989a4ba56a2d76c2381f3d8690caeec8e36 plus four sidebar-related files, source-reviewed2026-10-30.</x:v>
      </x:c>
    </x:row>
    <x:row r="18" ht="40" customHeight="1">
      <x:c r="A18" s="21" t="inlineStr">
        <x:is>
          <x:t xml:space="preserve">Current item status</x:t>
        </x:is>
      </x:c>
      <x:c r="B18" s="18" t="str">
        <x:v>Sidebar implemented; behaviour checks pending. Remaining FB-008 deferred.</x:v>
      </x:c>
    </x:row>
    <x:row r="19">
      <x:c r="A19" s="15" t="n"/>
      <x:c r="B19" s="15" t="inlineStr">
        <x:is>
          <x: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str">
        <x: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str">
        <x: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1" s="31" t="n">
        <x:v>46324</x:v>
      </x:c>
      <x:c r="M11" s="11" t="inlineStr">
        <x:is>
          <x:t xml:space="preserve">Assistant (delegated; browser Cancel user-assisted)</x:t>
        </x:is>
      </x:c>
      <x:c r="N11" s="11" t="inlineStr">
        <x:is>
          <x:t xml:space="preserve">Failed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1" s="31" t="n">
        <x:v>46324</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3" s="31" t="n">
        <x:v>46324</x:v>
      </x:c>
      <x:c r="M13" s="11" t="inlineStr">
        <x:is>
          <x:t xml:space="preserve">Assistant (delegated; browser Cancel user-assisted)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3" s="31" t="n">
        <x:v>46324</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Changes needed</x:t>
        </x:is>
      </x:c>
      <x:c r="K17"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Changes needed</x:t>
        </x:is>
      </x:c>
      <x:c r="K19"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Changes needed</x:t>
        </x:is>
      </x:c>
      <x:c r="K20"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Changes needed</x:t>
        </x:is>
      </x:c>
      <x:c r="K21"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Changes needed</x:t>
        </x:is>
      </x:c>
      <x:c r="K22"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Changes needed</x:t>
        </x:is>
      </x:c>
      <x:c r="K23"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3" s="31" t="n">
        <x:v>46324</x:v>
      </x:c>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FB-068</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str">
        <x:v>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x:v>
      </x:c>
      <x:c r="R24" s="10" t="str">
        <x:v>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Before starting/resuming this item or feature: reread AGENTS.md from disk; apply teaching/testing rules. Developer check sidebar links, list/create/edit highlights, collapsed/mobile layout and role visibility. Then return to FB-048/067 catalogue evidence reconciliation. Stock guard stays FB-053; remaining FB-008 landing-page work deferred.</x:v>
      </x:c>
      <x:c r="S24" s="10" t="str">
        <x:v>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x:v>
      </x:c>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t>
        </x:is>
      </x:c>
      <x:c r="F25" s="9" t="inlineStr">
        <x:is>
          <x:t xml:space="preserve">FB-015</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inlineStr">
        <x:is>
          <x:t xml:space="preserve">In progress</x:t>
        </x:is>
      </x:c>
      <x:c r="J25" s="11" t="inlineStr">
        <x:is>
          <x:t xml:space="preserve">Changes needed</x:t>
        </x:is>
      </x:c>
      <x:c r="K25" s="11" t="inlineStr">
        <x:is>
          <x: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5" s="31" t="n">
        <x:v>46324</x:v>
      </x:c>
      <x:c r="M25" s="11" t="inlineStr">
        <x:is>
          <x:t xml:space="preserve">Assistant (delegated; browser Cancel user-assisted)</x:t>
        </x:is>
      </x:c>
      <x:c r="N25" s="11" t="inlineStr">
        <x:is>
          <x:t xml:space="preserve">Failed</x:t>
        </x:is>
      </x:c>
      <x:c r="O25" s="11" t="inlineStr">
        <x:is>
          <x: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5" s="31" t="n">
        <x:v>46324</x:v>
      </x:c>
      <x:c r="Q25" s="11" t="inlineStr">
        <x:is>
          <x: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5" s="11"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inlineStr">
        <x:is>
          <x:t xml:space="preserve">In progress</x:t>
        </x:is>
      </x:c>
      <x:c r="J26" s="10" t="inlineStr">
        <x:is>
          <x:t xml:space="preserve">Not reviewed</x:t>
        </x:is>
      </x:c>
      <x:c r="K26" s="10" t="inlineStr">
        <x:is>
          <x: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6" s="30" t="n"/>
      <x:c r="M26" s="10" t="inlineStr">
        <x:is>
          <x:t xml:space="preserve">Assistant (explicit narrow test delegation)</x:t>
        </x:is>
      </x:c>
      <x:c r="N26" s="10" t="inlineStr">
        <x:is>
          <x:t xml:space="preserve">Partial</x:t>
        </x:is>
      </x:c>
      <x:c r="O26" s="10" t="inlineStr">
        <x:is>
          <x: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6" s="30" t="n">
        <x:v>46324</x:v>
      </x:c>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x:t>
        </x:is>
      </x:c>
      <x:c r="R26" s="10" t="inlineStr">
        <x:is>
          <x: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FB-008</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7" s="11" t="inlineStr">
        <x:is>
          <x: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FB-022</x:t>
        </x:is>
      </x:c>
      <x:c r="G28" s="4" t="str">
        <x:f>IF(H28="Complete","Complete",IF(I28="Blocked","Blocked",IF(I28="In progress","Ready",IF(F28="","Ready",IF(COUNTIFS($B$4:$B$73,F28,$H$4:$H$73,"Complete")=1,"Ready","Waiting")))))</x:f>
        <x:v>Ready</x:v>
      </x:c>
      <x:c r="H28" s="4" t="str">
        <x:f>IF(I28="Not started","Not started",IF(I28="Blocked","Blocked",IF(I28="In progress","In progress",IF(J28&lt;&gt;"Passed","Awaiting code review",IF(OR(K28="",NOT(ISNUMBER(L28))),"Awaiting review evidence",IF(N28&lt;&gt;"Passed","Awaiting test",IF(OR(M28="",O28="",NOT(ISNUMBER(P28))),"Awaiting test evidence","Complete")))))))</x:f>
        <x:v>In progress</x:v>
      </x:c>
      <x:c r="I28" s="10" t="inlineStr">
        <x:is>
          <x:t xml:space="preserve">In progress</x:t>
        </x:is>
      </x:c>
      <x:c r="J28" s="10" t="inlineStr">
        <x:is>
          <x:t xml:space="preserve">Changes needed</x:t>
        </x:is>
      </x:c>
      <x:c r="K28" s="10" t="str">
        <x: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8" s="30" t="n">
        <x:v>46324</x:v>
      </x:c>
      <x:c r="M28" s="10" t="inlineStr">
        <x:is>
          <x:t xml:space="preserve">Assistant (delegated; browser Cancel user-assisted)</x:t>
        </x:is>
      </x:c>
      <x:c r="N28" s="10" t="inlineStr">
        <x:is>
          <x:t xml:space="preserve">Failed</x:t>
        </x:is>
      </x:c>
      <x:c r="O28" s="10" t="inlineStr">
        <x:is>
          <x: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8" s="30" t="n">
        <x:v>46324</x:v>
      </x:c>
      <x:c r="Q28" s="10" t="inlineStr">
        <x:is>
          <x: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8" s="10"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Complete</x:v>
      </x:c>
      <x:c r="H29" s="9" t="str">
        <x:f>IF(I29="Not started","Not started",IF(I29="Blocked","Blocked",IF(I29="In progress","In progress",IF(J29&lt;&gt;"Passed","Awaiting code review",IF(OR(K29="",NOT(ISNUMBER(L29))),"Awaiting review evidence",IF(N29&lt;&gt;"Passed","Awaiting test",IF(OR(M29="",O29="",NOT(ISNUMBER(P29))),"Awaiting test evidence","Complete")))))))</x:f>
        <x:v>Complete</x:v>
      </x:c>
      <x:c r="I29" s="11" t="inlineStr">
        <x:is>
          <x:t xml:space="preserve">Ready for review</x:t>
        </x:is>
      </x:c>
      <x:c r="J29" s="11" t="inlineStr">
        <x:is>
          <x:t xml:space="preserve">Passed</x:t>
        </x:is>
      </x:c>
      <x:c r="K29" s="11" t="str">
        <x: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9" s="31" t="n">
        <x:v>46324</x:v>
      </x:c>
      <x:c r="M29" s="11" t="inlineStr">
        <x:is>
          <x:t xml:space="preserve">Developer</x:t>
        </x:is>
      </x:c>
      <x:c r="N29" s="11" t="inlineStr">
        <x:is>
          <x:t xml:space="preserve">Passed</x:t>
        </x:is>
      </x:c>
      <x:c r="O29" s="11" t="inlineStr">
        <x:is>
          <x: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x:t>
        </x:is>
      </x:c>
      <x:c r="P29" s="31" t="n">
        <x:v>46324</x:v>
      </x:c>
      <x:c r="Q29" s="11" t="inlineStr">
        <x:is>
          <x:t xml:space="preserve">2026-10-29 creation complete based on passed source review and overall developer-reported creation testing. No assistant application testing. Seeder added under explicit permission and developer ran successfully.</x:t>
        </x:is>
      </x:c>
      <x:c r="R29" s="11" t="inlineStr">
        <x:is>
          <x:t xml:space="preserve">Before starting/resuming this item or feature: reread AGENTS.md from disk; apply teaching/testing rules. FB-026 complete; continue FB-027 Department list then rename.</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x:t>
        </x:is>
      </x:c>
      <x:c r="F30" s="4" t="inlineStr">
        <x:is>
          <x:t xml:space="preserve">FB-026</x:t>
        </x:is>
      </x:c>
      <x:c r="G30" s="4" t="str">
        <x:f>IF(H30="Complete","Complete",IF(I30="Blocked","Blocked",IF(I30="In progress","Ready",IF(F30="","Ready",IF(COUNTIFS($B$4:$B$73,F30,$H$4:$H$73,"Complete")=1,"Ready","Waiting")))))</x:f>
        <x:v>Complete</x:v>
      </x:c>
      <x:c r="H30" s="4" t="str">
        <x:f>IF(I30="Not started","Not started",IF(I30="Blocked","Blocked",IF(I30="In progress","In progress",IF(J30&lt;&gt;"Passed","Awaiting code review",IF(OR(K30="",NOT(ISNUMBER(L30))),"Awaiting review evidence",IF(N30&lt;&gt;"Passed","Awaiting test",IF(OR(M30="",O30="",NOT(ISNUMBER(P30))),"Awaiting test evidence","Complete")))))))</x:f>
        <x:v>Complete</x:v>
      </x:c>
      <x:c r="I30" s="10" t="inlineStr">
        <x:is>
          <x:t xml:space="preserve">Ready for review</x:t>
        </x:is>
      </x:c>
      <x:c r="J30" s="10" t="inlineStr">
        <x:is>
          <x:t xml:space="preserve">Passed</x:t>
        </x:is>
      </x:c>
      <x:c r="K30" s="10" t="str">
        <x: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0" s="30" t="n">
        <x:v>46324</x:v>
      </x:c>
      <x:c r="M30" s="10" t="inlineStr">
        <x:is>
          <x:t xml:space="preserve">Developer</x:t>
        </x:is>
      </x:c>
      <x:c r="N30" s="10" t="inlineStr">
        <x:is>
          <x:t xml:space="preserve">Passed</x:t>
        </x:is>
      </x:c>
      <x:c r="O30" s="10" t="inlineStr">
        <x:is>
          <x: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x:t>
        </x:is>
      </x:c>
      <x:c r="P30" s="30" t="n">
        <x:v>46324</x:v>
      </x:c>
      <x:c r="Q30" s="10" t="inlineStr">
        <x:is>
          <x: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x:t>
        </x:is>
      </x:c>
      <x:c r="R30" s="10" t="inlineStr">
        <x:is>
          <x:t xml:space="preserve">Before starting/resuming this item or feature: reread AGENTS.md from disk; apply teaching/testing rules. Developer checks full-width Department edit input and right-aligned buttons on wide and narrow screens; record result, then resume FB-028.</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x:t>
        </x:is>
      </x:c>
      <x:c r="F31" s="9" t="inlineStr">
        <x:is>
          <x:t xml:space="preserve">FB-027</x:t>
        </x:is>
      </x:c>
      <x:c r="G31" s="9" t="str">
        <x:f>IF(H31="Complete","Complete",IF(I31="Blocked","Blocked",IF(I31="In progress","Ready",IF(F31="","Ready",IF(COUNTIFS($B$4:$B$73,F31,$H$4:$H$73,"Complete")=1,"Ready","Waiting")))))</x:f>
        <x:v>Complete</x:v>
      </x:c>
      <x:c r="H31" s="9" t="str">
        <x:f>IF(I31="Not started","Not started",IF(I31="Blocked","Blocked",IF(I31="In progress","In progress",IF(J31&lt;&gt;"Passed","Awaiting code review",IF(OR(K31="",NOT(ISNUMBER(L31))),"Awaiting review evidence",IF(N31&lt;&gt;"Passed","Awaiting test",IF(OR(M31="",O31="",NOT(ISNUMBER(P31))),"Awaiting test evidence","Complete")))))))</x:f>
        <x:v>Complete</x:v>
      </x:c>
      <x:c r="I31" s="11" t="inlineStr">
        <x:is>
          <x:t xml:space="preserve">Ready for review</x:t>
        </x:is>
      </x:c>
      <x:c r="J31" s="11" t="inlineStr">
        <x:is>
          <x:t xml:space="preserve">Passed</x:t>
        </x:is>
      </x:c>
      <x:c r="K31" s="11" t="str">
        <x: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1" s="31" t="n">
        <x:v>46324</x:v>
      </x:c>
      <x:c r="M31" s="11" t="inlineStr">
        <x:is>
          <x:t xml:space="preserve">Developer (create/list); Assistant (delegated edit tests and browser)</x:t>
        </x:is>
      </x:c>
      <x:c r="N31" s="11" t="inlineStr">
        <x:is>
          <x:t xml:space="preserve">Passed</x:t>
        </x:is>
      </x:c>
      <x:c r="O31" s="11" t="inlineStr">
        <x:is>
          <x: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P31" s="31" t="n">
        <x:v>46324</x:v>
      </x:c>
      <x:c r="Q31" s="11" t="inlineStr">
        <x:is>
          <x: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R31" s="11" t="inlineStr">
        <x:is>
          <x: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x:t>
        </x:is>
      </x:c>
      <x:c r="F32" s="4" t="inlineStr">
        <x:is>
          <x:t xml:space="preserve">FB-028</x:t>
        </x:is>
      </x:c>
      <x:c r="G32" s="4" t="str">
        <x:f>IF(H32="Complete","Complete",IF(I32="Blocked","Blocked",IF(I32="In progress","Ready",IF(F32="","Ready",IF(COUNTIFS($B$4:$B$73,F32,$H$4:$H$73,"Complete")=1,"Ready","Waiting")))))</x:f>
        <x:v>Complete</x:v>
      </x:c>
      <x:c r="H32" s="4" t="str">
        <x:f>IF(I32="Not started","Not started",IF(I32="Blocked","Blocked",IF(I32="In progress","In progress",IF(J32&lt;&gt;"Passed","Awaiting code review",IF(OR(K32="",NOT(ISNUMBER(L32))),"Awaiting review evidence",IF(N32&lt;&gt;"Passed","Awaiting test",IF(OR(M32="",O32="",NOT(ISNUMBER(P32))),"Awaiting test evidence","Complete")))))))</x:f>
        <x:v>Complete</x:v>
      </x:c>
      <x:c r="I32" s="10" t="str">
        <x:v>Ready for review</x:v>
      </x:c>
      <x:c r="J32" s="10" t="str">
        <x:v>Passed</x:v>
      </x:c>
      <x:c r="K32" s="10" t="str">
        <x: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2" s="30" t="n">
        <x:v>46325</x:v>
      </x:c>
      <x:c r="M32" s="10" t="str">
        <x:v>Assistant (explicitly delegated browser and earlier automated checks)</x:v>
      </x:c>
      <x:c r="N32" s="10" t="str">
        <x:v>Passed</x:v>
      </x:c>
      <x:c r="O32" s="10" t="str">
        <x: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2" s="30" t="n">
        <x:v>46325</x:v>
      </x:c>
      <x:c r="Q32" s="10" t="str">
        <x:v>2026-10-30 completed-feature review consolidated; code review and recorded behaviour checks pass. Subcategory module verified; proceed to Tags FB-031.</x:v>
      </x:c>
      <x:c r="R32" s="10" t="str">
        <x:v>Before starting/resuming this item or feature: reread AGENTS.md from disk; apply teaching/testing rules. Completed; continue Tags FB-031.</x:v>
      </x:c>
      <x:c r="S32" s="10" t="n"/>
    </x:row>
    <x:row r="33" ht="105" customHeight="1">
      <x:c r="A33" s="9" t="n">
        <x:v>30</x:v>
      </x:c>
      <x:c r="B33" s="9" t="inlineStr">
        <x:is>
          <x:t xml:space="preserve">FB-030</x:t>
        </x:is>
      </x:c>
      <x:c r="C33" s="9" t="inlineStr">
        <x:is>
          <x:t xml:space="preserve">Subcategories</x:t>
        </x:is>
      </x:c>
      <x:c r="D33" s="9" t="inlineStr">
        <x:is>
          <x:t xml:space="preserve">Rename and move subcategories; verify catalogue permissions</x:t>
        </x:is>
      </x:c>
      <x:c r="E33" s="9"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x:t>
        </x:is>
      </x:c>
      <x:c r="F33" s="9" t="inlineStr">
        <x:is>
          <x:t xml:space="preserve">FB-029</x:t>
        </x:is>
      </x:c>
      <x:c r="G33" s="9" t="str">
        <x:f>IF(H33="Complete","Complete",IF(I33="Blocked","Blocked",IF(I33="In progress","Ready",IF(F33="","Ready",IF(COUNTIFS($B$4:$B$73,F33,$H$4:$H$73,"Complete")=1,"Ready","Waiting")))))</x:f>
        <x:v>Complete</x:v>
      </x:c>
      <x:c r="H33" s="9" t="str">
        <x:f>IF(I33="Not started","Not started",IF(I33="Blocked","Blocked",IF(I33="In progress","In progress",IF(J33&lt;&gt;"Passed","Awaiting code review",IF(OR(K33="",NOT(ISNUMBER(L33))),"Awaiting review evidence",IF(N33&lt;&gt;"Passed","Awaiting test",IF(OR(M33="",O33="",NOT(ISNUMBER(P33))),"Awaiting test evidence","Complete")))))))</x:f>
        <x:v>Complete</x:v>
      </x:c>
      <x:c r="I33" s="11" t="str">
        <x:v>Ready for review</x:v>
      </x:c>
      <x:c r="J33" s="11" t="str">
        <x:v>Passed</x:v>
      </x:c>
      <x:c r="K33" s="11" t="str">
        <x: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3" s="31" t="n">
        <x:v>46325</x:v>
      </x:c>
      <x:c r="M33" s="11" t="str">
        <x:v>Assistant (explicitly delegated browser and earlier automated checks)</x:v>
      </x:c>
      <x:c r="N33" s="11" t="str">
        <x:v>Passed</x:v>
      </x:c>
      <x:c r="O33" s="11" t="str">
        <x: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3" s="31" t="n">
        <x:v>46325</x:v>
      </x:c>
      <x:c r="Q33" s="11" t="str">
        <x:v>2026-10-30 completed-feature review consolidated; code review and recorded behaviour checks pass. Subcategory module verified; proceed to Tags FB-031.</x:v>
      </x:c>
      <x:c r="R33" s="11" t="str">
        <x:v>Before starting/resuming this item or feature: reread AGENTS.md from disk; apply teaching/testing rules. Completed; continue Tags FB-031.</x:v>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Complete</x:v>
      </x:c>
      <x:c r="H34" s="4" t="str">
        <x:f>IF(I34="Not started","Not started",IF(I34="Blocked","Blocked",IF(I34="In progress","In progress",IF(J34&lt;&gt;"Passed","Awaiting code review",IF(OR(K34="",NOT(ISNUMBER(L34))),"Awaiting review evidence",IF(N34&lt;&gt;"Passed","Awaiting test",IF(OR(M34="",O34="",NOT(ISNUMBER(P34))),"Awaiting test evidence","Complete")))))))</x:f>
        <x:v>Complete</x:v>
      </x:c>
      <x:c r="I34" s="10" t="str">
        <x:v>Ready for review</x:v>
      </x:c>
      <x:c r="J34" s="10" t="str">
        <x:v>Passed</x:v>
      </x:c>
      <x:c r="K34" s="10" t="str">
        <x: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4" s="30" t="n">
        <x:v>46325</x:v>
      </x:c>
      <x:c r="M34" s="10" t="str">
        <x:v>Assistant (explicitly delegated automated, MySQL and browser checks)</x:v>
      </x:c>
      <x:c r="N34" s="10" t="str">
        <x:v>Passed</x:v>
      </x:c>
      <x:c r="O34" s="10" t="str">
        <x: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x:v>
      </x:c>
      <x:c r="P34" s="30" t="n">
        <x:v>46325</x:v>
      </x:c>
      <x:c r="Q34" s="10" t="str">
        <x:v>2026-10-30 FB-031 complete: implemented/reviewed/tested tag creation, paginated search list and rename. Product-related tag work remains at FB-037/048.</x:v>
      </x:c>
      <x:c r="R34" s="10" t="str">
        <x:v>Before starting/resuming this item or feature: reread AGENTS.md from disk; apply teaching/testing rules. Verified complete. Next ready module Products FB-032; resume developer-written small lessons unless explicitly delegated.</x:v>
      </x:c>
      <x:c r="S34" s="10" t="str"/>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str">
        <x:v>Product belongs to Subcategory. Required name/hierarchy/status; optional brand/tags. Build without product codes; retain internal database id. No sizes, packaging, counting/contents units, balances or quantities. Introduce tag persistence at FB-037. Reconsider codes after FB-067 at FB-035.</x:v>
      </x:c>
      <x:c r="F35" s="9" t="inlineStr">
        <x:is>
          <x:t xml:space="preserve">FB-031</x:t>
        </x:is>
      </x:c>
      <x:c r="G35" s="9" t="str">
        <x:f>IF(H35="Complete","Complete",IF(I35="Blocked","Blocked",IF(I35="In progress","Ready",IF(F35="","Ready",IF(COUNTIFS($B$4:$B$73,F35,$H$4:$H$73,"Complete")=1,"Ready","Waiting")))))</x:f>
        <x:v>Complete</x:v>
      </x:c>
      <x:c r="H35" s="9" t="str">
        <x:f>IF(I35="Not started","Not started",IF(I35="Blocked","Blocked",IF(I35="In progress","In progress",IF(J35&lt;&gt;"Passed","Awaiting code review",IF(OR(K35="",NOT(ISNUMBER(L35))),"Awaiting review evidence",IF(N35&lt;&gt;"Passed","Awaiting test",IF(OR(M35="",O35="",NOT(ISNUMBER(P35))),"Awaiting test evidence","Complete")))))))</x:f>
        <x:v>Complete</x:v>
      </x:c>
      <x:c r="I35" s="11" t="str">
        <x:v>Ready for review</x:v>
      </x:c>
      <x:c r="J35" s="11" t="str">
        <x:v>Passed</x:v>
      </x:c>
      <x:c r="K35"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5" s="31" t="n">
        <x:v>46325</x:v>
      </x:c>
      <x:c r="M35" s="11" t="str">
        <x:v>Assistant (explicitly delegated automated, MySQL and browser checks)</x:v>
      </x:c>
      <x:c r="N35" s="11" t="str">
        <x:v>Passed</x:v>
      </x:c>
      <x:c r="O35" s="11" t="str">
        <x: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5" s="31" t="n">
        <x:v>46325</x:v>
      </x:c>
      <x:c r="Q35" s="11" t="str">
        <x:v>2026-10-30 Product creation feature implemented/reviewed/tested; this item verified. Product list next; no product code/stock features implemented.</x:v>
      </x:c>
      <x:c r="R35"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5" s="11" t="str"/>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Teach responsive layout and temporary state for catalogue identity fields only. No package preview or stock values.</x:t>
        </x:is>
      </x:c>
      <x:c r="F36" s="4" t="inlineStr">
        <x:is>
          <x:t xml:space="preserve">FB-032</x:t>
        </x:is>
      </x:c>
      <x:c r="G36" s="4" t="str">
        <x:f>IF(H36="Complete","Complete",IF(I36="Blocked","Blocked",IF(I36="In progress","Ready",IF(F36="","Ready",IF(COUNTIFS($B$4:$B$73,F36,$H$4:$H$73,"Complete")=1,"Ready","Waiting")))))</x:f>
        <x:v>Complete</x:v>
      </x:c>
      <x:c r="H36" s="4" t="str">
        <x:f>IF(I36="Not started","Not started",IF(I36="Blocked","Blocked",IF(I36="In progress","In progress",IF(J36&lt;&gt;"Passed","Awaiting code review",IF(OR(K36="",NOT(ISNUMBER(L36))),"Awaiting review evidence",IF(N36&lt;&gt;"Passed","Awaiting test",IF(OR(M36="",O36="",NOT(ISNUMBER(P36))),"Awaiting test evidence","Complete")))))))</x:f>
        <x:v>Complete</x:v>
      </x:c>
      <x:c r="I36" s="10" t="str">
        <x:v>Ready for review</x:v>
      </x:c>
      <x:c r="J36" s="10" t="str">
        <x:v>Passed</x:v>
      </x:c>
      <x:c r="K36"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6" s="30" t="n">
        <x:v>46325</x:v>
      </x:c>
      <x:c r="M36" s="10" t="str">
        <x:v>Assistant (explicitly delegated automated, MySQL and browser checks)</x:v>
      </x:c>
      <x:c r="N36" s="10" t="str">
        <x:v>Passed</x:v>
      </x:c>
      <x:c r="O36"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6" s="30" t="n">
        <x:v>46325</x:v>
      </x:c>
      <x:c r="Q36" s="10" t="str">
        <x:v>2026-10-30 Product creation feature implemented/reviewed/tested; this item verified. Product list next; no product code/stock features implemented.</x:v>
      </x:c>
      <x:c r="R36"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6" s="10" t="str"/>
    </x:row>
    <x:row r="37" ht="105" customHeight="1">
      <x:c r="A37" s="4" t="n">
        <x:v>48</x:v>
      </x:c>
      <x:c r="B37" s="4" t="inlineStr">
        <x:is>
          <x:t xml:space="preserve">FB-035</x:t>
        </x:is>
      </x:c>
      <x:c r="C37" s="4" t="inlineStr">
        <x:is>
          <x:t xml:space="preserve">Products</x:t>
        </x:is>
      </x:c>
      <x:c r="D37" s="4" t="str">
        <x:v>Reconsider product codes and stock connections after the catalogue works</x:v>
      </x:c>
      <x:c r="E37" s="4" t="str">
        <x: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x:v>
      </x:c>
      <x:c r="F37" s="4" t="str">
        <x:v>FB-067</x:v>
      </x:c>
      <x:c r="G37" s="4" t="str">
        <x:f>IF(H37="Complete","Complete",IF(I37="Blocked","Blocked",IF(I37="In progress","Ready",IF(F37="","Ready",IF(COUNTIFS($B$4:$B$73,F37,$H$4:$H$73,"Complete")=1,"Ready","Waiting")))))</x:f>
        <x:v>Waiting</x:v>
      </x:c>
      <x:c r="H37" s="4" t="str">
        <x:f>IF(I37="Not started","Not started",IF(I37="Blocked","Blocked",IF(I37="In progress","In progress",IF(J37&lt;&gt;"Passed","Awaiting code review",IF(OR(K37="",NOT(ISNUMBER(L37))),"Awaiting review evidence",IF(N37&lt;&gt;"Passed","Awaiting test",IF(OR(M37="",O37="",NOT(ISNUMBER(P37))),"Awaiting test evidence","Complete")))))))</x:f>
        <x:v>Not started</x:v>
      </x:c>
      <x:c r="I37" s="10" t="inlineStr">
        <x:is>
          <x:t xml:space="preserve">Not started</x:t>
        </x:is>
      </x:c>
      <x:c r="J37" s="10" t="inlineStr">
        <x:is>
          <x:t xml:space="preserve">Not reviewed</x:t>
        </x:is>
      </x:c>
      <x:c r="K37" s="10" t="n"/>
      <x:c r="L37" s="30" t="n"/>
      <x:c r="M37" s="10" t="n"/>
      <x:c r="N37" s="10" t="inlineStr">
        <x:is>
          <x:t xml:space="preserve">Not tested</x:t>
        </x:is>
      </x:c>
      <x:c r="O37" s="10" t="n"/>
      <x:c r="P37" s="30" t="n"/>
      <x:c r="Q37" s="10"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37" s="10" t="str">
        <x: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x:v>
      </x:c>
      <x:c r="S37" s="10" t="n"/>
    </x:row>
    <x:row r="38" ht="105" customHeight="1">
      <x:c r="A38" s="9" t="n">
        <x:v>34</x:v>
      </x:c>
      <x:c r="B38" s="9" t="inlineStr">
        <x:is>
          <x:t xml:space="preserve">FB-036</x:t>
        </x:is>
      </x:c>
      <x:c r="C38" s="9" t="inlineStr">
        <x:is>
          <x:t xml:space="preserve">Products</x:t>
        </x:is>
      </x:c>
      <x:c r="D38" s="9" t="inlineStr">
        <x:is>
          <x:t xml:space="preserve">Prevent duplicate catalogue products</x:t>
        </x:is>
      </x:c>
      <x:c r="E38" s="9" t="inlineStr">
        <x:is>
          <x:t xml:space="preserve">Compare name/brand/Subcategory, ignore case/outer spaces and include inactive products. No package contents, counting unit or size in catalogue duplicate identity.</x:t>
        </x:is>
      </x:c>
      <x:c r="F38" s="9" t="str">
        <x:v>FB-033</x:v>
      </x:c>
      <x:c r="G38" s="9" t="str">
        <x:f>IF(H38="Complete","Complete",IF(I38="Blocked","Blocked",IF(I38="In progress","Ready",IF(F38="","Ready",IF(COUNTIFS($B$4:$B$73,F38,$H$4:$H$73,"Complete")=1,"Ready","Waiting")))))</x:f>
        <x:v>Complete</x:v>
      </x:c>
      <x:c r="H38" s="9" t="str">
        <x:f>IF(I38="Not started","Not started",IF(I38="Blocked","Blocked",IF(I38="In progress","In progress",IF(J38&lt;&gt;"Passed","Awaiting code review",IF(OR(K38="",NOT(ISNUMBER(L38))),"Awaiting review evidence",IF(N38&lt;&gt;"Passed","Awaiting test",IF(OR(M38="",O38="",NOT(ISNUMBER(P38))),"Awaiting test evidence","Complete")))))))</x:f>
        <x:v>Complete</x:v>
      </x:c>
      <x:c r="I38" s="11" t="str">
        <x:v>Ready for review</x:v>
      </x:c>
      <x:c r="J38" s="11" t="str">
        <x:v>Passed</x:v>
      </x:c>
      <x:c r="K38"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8" s="31" t="n">
        <x:v>46325</x:v>
      </x:c>
      <x:c r="M38" s="11" t="str">
        <x:v>Assistant (explicitly delegated automated, MySQL and browser checks)</x:v>
      </x:c>
      <x:c r="N38" s="11" t="str">
        <x:v>Passed</x:v>
      </x:c>
      <x:c r="O38" s="11"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8" s="31" t="n">
        <x:v>46325</x:v>
      </x:c>
      <x:c r="Q38" s="11" t="str">
        <x:v>2026-10-30 Product creation feature implemented/reviewed/tested; this item verified. Product list next; no product code/stock features implemented.</x:v>
      </x:c>
      <x:c r="R38"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8" s="11" t="str"/>
    </x:row>
    <x:row r="39" ht="105" customHeight="1">
      <x:c r="A39" s="4" t="n">
        <x:v>35</x:v>
      </x:c>
      <x:c r="B39" s="4" t="inlineStr">
        <x:is>
          <x:t xml:space="preserve">FB-037</x:t>
        </x:is>
      </x:c>
      <x:c r="C39" s="4" t="inlineStr">
        <x:is>
          <x:t xml:space="preserve">Products</x:t>
        </x:is>
      </x:c>
      <x:c r="D39" s="4" t="inlineStr">
        <x:is>
          <x:t xml:space="preserve">Save products and attach optional tags</x:t>
        </x:is>
      </x:c>
      <x:c r="E39" s="4" t="str">
        <x: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x:v>
      </x:c>
      <x:c r="F39" s="4" t="inlineStr">
        <x:is>
          <x:t xml:space="preserve">FB-036</x:t>
        </x:is>
      </x:c>
      <x:c r="G39" s="4" t="str">
        <x:f>IF(H39="Complete","Complete",IF(I39="Blocked","Blocked",IF(I39="In progress","Ready",IF(F39="","Ready",IF(COUNTIFS($B$4:$B$73,F39,$H$4:$H$73,"Complete")=1,"Ready","Waiting")))))</x:f>
        <x:v>Complete</x:v>
      </x:c>
      <x:c r="H39" s="4" t="str">
        <x:f>IF(I39="Not started","Not started",IF(I39="Blocked","Blocked",IF(I39="In progress","In progress",IF(J39&lt;&gt;"Passed","Awaiting code review",IF(OR(K39="",NOT(ISNUMBER(L39))),"Awaiting review evidence",IF(N39&lt;&gt;"Passed","Awaiting test",IF(OR(M39="",O39="",NOT(ISNUMBER(P39))),"Awaiting test evidence","Complete")))))))</x:f>
        <x:v>Complete</x:v>
      </x:c>
      <x:c r="I39" s="10" t="str">
        <x:v>Ready for review</x:v>
      </x:c>
      <x:c r="J39" s="10" t="str">
        <x:v>Passed</x:v>
      </x:c>
      <x:c r="K39"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x:v>
      </x:c>
      <x:c r="L39" s="30" t="n">
        <x:v>46325</x:v>
      </x:c>
      <x:c r="M39" s="10" t="str">
        <x:v>Assistant (explicitly delegated automated, MySQL and browser checks)</x:v>
      </x:c>
      <x:c r="N39" s="10" t="str">
        <x:v>Passed</x:v>
      </x:c>
      <x:c r="O39"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9" s="30" t="n">
        <x:v>46325</x:v>
      </x:c>
      <x:c r="Q39" s="10" t="str">
        <x:v>2026-10-30 Product creation feature implemented/reviewed/tested; this item verified. Product list next; no product code/stock features implemented.</x:v>
      </x:c>
      <x:c r="R39"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9" s="10" t="str"/>
    </x:row>
    <x:row r="40" ht="105" customHeight="1">
      <x:c r="A40" s="9" t="n">
        <x:v>36</x:v>
      </x:c>
      <x:c r="B40" s="9" t="inlineStr">
        <x:is>
          <x:t xml:space="preserve">FB-038</x:t>
        </x:is>
      </x:c>
      <x:c r="C40" s="9" t="inlineStr">
        <x:is>
          <x:t xml:space="preserve">Products</x:t>
        </x:is>
      </x:c>
      <x:c r="D40" s="9" t="inlineStr">
        <x:is>
          <x:t xml:space="preserve">Display the unfiltered catalogue product list</x:t>
        </x:is>
      </x:c>
      <x:c r="E40" s="9" t="inlineStr">
        <x:is>
          <x:t xml:space="preserve">All roles see product name, optional brand/tags and status. No category path column; retain hierarchy filters. No product code, sizes, units, available quantity or totals. Verify server permissions.</x:t>
        </x:is>
      </x:c>
      <x:c r="F40" s="9" t="inlineStr">
        <x:is>
          <x:t xml:space="preserve">FB-037</x:t>
        </x:is>
      </x:c>
      <x:c r="G40" s="9" t="str">
        <x:f>IF(H40="Complete","Complete",IF(I40="Blocked","Blocked",IF(I40="In progress","Ready",IF(F40="","Ready",IF(COUNTIFS($B$4:$B$73,F40,$H$4:$H$73,"Complete")=1,"Ready","Waiting")))))</x:f>
        <x:v>Ready</x:v>
      </x:c>
      <x:c r="H40" s="9" t="str">
        <x:f>IF(I40="Not started","Not started",IF(I40="Blocked","Blocked",IF(I40="In progress","In progress",IF(J40&lt;&gt;"Passed","Awaiting code review",IF(OR(K40="",NOT(ISNUMBER(L40))),"Awaiting review evidence",IF(N40&lt;&gt;"Passed","Awaiting test",IF(OR(M40="",O40="",NOT(ISNUMBER(P40))),"Awaiting test evidence","Complete")))))))</x:f>
        <x:v>Awaiting test</x:v>
      </x:c>
      <x:c r="I40" s="11" t="inlineStr">
        <x:is>
          <x:t xml:space="preserve">Ready for review</x:t>
        </x:is>
      </x:c>
      <x:c r="J40" s="11" t="inlineStr">
        <x:is>
          <x:t xml:space="preserve">Passed</x:t>
        </x:is>
      </x:c>
      <x:c r="K40"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0" s="31" t="n">
        <x:v>46325</x:v>
      </x:c>
      <x:c r="M40" s="11" t="inlineStr">
        <x:is>
          <x:t xml:space="preserve">Developer</x:t>
        </x:is>
      </x:c>
      <x:c r="N40" s="11" t="inlineStr">
        <x:is>
          <x:t xml:space="preserve">Not tested</x:t>
        </x:is>
      </x:c>
      <x:c r="O40"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0" s="31" t="n">
        <x:v>46325</x:v>
      </x:c>
      <x:c r="Q40" s="11" t="inlineStr">
        <x:is>
          <x:t xml:space="preserve">
2026-10-30 developer explicitly authorized refactoring CreateProduct. Extracted private findAndLockCategory, findAndLockSubcategory, ensureProductIsUnique and findAndLockTags helpers only. Reviewed diff: permission check remains before transaction; query/lock order, duplicate rules, errors, saving and tag attachment preserved. Scoped Pint and PHPStan PASS (0 errors). Behaviour verification of this refactor pending developer run: php artisan test tests/Feature/ProductCreateTest.php. Previous creation test evidence is historical; do not claim refactor behaviour verified. Product list remains not started.
2026-10-30 developer-reported PASS: replied done all tests passed after explicit php artisan test tests/Feature/ProductCreateTest.php request for CreateProduct helper refactor. Refactor source review, scoped Pint and PHPStan already passed. Refactor verification complete; no assistant-executed application tests claimed. Suggested commit: Refactor product creation into focused helper methods. FB-038 Product list remains not started.</x:t>
        </x:is>
      </x:c>
      <x:c r="R40"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0" s="11" t="n"/>
    </x:row>
    <x:row r="41" ht="105" customHeight="1">
      <x:c r="A41" s="4" t="n">
        <x:v>37</x:v>
      </x:c>
      <x:c r="B41" s="4" t="inlineStr">
        <x:is>
          <x:t xml:space="preserve">FB-039</x:t>
        </x:is>
      </x:c>
      <x:c r="C41" s="4" t="inlineStr">
        <x:is>
          <x:t xml:space="preserve">Products</x:t>
        </x:is>
      </x:c>
      <x:c r="D41" s="4" t="inlineStr">
        <x:is>
          <x:t xml:space="preserve">Arrange catalogue rows and filter toolbar</x:t>
        </x:is>
      </x:c>
      <x:c r="E41" s="4" t="inlineStr">
        <x:is>
          <x:t xml:space="preserve">Teach responsive widths, wrapping/table overflow/stacked toolbar for product identity/classification. No stock/size columns.</x:t>
        </x:is>
      </x:c>
      <x:c r="F41" s="4" t="inlineStr">
        <x:is>
          <x:t xml:space="preserve">FB-038</x:t>
        </x:is>
      </x:c>
      <x:c r="G41" s="4" t="str">
        <x:f>IF(H41="Complete","Complete",IF(I41="Blocked","Blocked",IF(I41="In progress","Ready",IF(F41="","Ready",IF(COUNTIFS($B$4:$B$73,F41,$H$4:$H$73,"Complete")=1,"Ready","Waiting")))))</x:f>
        <x:v>Complete</x:v>
      </x:c>
      <x:c r="H41" s="4" t="str">
        <x:f>IF(I41="Not started","Not started",IF(I41="Blocked","Blocked",IF(I41="In progress","In progress",IF(J41&lt;&gt;"Passed","Awaiting code review",IF(OR(K41="",NOT(ISNUMBER(L41))),"Awaiting review evidence",IF(N41&lt;&gt;"Passed","Awaiting test",IF(OR(M41="",O41="",NOT(ISNUMBER(P41))),"Awaiting test evidence","Complete")))))))</x:f>
        <x:v>Complete</x:v>
      </x:c>
      <x:c r="I41" s="10" t="inlineStr">
        <x:is>
          <x:t xml:space="preserve">Ready for review</x:t>
        </x:is>
      </x:c>
      <x:c r="J41" s="10" t="inlineStr">
        <x:is>
          <x:t xml:space="preserve">Passed</x:t>
        </x:is>
      </x:c>
      <x:c r="K41"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1" s="30" t="n">
        <x:v>46325</x:v>
      </x:c>
      <x:c r="M41" s="10" t="str">
        <x:v>Developer</x:v>
      </x:c>
      <x:c r="N41" s="10" t="str">
        <x:v>Passed</x:v>
      </x:c>
      <x:c r="O41" s="10"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1" s="30" t="n">
        <x:v>46325</x:v>
      </x:c>
      <x:c r="Q41" s="10" t="n"/>
      <x:c r="R41" s="10" t="str">
        <x:v>Before starting/resuming this item or feature: reread AGENTS.md from disk; apply teaching/testing rules. Verified revised Product list. Continue FB-047 Product editing; commit checkpoint: Add searchable product catalogue with multi-tag filters.</x:v>
      </x:c>
      <x:c r="S41" s="10" t="n"/>
    </x:row>
    <x:row r="42" ht="105" customHeight="1">
      <x:c r="A42" s="9" t="n">
        <x:v>38</x:v>
      </x:c>
      <x:c r="B42" s="9" t="inlineStr">
        <x:is>
          <x:t xml:space="preserve">FB-040</x:t>
        </x:is>
      </x:c>
      <x:c r="C42" s="9" t="inlineStr">
        <x:is>
          <x:t xml:space="preserve">Products</x:t>
        </x:is>
      </x:c>
      <x:c r="D42" s="9" t="str">
        <x:v>Add search by product name or tag name</x:v>
      </x:c>
      <x:c r="E42" s="9" t="str">
        <x: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x:v>
      </x:c>
      <x:c r="F42" s="9" t="inlineStr">
        <x:is>
          <x:t xml:space="preserve">FB-039</x:t>
        </x:is>
      </x:c>
      <x:c r="G42" s="9" t="str">
        <x:f>IF(H42="Complete","Complete",IF(I42="Blocked","Blocked",IF(I42="In progress","Ready",IF(F42="","Ready",IF(COUNTIFS($B$4:$B$73,F42,$H$4:$H$73,"Complete")=1,"Ready","Waiting")))))</x:f>
        <x:v>Complete</x:v>
      </x:c>
      <x:c r="H42" s="9" t="str">
        <x:f>IF(I42="Not started","Not started",IF(I42="Blocked","Blocked",IF(I42="In progress","In progress",IF(J42&lt;&gt;"Passed","Awaiting code review",IF(OR(K42="",NOT(ISNUMBER(L42))),"Awaiting review evidence",IF(N42&lt;&gt;"Passed","Awaiting test",IF(OR(M42="",O42="",NOT(ISNUMBER(P42))),"Awaiting test evidence","Complete")))))))</x:f>
        <x:v>Complete</x:v>
      </x:c>
      <x:c r="I42" s="11" t="inlineStr">
        <x:is>
          <x:t xml:space="preserve">Ready for review</x:t>
        </x:is>
      </x:c>
      <x:c r="J42" s="11" t="inlineStr">
        <x:is>
          <x:t xml:space="preserve">Passed</x:t>
        </x:is>
      </x:c>
      <x:c r="K42"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2" s="31" t="n">
        <x:v>46325</x:v>
      </x:c>
      <x:c r="M42" s="11" t="inlineStr">
        <x:is>
          <x:t xml:space="preserve">Developer</x:t>
        </x:is>
      </x:c>
      <x:c r="N42" s="11" t="inlineStr">
        <x:is>
          <x:t xml:space="preserve">Passed</x:t>
        </x:is>
      </x:c>
      <x:c r="O42"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2" s="31" t="n">
        <x:v>46325</x:v>
      </x:c>
      <x:c r="Q42" s="11" t="n"/>
      <x:c r="R42"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2" s="11" t="n"/>
    </x:row>
    <x:row r="43" ht="105" customHeight="1">
      <x:c r="A43" s="4" t="n">
        <x:v>39</x:v>
      </x:c>
      <x:c r="B43" s="4" t="inlineStr">
        <x:is>
          <x:t xml:space="preserve">FB-041</x:t>
        </x:is>
      </x:c>
      <x:c r="C43" s="4" t="inlineStr">
        <x:is>
          <x:t xml:space="preserve">Products</x:t>
        </x:is>
      </x:c>
      <x:c r="D43" s="4" t="inlineStr">
        <x:is>
          <x:t xml:space="preserve">Add the department filter</x:t>
        </x:is>
      </x:c>
      <x:c r="E43" s="4" t="inlineStr">
        <x:is>
          <x:t xml:space="preserve">Filter by department alone and with search. Explain selected state and request values; do not introduce remaining filters yet.</x:t>
        </x:is>
      </x:c>
      <x:c r="F43" s="4" t="inlineStr">
        <x:is>
          <x:t xml:space="preserve">FB-040</x:t>
        </x:is>
      </x:c>
      <x:c r="G43" s="4" t="str">
        <x:f>IF(H43="Complete","Complete",IF(I43="Blocked","Blocked",IF(I43="In progress","Ready",IF(F43="","Ready",IF(COUNTIFS($B$4:$B$73,F43,$H$4:$H$73,"Complete")=1,"Ready","Waiting")))))</x:f>
        <x:v>Complete</x:v>
      </x:c>
      <x:c r="H43" s="4" t="str">
        <x:f>IF(I43="Not started","Not started",IF(I43="Blocked","Blocked",IF(I43="In progress","In progress",IF(J43&lt;&gt;"Passed","Awaiting code review",IF(OR(K43="",NOT(ISNUMBER(L43))),"Awaiting review evidence",IF(N43&lt;&gt;"Passed","Awaiting test",IF(OR(M43="",O43="",NOT(ISNUMBER(P43))),"Awaiting test evidence","Complete")))))))</x:f>
        <x:v>Complete</x:v>
      </x:c>
      <x:c r="I43" s="10" t="inlineStr">
        <x:is>
          <x:t xml:space="preserve">Ready for review</x:t>
        </x:is>
      </x:c>
      <x:c r="J43" s="10" t="inlineStr">
        <x:is>
          <x:t xml:space="preserve">Passed</x:t>
        </x:is>
      </x:c>
      <x:c r="K43"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3" s="30" t="n">
        <x:v>46325</x:v>
      </x:c>
      <x:c r="M43" s="10" t="inlineStr">
        <x:is>
          <x:t xml:space="preserve">Developer</x:t>
        </x:is>
      </x:c>
      <x:c r="N43" s="10" t="inlineStr">
        <x:is>
          <x:t xml:space="preserve">Passed</x:t>
        </x:is>
      </x:c>
      <x:c r="O43"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3" s="30" t="n">
        <x:v>46325</x:v>
      </x:c>
      <x:c r="Q43" s="10" t="n"/>
      <x:c r="R43"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3" s="10" t="n"/>
    </x:row>
    <x:row r="44" ht="105" customHeight="1">
      <x:c r="A44" s="9" t="n">
        <x:v>40</x:v>
      </x:c>
      <x:c r="B44" s="9" t="inlineStr">
        <x:is>
          <x:t xml:space="preserve">FB-042</x:t>
        </x:is>
      </x:c>
      <x:c r="C44" s="9" t="inlineStr">
        <x:is>
          <x:t xml:space="preserve">Products</x:t>
        </x:is>
      </x:c>
      <x:c r="D44" s="9" t="inlineStr">
        <x:is>
          <x:t xml:space="preserve">Add the category filter</x:t>
        </x:is>
      </x:c>
      <x:c r="E44" s="9" t="inlineStr">
        <x:is>
          <x:t xml:space="preserve">Filter by category and combine with department/search; changing parent must not leave incompatible selections.</x:t>
        </x:is>
      </x:c>
      <x:c r="F44" s="9" t="inlineStr">
        <x:is>
          <x:t xml:space="preserve">FB-041</x:t>
        </x:is>
      </x:c>
      <x:c r="G44" s="9" t="str">
        <x:f>IF(H44="Complete","Complete",IF(I44="Blocked","Blocked",IF(I44="In progress","Ready",IF(F44="","Ready",IF(COUNTIFS($B$4:$B$73,F44,$H$4:$H$73,"Complete")=1,"Ready","Waiting")))))</x:f>
        <x:v>Complete</x:v>
      </x:c>
      <x:c r="H44" s="9" t="str">
        <x:f>IF(I44="Not started","Not started",IF(I44="Blocked","Blocked",IF(I44="In progress","In progress",IF(J44&lt;&gt;"Passed","Awaiting code review",IF(OR(K44="",NOT(ISNUMBER(L44))),"Awaiting review evidence",IF(N44&lt;&gt;"Passed","Awaiting test",IF(OR(M44="",O44="",NOT(ISNUMBER(P44))),"Awaiting test evidence","Complete")))))))</x:f>
        <x:v>Complete</x:v>
      </x:c>
      <x:c r="I44" s="11" t="inlineStr">
        <x:is>
          <x:t xml:space="preserve">Ready for review</x:t>
        </x:is>
      </x:c>
      <x:c r="J44" s="11" t="inlineStr">
        <x:is>
          <x:t xml:space="preserve">Passed</x:t>
        </x:is>
      </x:c>
      <x:c r="K44"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4" s="31" t="n">
        <x:v>46325</x:v>
      </x:c>
      <x:c r="M44" s="11" t="inlineStr">
        <x:is>
          <x:t xml:space="preserve">Developer</x:t>
        </x:is>
      </x:c>
      <x:c r="N44" s="11" t="inlineStr">
        <x:is>
          <x:t xml:space="preserve">Passed</x:t>
        </x:is>
      </x:c>
      <x:c r="O44" s="11"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4" s="31" t="n">
        <x:v>46325</x:v>
      </x:c>
      <x:c r="Q44" s="11" t="n"/>
      <x:c r="R44" s="11"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4" s="11" t="n"/>
    </x:row>
    <x:row r="45" ht="105" customHeight="1">
      <x:c r="A45" s="4" t="n">
        <x:v>41</x:v>
      </x:c>
      <x:c r="B45" s="4" t="inlineStr">
        <x:is>
          <x:t xml:space="preserve">FB-043</x:t>
        </x:is>
      </x:c>
      <x:c r="C45" s="4" t="inlineStr">
        <x:is>
          <x:t xml:space="preserve">Products</x:t>
        </x:is>
      </x:c>
      <x:c r="D45" s="4" t="inlineStr">
        <x:is>
          <x:t xml:space="preserve">Add the subcategory filter</x:t>
        </x:is>
      </x:c>
      <x:c r="E45" s="4" t="inlineStr">
        <x:is>
          <x:t xml:space="preserve">Filter by subcategory alongside existing selections; verify full path and no skipped/contradictory parent selection.</x:t>
        </x:is>
      </x:c>
      <x:c r="F45" s="4" t="inlineStr">
        <x:is>
          <x:t xml:space="preserve">FB-042</x:t>
        </x:is>
      </x:c>
      <x:c r="G45" s="4" t="str">
        <x:f>IF(H45="Complete","Complete",IF(I45="Blocked","Blocked",IF(I45="In progress","Ready",IF(F45="","Ready",IF(COUNTIFS($B$4:$B$73,F45,$H$4:$H$73,"Complete")=1,"Ready","Waiting")))))</x:f>
        <x:v>Complete</x:v>
      </x:c>
      <x:c r="H45" s="4" t="str">
        <x:f>IF(I45="Not started","Not started",IF(I45="Blocked","Blocked",IF(I45="In progress","In progress",IF(J45&lt;&gt;"Passed","Awaiting code review",IF(OR(K45="",NOT(ISNUMBER(L45))),"Awaiting review evidence",IF(N45&lt;&gt;"Passed","Awaiting test",IF(OR(M45="",O45="",NOT(ISNUMBER(P45))),"Awaiting test evidence","Complete")))))))</x:f>
        <x:v>Complete</x:v>
      </x:c>
      <x:c r="I45" s="10" t="inlineStr">
        <x:is>
          <x:t xml:space="preserve">Ready for review</x:t>
        </x:is>
      </x:c>
      <x:c r="J45" s="10" t="inlineStr">
        <x:is>
          <x:t xml:space="preserve">Passed</x:t>
        </x:is>
      </x:c>
      <x:c r="K45"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5" s="30" t="n">
        <x:v>46325</x:v>
      </x:c>
      <x:c r="M45" s="10" t="inlineStr">
        <x:is>
          <x:t xml:space="preserve">Developer</x:t>
        </x:is>
      </x:c>
      <x:c r="N45" s="10" t="inlineStr">
        <x:is>
          <x:t xml:space="preserve">Passed</x:t>
        </x:is>
      </x:c>
      <x:c r="O45"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5" s="30" t="n">
        <x:v>46325</x:v>
      </x:c>
      <x:c r="Q45" s="10" t="n"/>
      <x:c r="R45"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5" s="10" t="n"/>
    </x:row>
    <x:row r="46" ht="105" customHeight="1">
      <x:c r="A46" s="9" t="n">
        <x:v>42</x:v>
      </x:c>
      <x:c r="B46" s="9" t="inlineStr">
        <x:is>
          <x:t xml:space="preserve">FB-044</x:t>
        </x:is>
      </x:c>
      <x:c r="C46" s="9" t="inlineStr">
        <x:is>
          <x:t xml:space="preserve">Products</x:t>
        </x:is>
      </x:c>
      <x:c r="D46" s="9" t="inlineStr">
        <x:is>
          <x:t xml:space="preserve">Add the tag filter</x:t>
        </x:is>
      </x:c>
      <x:c r="E46" s="9" t="inlineStr">
        <x:is>
          <x:t xml:space="preserve">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x:t>
        </x:is>
      </x:c>
      <x:c r="F46" s="9" t="inlineStr">
        <x:is>
          <x:t xml:space="preserve">FB-043</x:t>
        </x:is>
      </x:c>
      <x:c r="G46" s="9" t="str">
        <x:f>IF(H46="Complete","Complete",IF(I46="Blocked","Blocked",IF(I46="In progress","Ready",IF(F46="","Ready",IF(COUNTIFS($B$4:$B$73,F46,$H$4:$H$73,"Complete")=1,"Ready","Waiting")))))</x:f>
        <x:v>Complete</x:v>
      </x:c>
      <x:c r="H46" s="9" t="str">
        <x:f>IF(I46="Not started","Not started",IF(I46="Blocked","Blocked",IF(I46="In progress","In progress",IF(J46&lt;&gt;"Passed","Awaiting code review",IF(OR(K46="",NOT(ISNUMBER(L46))),"Awaiting review evidence",IF(N46&lt;&gt;"Passed","Awaiting test",IF(OR(M46="",O46="",NOT(ISNUMBER(P46))),"Awaiting test evidence","Complete")))))))</x:f>
        <x:v>Complete</x:v>
      </x:c>
      <x:c r="I46" s="11" t="inlineStr">
        <x:is>
          <x:t xml:space="preserve">Ready for review</x:t>
        </x:is>
      </x:c>
      <x:c r="J46" s="11" t="inlineStr">
        <x:is>
          <x:t xml:space="preserve">Passed</x:t>
        </x:is>
      </x:c>
      <x:c r="K46"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6" s="31" t="n">
        <x:v>46325</x:v>
      </x:c>
      <x:c r="M46" s="11" t="str">
        <x:v>Developer</x:v>
      </x:c>
      <x:c r="N46" s="11" t="str">
        <x:v>Passed</x:v>
      </x:c>
      <x:c r="O46" s="11"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6" s="31" t="n">
        <x:v>46325</x:v>
      </x:c>
      <x:c r="Q46" s="11" t="n"/>
      <x:c r="R46" s="11" t="str">
        <x:v>Before starting/resuming this item or feature: reread AGENTS.md from disk; apply teaching/testing rules. Verified revised Product list. Continue FB-047 Product editing; commit checkpoint: Add searchable product catalogue with multi-tag filters.</x:v>
      </x:c>
      <x:c r="S46" s="11" t="n"/>
    </x:row>
    <x:row r="47" ht="105" customHeight="1">
      <x:c r="A47" s="4" t="n">
        <x:v>43</x:v>
      </x:c>
      <x:c r="B47" s="4" t="inlineStr">
        <x:is>
          <x:t xml:space="preserve">FB-045</x:t>
        </x:is>
      </x:c>
      <x:c r="C47" s="4" t="inlineStr">
        <x:is>
          <x:t xml:space="preserve">Products</x:t>
        </x:is>
      </x:c>
      <x:c r="D47" s="4" t="inlineStr">
        <x:is>
          <x:t xml:space="preserve">Add the product status filter</x:t>
        </x:is>
      </x:c>
      <x:c r="E47" s="4" t="inlineStr">
        <x:is>
          <x:t xml:space="preserve">All/Active/Inactive works with existing filters. General product list may show inactive/zero-stock products; distribution picker later has stricter rules.</x:t>
        </x:is>
      </x:c>
      <x:c r="F47" s="4" t="inlineStr">
        <x:is>
          <x:t xml:space="preserve">FB-044</x:t>
        </x:is>
      </x:c>
      <x:c r="G47" s="4" t="str">
        <x:f>IF(H47="Complete","Complete",IF(I47="Blocked","Blocked",IF(I47="In progress","Ready",IF(F47="","Ready",IF(COUNTIFS($B$4:$B$73,F47,$H$4:$H$73,"Complete")=1,"Ready","Waiting")))))</x:f>
        <x:v>Complete</x:v>
      </x:c>
      <x:c r="H47" s="4" t="str">
        <x:f>IF(I47="Not started","Not started",IF(I47="Blocked","Blocked",IF(I47="In progress","In progress",IF(J47&lt;&gt;"Passed","Awaiting code review",IF(OR(K47="",NOT(ISNUMBER(L47))),"Awaiting review evidence",IF(N47&lt;&gt;"Passed","Awaiting test",IF(OR(M47="",O47="",NOT(ISNUMBER(P47))),"Awaiting test evidence","Complete")))))))</x:f>
        <x:v>Complete</x:v>
      </x:c>
      <x:c r="I47" s="10" t="inlineStr">
        <x:is>
          <x:t xml:space="preserve">Ready for review</x:t>
        </x:is>
      </x:c>
      <x:c r="J47" s="10" t="inlineStr">
        <x:is>
          <x:t xml:space="preserve">Passed</x:t>
        </x:is>
      </x:c>
      <x:c r="K47" s="10"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x:t>
        </x:is>
      </x:c>
      <x:c r="L47" s="30" t="n">
        <x:v>46325</x:v>
      </x:c>
      <x:c r="M47" s="10" t="inlineStr">
        <x:is>
          <x:t xml:space="preserve">Developer</x:t>
        </x:is>
      </x:c>
      <x:c r="N47" s="10" t="inlineStr">
        <x:is>
          <x:t xml:space="preserve">Passed</x:t>
        </x:is>
      </x:c>
      <x:c r="O47" s="10" t="inlineStr">
        <x:is>
          <x: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x:t>
        </x:is>
      </x:c>
      <x:c r="P47" s="30" t="n">
        <x:v>46325</x:v>
      </x:c>
      <x:c r="Q47" s="10" t="n"/>
      <x:c r="R47" s="10" t="inlineStr">
        <x:is>
          <x:t xml:space="preserve">Before starting/resuming this item or feature: reread AGENTS.md from disk; apply teaching/testing rules. Read FB-047 and related Requirements before beginning Product editing. Product list FB-038–046 reviewed and developer-tested PASS. Suggest commit: Add searchable product catalogue with filters and pagination. Latest delegation covered Product list only; Product editing not yet authorized.</x:t>
        </x:is>
      </x:c>
      <x:c r="S47" s="10" t="n"/>
    </x:row>
    <x:row r="48" ht="105" customHeight="1">
      <x:c r="A48" s="9" t="n">
        <x:v>44</x:v>
      </x:c>
      <x:c r="B48" s="9" t="inlineStr">
        <x:is>
          <x:t xml:space="preserve">FB-046</x:t>
        </x:is>
      </x:c>
      <x:c r="C48" s="9" t="inlineStr">
        <x:is>
          <x:t xml:space="preserve">Products</x:t>
        </x:is>
      </x:c>
      <x:c r="D48" s="9" t="inlineStr">
        <x:is>
          <x:t xml:space="preserve">Paginate and verify the full product list</x:t>
        </x:is>
      </x:c>
      <x:c r="E48" s="9" t="inlineStr">
        <x:is>
          <x:t xml:space="preserve">10 products per page after all search/filters. Preserve selections across pages; all roles may list/search/filter. Verify combinations and boundary/empty pages.</x:t>
        </x:is>
      </x:c>
      <x:c r="F48" s="9" t="inlineStr">
        <x:is>
          <x:t xml:space="preserve">FB-045</x:t>
        </x:is>
      </x:c>
      <x:c r="G48" s="9" t="str">
        <x:f>IF(H48="Complete","Complete",IF(I48="Blocked","Blocked",IF(I48="In progress","Ready",IF(F48="","Ready",IF(COUNTIFS($B$4:$B$73,F48,$H$4:$H$73,"Complete")=1,"Ready","Waiting")))))</x:f>
        <x:v>Complete</x:v>
      </x:c>
      <x:c r="H48" s="9" t="str">
        <x:f>IF(I48="Not started","Not started",IF(I48="Blocked","Blocked",IF(I48="In progress","In progress",IF(J48&lt;&gt;"Passed","Awaiting code review",IF(OR(K48="",NOT(ISNUMBER(L48))),"Awaiting review evidence",IF(N48&lt;&gt;"Passed","Awaiting test",IF(OR(M48="",O48="",NOT(ISNUMBER(P48))),"Awaiting test evidence","Complete")))))))</x:f>
        <x:v>Complete</x:v>
      </x:c>
      <x:c r="I48" s="11" t="inlineStr">
        <x:is>
          <x:t xml:space="preserve">Ready for review</x:t>
        </x:is>
      </x:c>
      <x:c r="J48" s="11" t="inlineStr">
        <x:is>
          <x:t xml:space="preserve">Passed</x:t>
        </x:is>
      </x:c>
      <x:c r="K48" s="11" t="inlineStr">
        <x:is>
          <x: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L48" s="31" t="n">
        <x:v>46325</x:v>
      </x:c>
      <x:c r="M48" s="11" t="str">
        <x:v>Developer</x:v>
      </x:c>
      <x:c r="N48" s="11" t="str">
        <x:v>Passed</x:v>
      </x:c>
      <x:c r="O48" s="11" t="str">
        <x: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x:v>
      </x:c>
      <x:c r="P48" s="31" t="n">
        <x:v>46325</x:v>
      </x:c>
      <x:c r="Q48" s="11" t="n"/>
      <x:c r="R48" s="11" t="str">
        <x:v>Before starting/resuming this item or feature: reread AGENTS.md from disk; apply teaching/testing rules. Verified revised Product list. Continue FB-047 Product editing; commit checkpoint: Add searchable product catalogue with multi-tag filters.</x:v>
      </x:c>
      <x:c r="S48" s="11" t="n"/>
    </x:row>
    <x:row r="49" ht="105" customHeight="1">
      <x:c r="A49" s="4" t="n">
        <x:v>45</x:v>
      </x:c>
      <x:c r="B49" s="4" t="inlineStr">
        <x:is>
          <x:t xml:space="preserve">FB-047</x:t>
        </x:is>
      </x:c>
      <x:c r="C49" s="4" t="inlineStr">
        <x:is>
          <x:t xml:space="preserve">Products</x:t>
        </x:is>
      </x:c>
      <x:c r="D49" s="4" t="inlineStr">
        <x:is>
          <x:t xml:space="preserve">Edit catalogue product details</x:t>
        </x:is>
      </x:c>
      <x:c r="E49" s="4" t="str">
        <x:v>Managers/Super Admin edit catalogue fields with duplicate checks. No code, packaging or stock fields. Stock-related classification constraints remain for the post-catalogue design checkpoint.</x:v>
      </x:c>
      <x:c r="F49" s="4" t="inlineStr">
        <x:is>
          <x:t xml:space="preserve">FB-046</x:t>
        </x:is>
      </x:c>
      <x:c r="G49" s="4" t="str">
        <x:f>IF(H49="Complete","Complete",IF(I49="Blocked","Blocked",IF(I49="In progress","Ready",IF(F49="","Ready",IF(COUNTIFS($B$4:$B$73,F49,$H$4:$H$73,"Complete")=1,"Ready","Waiting")))))</x:f>
        <x:v>Complete</x:v>
      </x:c>
      <x:c r="H49" s="4" t="str">
        <x:f>IF(I49="Not started","Not started",IF(I49="Blocked","Blocked",IF(I49="In progress","In progress",IF(J49&lt;&gt;"Passed","Awaiting code review",IF(OR(K49="",NOT(ISNUMBER(L49))),"Awaiting review evidence",IF(N49&lt;&gt;"Passed","Awaiting test",IF(OR(M49="",O49="",NOT(ISNUMBER(P49))),"Awaiting test evidence","Complete")))))))</x:f>
        <x:v>Complete</x:v>
      </x:c>
      <x:c r="I49" s="10" t="str">
        <x:v>Ready for review</x:v>
      </x:c>
      <x:c r="J49" s="10" t="str">
        <x:v>Passed</x:v>
      </x:c>
      <x:c r="K49" s="10" t="str">
        <x:v>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c r="L49" s="30" t="n">
        <x:v>46325</x:v>
      </x:c>
      <x:c r="M49" s="10" t="str">
        <x:v>Assistant, delegated by developer</x:v>
      </x:c>
      <x:c r="N49" s="10" t="str">
        <x:v>Passed</x:v>
      </x:c>
      <x:c r="O49" s="10" t="str">
        <x:v>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c r="P49" s="30" t="n">
        <x:v>46325</x:v>
      </x:c>
      <x:c r="Q49" s="10" t="n"/>
      <x:c r="R49" s="10" t="str">
        <x:v>Before starting/resuming this item or feature: reread AGENTS.md from disk; apply teaching/testing rules. FB-047 verified. Commit checkpoint: Add protected product editing with validation and tag syncing. Next FB-048: teach existing Active/Inactive and tag removal behavior in small steps; inspect agreed tag deletion requirements/conventions before additional implementation. Stock-based deactivation integrity requires explicit later FB-053 checkpoint; do not mark FB-048 complete before required evidence. No new application changes authorized beyond Edit link.</x:v>
      </x:c>
      <x:c r="S49" s="10" t="str">
        <x:v>2026-10-30 relevant Poker reference inspected: app/Policies/PlayerPolicy.php update checks role; routes/web.php edit and update use can(update, player); PlayerController::edit passes selected fields to Inertia Edit. FoodBank ProductPolicy::update currently false; ProductController currently index/create/store only. First permission lesson only; no application edits made.
2026-10-30 developer explicitly delegated successive steps: ProductPolicy::update, protected GET products/{product}/edit route, ProductController::edit, then products/Edit.vue. Implemented only these authorized steps. Page receives saved values, copies reactive local state, retains dependent dropdowns and searchable tags/status layout from Create. Save disabled and form submit prevented until update backend exists; Cancel returns /products. PHP syntax checks passed for policy/route/controller; vue-tsc and scoped Vue formatting passed. No browser/application tests run. Feature-wide review and behaviour tests remain pending.
2026-10-30 developer confirmed saved values display correctly (yes); this confirms that scaffold only. Then explicitly delegated server-side validation: added UpdateProductRequest matching Create field/hierarchy/tag rules, bound-product update permission, normalized name+brand+subcategory duplicate check excluding current product, typed productData. PHP syntax/Pint/PHPStan0 errors passed. Next explicitly delegated save operation: added UpdateProduct action following Create transaction/locks/permission checks, excluding current product in duplicate check, locking saved product, updating only catalogue fields and syncing tag links. PHP syntax/Pint/PHPStan0 errors/whitespace passed. No application tests or browser acceptance checks performed by assistant; no full feature review yet. Controller update, PATCH route and Vue submission are not built.
2026-10-30 developer explicitly delegated controller update method (connect UpdateProductRequest/productData/UpdateProduct, success toast and products.index redirect), then protected numeric PATCH products/{product} route with can(update, product); PHP syntax/Pint/scoped PHPStan0 errors passed where applicable. Then delegated Vue Save/errors/Saving state: Edit.vue now uses useForm initialized from saved props, guarded PATCH submission with preserveScroll, field/tag-array validation errors and accessible field error links, processing disabled Save/Saving text, retained input on validation failure, no reset. Removed temporary disabled-save notice. Vue type checking, scoped formatting and whitespace checks PASS. No application tests/browser checks run by assistant. Product Edit browser saved-values scaffold was developer-confirmed earlier; saving/error/denied-access journey not yet developer-tested. Whole-feature review pending; no completion claimed.
2026-10-30 developer delegated checks (you check). Assistant reviewed ProductPolicy, GET/PATCH routes, ProductController edit/update, UpdateProductRequest, UpdateProduct, Edit.vue and Index.vue at HEAD7c24b5cf9e6a50e730d746ad821ee76d9e26671d plus current uncommitted editing files. Core save flow source review passed; completion finding: Index.vue has no Edit link, so direct URL currently required. No application source fixes authorized or made in this checking turn. Temporary checks outside repo: /tmp/foodbank-lesson-tracker/ProductEditCheckTest.php PASS19 tests126 assertions, isolated in-memory SQLite: both permitted roles GET/PATCH, saved props, unchanged identity, tag replacement/removal, blank brand, invalid input, normalized duplicate identities including inactive, denied volunteer/guest access, independent action permission/duplicate checks, transaction rollback, hierarchy move/mismatch. Existing ProductCreateTest+ProductListTest PASS68 tests589 assertions. Scoped PHPStan0 errors, Vue types and production build PASS. Built browser assets because open tab showed prior disabled-save scaffold. Brave foodbank.test/products/100/edit as Super Admin: required-name error appeared, temporary Chocolate Milk Check save redirected/products with success toast, reopening showed saved name, original Chocolate Milk restored and reopening verified; original Neilson brand, active status, Refrigerated/Snack tags retained. Saving state code-reviewed but not visually captured due fast response. No phone or concurrent MySQL race tests performed. Functional checks pass for implemented edit flow; feature stays open pending permitted list Edit entry point and final verification of that change.
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x:v>
      </x:c>
    </x:row>
    <x:row r="50" ht="105" customHeight="1">
      <x:c r="A50" s="9" t="n">
        <x:v>46</x:v>
      </x:c>
      <x:c r="B50" s="9" t="inlineStr">
        <x:is>
          <x:t xml:space="preserve">FB-048</x:t>
        </x:is>
      </x:c>
      <x:c r="C50" s="9" t="inlineStr">
        <x:is>
          <x:t xml:space="preserve">Products</x:t>
        </x:is>
      </x:c>
      <x:c r="D50" s="9" t="inlineStr">
        <x:is>
          <x:t xml:space="preserve">Activate/deactivate products and manage tag removal</x:t>
        </x:is>
      </x:c>
      <x:c r="E50" s="9" t="inlineStr">
        <x:is>
          <x: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x:t>
        </x:is>
      </x:c>
      <x:c r="F50" s="9" t="inlineStr">
        <x:is>
          <x:t xml:space="preserve">FB-047</x:t>
        </x:is>
      </x:c>
      <x:c r="G50" s="9" t="str">
        <x:f>IF(H50="Complete","Complete",IF(I50="Blocked","Blocked",IF(I50="In progress","Ready",IF(F50="","Ready",IF(COUNTIFS($B$4:$B$73,F50,$H$4:$H$73,"Complete")=1,"Ready","Waiting")))))</x:f>
        <x:v>Ready</x:v>
      </x:c>
      <x:c r="H50" s="9" t="str">
        <x:f>IF(I50="Not started","Not started",IF(I50="Blocked","Blocked",IF(I50="In progress","In progress",IF(J50&lt;&gt;"Passed","Awaiting code review",IF(OR(K50="",NOT(ISNUMBER(L50))),"Awaiting review evidence",IF(N50&lt;&gt;"Passed","Awaiting test",IF(OR(M50="",O50="",NOT(ISNUMBER(P50))),"Awaiting test evidence","Complete")))))))</x:f>
        <x:v>In progress</x:v>
      </x:c>
      <x:c r="I50" s="11" t="str">
        <x:v>In progress</x:v>
      </x:c>
      <x:c r="J50" s="11" t="inlineStr">
        <x:is>
          <x:t xml:space="preserve">Not reviewed</x:t>
        </x:is>
      </x:c>
      <x:c r="K50" s="11" t="n"/>
      <x:c r="L50" s="31" t="n"/>
      <x:c r="M50" s="11" t="n"/>
      <x:c r="N50" s="11" t="inlineStr">
        <x:is>
          <x:t xml:space="preserve">Not tested</x:t>
        </x:is>
      </x:c>
      <x:c r="O50" s="11" t="n"/>
      <x:c r="P50" s="31" t="n"/>
      <x:c r="Q50" s="11" t="str">
        <x:v>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x:v>
      </x:c>
      <x:c r="R50" s="11" t="str">
        <x:v>Before starting/resuming this item or feature: reread AGENTS.md from disk; apply teaching/testing rules. Browser blocked-tag error and phone layout checks PASS2026-10-30 in in-app browser; preserve historical191 catalogue+24 editing passes. Reconcile catalogue checkpoint FB-067 evidence and deferred FB-053 stock guard before completion; do not claim successful-delete/toast interaction observed. Then approved next discussion FB-035: whether visible product codes are needed before Stock Management FB-034.</x:v>
      </x:c>
      <x:c r="S50" s="11" t="str">
        <x:v>2026-10-30 developer explicitly delegated checking status changes/tag removal. Read AGENTS and FB-048/related requirements. Targeted isolated in-memory SQLite HTTP tests outside repo PASS2 tests86 assertions (Manager and SuperAdmin). Verified deactivate persists false, saved edit props false/tag IDs, inactive list inclusion, removal of one selected shared tag leaves shared tag record and other inactive product link unchanged, reactivation true, remove-all tags supported with both tag records retained, active list inclusion, reattach existing tags, products not deleted. Source review of current UpdateProduct sync/update implementation supports this subset. No application source or permanent test changes. Browser attempt interrupted by user browser activity before executing status/tag changes; no browser status/tag acceptance claimed and no browser record changes performed. Shared-tag deletion not implemented/verified in this check. Stock-based deactivation guard remains unimplemented/unverified until FB-053; full FB-048 not complete.
2026-10-30 developer explicitly authorized unused shared tag deletion, blocking all product usage. Inspected Poker DeactivatePlayer action and FoodBank TagController/TagPolicy/ListTags/tags Index/product_tag RESTRICT foreign key. Implemented DeleteTag action: independent delete Gate, transaction and exclusive tag lock interoperating with Product save shared tag locks, products()-&gt;exists without active filter, ValidationException blocked message, delete only unused tag; no detach/cascade. TagPolicy delete Manager/SuperAdmin; protected numeric DELETE /tags/{tag} route and controller destroy success toast/back. ListTags canDelete per policy; Vue Delete confirmation, useForm deletion/errors, disabled concurrent deletion and Deleting label, accessible labels, flex-wrap/gap actions, alert on used-tag failure. Source review PASS for this change; PHPStan0 errors, Vue types, scoped Pint/Vue format, production build and whitespace PASS. No browser deletion or application behaviour tests executed: developer-first check pending. Prior delegated status/tag-removal evidence retained. No migrations or existing data changes. FB-048 remains in progress: shared deletion behaviour and later stock guard not verified.
2026-10-30 developer explicitly delegated tag-deletion checks including active/inactive usage. Added temporary isolated checks outside repo /tmp/foodbank-lesson-tracker/TagDeleteCheckTest.php, in-memory SQLite. New11 checks PASS: Manager and SuperAdmin delete unused tag and keep unrelated tag; both roles blocked for active and inactive linked product preserving tag/pivot/status; independent action blocks mixed active+inactive usage and still blocks after active link removed, permits only after last inactive link removed without deleting products; guests/Volunteers denied; direct action denies Volunteer; missing/nonnumeric IDs404. Combined with existing TagTest:30 tests29 passed1 failed311 assertions. Sole failure existing tests/Feature/TagTest.php line118 expects405 deletion not exposed, now actual302 success redirect by approved feature; obsolete assertion, not a failed active/inactive guard. No permanent tests or application source modified in checking turn. Shared-tag deletion backend guards/source reviewed PASS; browser confirmation/cancel/loading/error display not exercised in this turn. No current catalogue records modified. Stock guard remains unverified at FB-053; FB-048 stays open pending obsolete regression-test repair and full remaining checks.
2026-10-30 developer explicitly authorized updating outdated TagTest and rerunning tests. Changed only tests/Feature/TagTest.php: removed obsolete405 deletion-not-exposed expectation; retained missing-tag checks and added missing/nonnumeric DELETE404; added permanent Manager/SuperAdmin unused deletion, both roles active/inactive usage rejection preserving links/status, mixed-user last-link release action coverage and direct Volunteer action denial; existing guest/Volunteer write tests now include DELETE. Reviewed focused test diff PASS; Pint/whitespace PASS. Delegated run php artisan test tests/Feature/TagTest.php tests/Feature/ProductCreateTest.php tests/Feature/ProductListTest.php PASS95 tests898 assertions. This resolves prior obsolete regression failure; no application source changes. Previous temporary guard tests/status tests preserved. Browser confirmation/Cancel/loading/error flow still unverified; stock-dependent deactivation remains later FB-053. FB-048 not marked complete.
2026-10-30 developer explicitly delegated browser tag-deletion screen then whole catalogue review. Read current AGENTS and related catalogue Requirements. Reviewed current hierarchy/tag/product models, migrations, protected routes, policies, controllers, form requests/actions and Vue state/layout/filter/error flows against current scope at HEADf26f5989a4ba56a2d76c2381f3d8690caeec8e36 plus current Tag deletion/test working changes. No blocking finding in reviewed current-phase code; stock-dependent deactivation remains explicit later checkpoint, not passed. Automated catalogue suite PASS191 tests1579 assertions (DepartmentEdit,CategoryEdit,SubcategoryCreate/Edit/List,Tag,ProductCreate/List); focused outside-repo edit/status/list-permission checks PASS24 tests248 assertions. Full PHPStan0 errors, Vue types and whitespace PASS. Browser as SuperAdmin foodbank.test/tags: clicked Delete Cooking Required, confirmation named exact tag; Cancel returned with row preserved. Created unused disposable tag ZZ Browser Deletion Practice1030 via Create screen (actual exact name ZZ Browser Deletion Practice 1030, id69), search isolated it; Delete confirmation now open, not confirmed. Browser-use policy requires action-time confirmation before permanent deletion. Pending async question authorizes deleting ONLY this exact test tag; no response yet. No existing tag deleted. Browser successful deletion/blocked error and phone layout remain unverified in this review. No application source edits. Do not mark FB-048/067 complete pending browser evidence and scope-specific deferred guard accounting.
2026-10-30 user approved permanent deletion of ONLY unused test tag ZZ Browser Deletion Practice 1030. On reacquiring FoodBank tab after approval, confirmation was no longer open and filtered list already showed No tags found. Reload confirmed absence; read-only live Tag query by exact name returned false. Assistant did not click OK or delete anything after approval, and did not observe success toast; cannot attribute deletion or claim full successful-deletion interaction observed. Disposable tag absent and no cleanup needed. Previous source/tests/Cancel confirmation evidence remains valid. Remaining browser blocked-error and narrow-screen verification still open; no whole-catalogue completion claimed.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x:v>
      </x:c>
    </x:row>
    <x:row r="51" ht="105" customHeight="1">
      <x:c r="A51" s="4" t="n">
        <x:v>47</x:v>
      </x:c>
      <x:c r="B51" s="4" t="inlineStr">
        <x:is>
          <x:t xml:space="preserve">FB-067</x:t>
        </x:is>
      </x:c>
      <x:c r="C51" s="4" t="inlineStr">
        <x:is>
          <x:t xml:space="preserve">Verification</x:t>
        </x:is>
      </x:c>
      <x:c r="D51" s="4" t="inlineStr">
        <x:is>
          <x:t xml:space="preserve">Verify completed Product Catalogue before Stock Management</x:t>
        </x:is>
      </x:c>
      <x:c r="E51" s="4" t="str">
        <x: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x:v>
      </x:c>
      <x:c r="F51" s="4" t="inlineStr">
        <x:is>
          <x:t xml:space="preserve">FB-048</x:t>
        </x:is>
      </x:c>
      <x:c r="G51" s="4" t="str">
        <x:f>IF(H51="Complete","Complete",IF(I51="Blocked","Blocked",IF(I51="In progress","Ready",IF(F51="","Ready",IF(COUNTIFS($B$4:$B$73,F51,$H$4:$H$73,"Complete")=1,"Ready","Waiting")))))</x:f>
        <x:v>Ready</x:v>
      </x:c>
      <x:c r="H51" s="4" t="str">
        <x:f>IF(I51="Not started","Not started",IF(I51="Blocked","Blocked",IF(I51="In progress","In progress",IF(J51&lt;&gt;"Passed","Awaiting code review",IF(OR(K51="",NOT(ISNUMBER(L51))),"Awaiting review evidence",IF(N51&lt;&gt;"Passed","Awaiting test",IF(OR(M51="",O51="",NOT(ISNUMBER(P51))),"Awaiting test evidence","Complete")))))))</x:f>
        <x:v>In progress</x:v>
      </x:c>
      <x:c r="I51" s="10" t="str">
        <x:v>In progress</x:v>
      </x:c>
      <x:c r="J51" s="10" t="inlineStr">
        <x:is>
          <x:t xml:space="preserve">Not reviewed</x:t>
        </x:is>
      </x:c>
      <x:c r="K51" s="10" t="n"/>
      <x:c r="L51" s="30" t="n"/>
      <x:c r="M51" s="10" t="n"/>
      <x:c r="N51" s="10" t="inlineStr">
        <x:is>
          <x:t xml:space="preserve">Not tested</x:t>
        </x:is>
      </x:c>
      <x:c r="O51" s="10" t="n"/>
      <x:c r="P51" s="30" t="n"/>
      <x:c r="Q51" s="10" t="str">
        <x:v>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x:v>
      </x:c>
      <x:c r="R51" s="10" t="str">
        <x:v>Before starting/resuming this item or feature: reread AGENTS.md from disk; apply teaching/testing rules. Browser blocked-tag error and phone layout checks PASS2026-10-30 in in-app browser; preserve historical191 catalogue+24 editing passes. Reconcile catalogue checkpoint FB-067 evidence and deferred FB-053 stock guard before completion; do not claim successful-delete/toast interaction observed. Then approved next discussion FB-035: whether visible product codes are needed before Stock Management FB-034.</x:v>
      </x:c>
      <x:c r="S51" s="10" t="str">
        <x:v>2026-10-30 developer explicitly delegated browser tag-deletion screen then whole catalogue review. Read current AGENTS and related catalogue Requirements. Reviewed current hierarchy/tag/product models, migrations, protected routes, policies, controllers, form requests/actions and Vue state/layout/filter/error flows against current scope at HEADf26f5989a4ba56a2d76c2381f3d8690caeec8e36 plus current Tag deletion/test working changes. No blocking finding in reviewed current-phase code; stock-dependent deactivation remains explicit later checkpoint, not passed. Automated catalogue suite PASS191 tests1579 assertions (DepartmentEdit,CategoryEdit,SubcategoryCreate/Edit/List,Tag,ProductCreate/List); focused outside-repo edit/status/list-permission checks PASS24 tests248 assertions. Full PHPStan0 errors, Vue types and whitespace PASS. Browser as SuperAdmin foodbank.test/tags: clicked Delete Cooking Required, confirmation named exact tag; Cancel returned with row preserved. Created unused disposable tag ZZ Browser Deletion Practice1030 via Create screen (actual exact name ZZ Browser Deletion Practice 1030, id69), search isolated it; Delete confirmation now open, not confirmed. Browser-use policy requires action-time confirmation before permanent deletion. Pending async question authorizes deleting ONLY this exact test tag; no response yet. No existing tag deleted. Browser successful deletion/blocked error and phone layout remain unverified in this review. No application source edits. Do not mark FB-048/067 complete pending browser evidence and scope-specific deferred guard accounting.
2026-10-30 user approved permanent deletion of ONLY unused test tag ZZ Browser Deletion Practice 1030. On reacquiring FoodBank tab after approval, confirmation was no longer open and filtered list already showed No tags found. Reload confirmed absence; read-only live Tag query by exact name returned false. Assistant did not click OK or delete anything after approval, and did not observe success toast; cannot attribute deletion or claim full successful-deletion interaction observed. Disposable tag absent and no cleanup needed. Previous source/tests/Cancel confirmation evidence remains valid. Remaining browser blocked-error and narrow-screen verification still open; no whole-catalogue completion claimed.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x:v>
      </x:c>
    </x:row>
    <x:row r="52" ht="105" customHeight="1">
      <x:c r="A52" s="9" t="n">
        <x:v>49</x:v>
      </x:c>
      <x:c r="B52" s="9" t="inlineStr">
        <x:is>
          <x:t xml:space="preserve">FB-034</x:t>
        </x:is>
      </x:c>
      <x:c r="C52" s="9" t="inlineStr">
        <x:is>
          <x:t xml:space="preserve">Stock Management</x:t>
        </x:is>
      </x:c>
      <x:c r="D52" s="9" t="inlineStr">
        <x:is>
          <x:t xml:space="preserve">Build reusable package sizes and product stock items</x:t>
        </x:is>
      </x:c>
      <x:c r="E52" s="9"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x:t>
        </x:is>
      </x:c>
      <x:c r="F52" s="9" t="str">
        <x:v>FB-035</x:v>
      </x:c>
      <x:c r="G52" s="9" t="str">
        <x:f>IF(H52="Complete","Complete",IF(I52="Blocked","Blocked",IF(I52="In progress","Ready",IF(F52="","Ready",IF(COUNTIFS($B$4:$B$73,F52,$H$4:$H$73,"Complete")=1,"Ready","Waiting")))))</x:f>
        <x:v>Waiting</x:v>
      </x:c>
      <x:c r="H52" s="9" t="str">
        <x:f>IF(I52="Not started","Not started",IF(I52="Blocked","Blocked",IF(I52="In progress","In progress",IF(J52&lt;&gt;"Passed","Awaiting code review",IF(OR(K52="",NOT(ISNUMBER(L52))),"Awaiting review evidence",IF(N52&lt;&gt;"Passed","Awaiting test",IF(OR(M52="",O52="",NOT(ISNUMBER(P52))),"Awaiting test evidence","Complete")))))))</x:f>
        <x:v>Not started</x:v>
      </x:c>
      <x:c r="I52" s="11" t="inlineStr">
        <x:is>
          <x:t xml:space="preserve">Not started</x:t>
        </x:is>
      </x:c>
      <x:c r="J52" s="11" t="inlineStr">
        <x:is>
          <x:t xml:space="preserve">Not reviewed</x:t>
        </x:is>
      </x:c>
      <x:c r="K52" s="11" t="n"/>
      <x:c r="L52" s="31" t="n"/>
      <x:c r="M52" s="11" t="n"/>
      <x:c r="N52" s="11" t="inlineStr">
        <x:is>
          <x:t xml:space="preserve">Not tested</x:t>
        </x:is>
      </x:c>
      <x:c r="O52" s="11" t="n"/>
      <x:c r="P52" s="31" t="n"/>
      <x:c r="Q52" s="11" t="inlineStr">
        <x:is>
          <x: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R52" s="11" t="str">
        <x: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2" s="11"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3" s="9" t="inlineStr">
        <x:is>
          <x:t xml:space="preserve">FB-034</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6" s="10" t="n"/>
    </x:row>
    <x:row r="57" ht="105" customHeight="1">
      <x:c r="A57" s="9" t="n">
        <x:v>54</x:v>
      </x:c>
      <x:c r="B57" s="9" t="inlineStr">
        <x:is>
          <x:t xml:space="preserve">FB-053</x:t>
        </x:is>
      </x:c>
      <x:c r="C57" s="9" t="inlineStr">
        <x:is>
          <x:t xml:space="preserve">Receive</x:t>
        </x:is>
      </x:c>
      <x:c r="D57" s="9" t="inlineStr">
        <x:is>
          <x:t xml:space="preserve">Verify stock measurement locks and catalogue deactivation guard</x:t>
        </x:is>
      </x:c>
      <x:c r="E57" s="9" t="inlineStr">
        <x:is>
          <x: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7" s="11" t="n"/>
    </x:row>
    <x:row r="58" ht="105" customHeight="1">
      <x:c r="A58" s="4" t="n">
        <x:v>55</x:v>
      </x:c>
      <x:c r="B58" s="4" t="inlineStr">
        <x:is>
          <x:t xml:space="preserve">FB-054</x:t>
        </x:is>
      </x:c>
      <x:c r="C58" s="4" t="inlineStr">
        <x:is>
          <x:t xml:space="preserve">History</x:t>
        </x:is>
      </x:c>
      <x:c r="D58" s="4" t="inlineStr">
        <x:is>
          <x:t xml:space="preserve">Show stock movement history within Stock Management</x:t>
        </x:is>
      </x:c>
      <x:c r="E58" s="4" t="inlineStr">
        <x:is>
          <x: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8" s="10" t="n"/>
    </x:row>
    <x:row r="59" ht="105" customHeight="1">
      <x:c r="A59" s="9" t="n">
        <x:v>56</x:v>
      </x:c>
      <x:c r="B59" s="9" t="inlineStr">
        <x:is>
          <x:t xml:space="preserve">FB-065</x:t>
        </x:is>
      </x:c>
      <x:c r="C59" s="9" t="inlineStr">
        <x:is>
          <x:t xml:space="preserve">Totals</x:t>
        </x:is>
      </x:c>
      <x:c r="D59" s="9" t="inlineStr">
        <x:is>
          <x:t xml:space="preserve">Calculate stock summaries within Stock Management</x:t>
        </x:is>
      </x:c>
      <x:c r="E59" s="9" t="inlineStr">
        <x:is>
          <x: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9" s="11" t="n"/>
    </x:row>
    <x:row r="60" ht="105" customHeight="1">
      <x:c r="A60" s="4" t="n">
        <x:v>57</x:v>
      </x:c>
      <x:c r="B60" s="4" t="inlineStr">
        <x:is>
          <x:t xml:space="preserve">FB-066</x:t>
        </x:is>
      </x:c>
      <x:c r="C60" s="4" t="inlineStr">
        <x:is>
          <x:t xml:space="preserve">Totals</x:t>
        </x:is>
      </x:c>
      <x:c r="D60" s="4" t="inlineStr">
        <x:is>
          <x:t xml:space="preserve">Display combined totals within Stock Management</x:t>
        </x:is>
      </x:c>
      <x:c r="E60" s="4" t="inlineStr">
        <x:is>
          <x: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5" s="11"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6" s="10"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FB-023</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bcbad10d03eb47a6"/>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str">
        <x:v>Deferred decision after catalogue</x:v>
      </x:c>
      <x:c r="D100" s="4"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x:v>
      </x:c>
      <x:c r="E100" s="4" t="str">
        <x:v>FB-035 (after FB-067, before FB-034)</x:v>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x:t>
        </x:is>
      </x:c>
      <x:c r="E107" s="28" t="str">
        <x:v>FB-031, FB-037, FB-040, FB-044, FB-048</x:v>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str">
        <x: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x:v>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x:v>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
2026-10-30 approved revision: replace single Tag dropdown with a Tags button opening a searchable checkbox dialog matching Product Create. Select multiple tags; developer explicitly chose ANY selected tag (OR). Search within loaded tags locally after300ms/Enter; hidden checked tags remain selected. Apply sends selected tag_ids and resets pagination; Clear removes draft selections, Cancel/close discards unapplied changes. Empty selection shows all tags. Keep other filters and query pagination. Supersedes single tag_id filter.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x:t>
        </x:is>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str">
        <x: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2026-10-30 explicit developer-approved early sidebar integration of User Management and Product Catalogue only. Remaining FB-008 role landing pages and account/password deferrals unchanged; preserve existing policy permissions.</x:v>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row r="192">
      <x:c r="A192" t="str">
        <x:v>REQ-189</x:v>
      </x:c>
      <x:c r="B192" t="str">
        <x:v>Product Catalogue — Create form tag search</x:v>
      </x:c>
      <x:c r="C192" t="str">
        <x:v>Current scope</x:v>
      </x:c>
      <x:c r="D192" t="str">
        <x: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x:v>
      </x:c>
      <x:c r="E192" t="str">
        <x:v>FB-032, FB-033, FB-037</x:v>
      </x:c>
      <x:c r="F192" t="str">
        <x:v>Stories!B35</x:v>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fd7df31d5e044b43"/>
  </x:tableParts>
</x:worksheet>
</file>